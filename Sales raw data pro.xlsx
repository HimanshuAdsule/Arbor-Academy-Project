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1446DD72-124E-4EAC-AA80-26361C88B4A4}" xr6:coauthVersionLast="47" xr6:coauthVersionMax="47" xr10:uidLastSave="{00000000-0000-0000-0000-000000000000}"/>
  <bookViews>
    <workbookView xWindow="-120" yWindow="-120" windowWidth="20730" windowHeight="11040" tabRatio="746" firstSheet="5" activeTab="8" xr2:uid="{BC1B5045-C039-41CD-9D57-D83CD0886ECF}"/>
  </bookViews>
  <sheets>
    <sheet name="EMp Steps" sheetId="1" r:id="rId1"/>
    <sheet name="Sales Raw Data" sheetId="3" r:id="rId2"/>
    <sheet name="sales main data" sheetId="5" r:id="rId3"/>
    <sheet name="Sheet1" sheetId="6" r:id="rId4"/>
    <sheet name="Dashboard one month sales" sheetId="7" r:id="rId5"/>
    <sheet name="EMP RAW Data" sheetId="2" r:id="rId6"/>
    <sheet name="EMP Table1" sheetId="4" r:id="rId7"/>
    <sheet name="KPI PIVOTABLE EMP1" sheetId="9" r:id="rId8"/>
    <sheet name="Dashboard EPM" sheetId="10" r:id="rId9"/>
  </sheets>
  <definedNames>
    <definedName name="_xlchart.v5.0" hidden="1">Sheet1!$M$45</definedName>
    <definedName name="_xlchart.v5.1" hidden="1">Sheet1!$M$46:$M$57</definedName>
    <definedName name="_xlchart.v5.2" hidden="1">Sheet1!$N$45</definedName>
    <definedName name="_xlchart.v5.3" hidden="1">Sheet1!$N$46:$N$57</definedName>
    <definedName name="_xlchart.v5.4" hidden="1">Sheet1!$M$45</definedName>
    <definedName name="_xlchart.v5.5" hidden="1">Sheet1!$M$46:$M$57</definedName>
    <definedName name="_xlchart.v5.6" hidden="1">Sheet1!$N$45</definedName>
    <definedName name="_xlchart.v5.7" hidden="1">Sheet1!$N$46:$N$57</definedName>
    <definedName name="ExternalData_1" localSheetId="6" hidden="1">'EMP Table1'!$A$1:$N$1001</definedName>
    <definedName name="ExternalData_1" localSheetId="2" hidden="1">'sales main data'!$A$1:$J$1301</definedName>
    <definedName name="Slicer_Business_Unit">#N/A</definedName>
    <definedName name="Slicer_Country">#N/A</definedName>
    <definedName name="Slicer_Department">#N/A</definedName>
    <definedName name="Slicer_Department1">#N/A</definedName>
    <definedName name="Slicer_Gender">#N/A</definedName>
    <definedName name="Slicer_Item">#N/A</definedName>
    <definedName name="Slicer_Sales_Rep">#N/A</definedName>
    <definedName name="Slicer_Stat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0" l="1"/>
  <c r="I3" i="9"/>
  <c r="O2" i="10" s="1"/>
  <c r="F5" i="9"/>
  <c r="S2" i="10" s="1"/>
  <c r="E2" i="9"/>
  <c r="E2" i="10" s="1"/>
  <c r="M46" i="6"/>
  <c r="N46" i="6"/>
  <c r="M47" i="6"/>
  <c r="N47" i="6"/>
  <c r="M48" i="6"/>
  <c r="N48" i="6"/>
  <c r="M49" i="6"/>
  <c r="N49" i="6"/>
  <c r="M50" i="6"/>
  <c r="N50" i="6"/>
  <c r="M51" i="6"/>
  <c r="N51" i="6"/>
  <c r="M52" i="6"/>
  <c r="N52" i="6"/>
  <c r="M53" i="6"/>
  <c r="N53" i="6"/>
  <c r="M54" i="6"/>
  <c r="N54" i="6"/>
  <c r="M55" i="6"/>
  <c r="N55" i="6"/>
  <c r="M56" i="6"/>
  <c r="N56" i="6"/>
  <c r="M57" i="6"/>
  <c r="N57" i="6"/>
  <c r="E4" i="7"/>
  <c r="S4" i="7"/>
  <c r="B4" i="7"/>
  <c r="L3" i="6"/>
  <c r="J3" i="6"/>
  <c r="P4"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A7CD97-6623-45CE-A999-E517B185F07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10FA86A-585B-4EF2-8EA8-D1F83CA76069}" keepAlive="1" name="Query - Table13" description="Connection to the 'Table13' query in the workbook." type="5" refreshedVersion="8" background="1" saveData="1">
    <dbPr connection="Provider=Microsoft.Mashup.OleDb.1;Data Source=$Workbook$;Location=Table13;Extended Properties=&quot;&quot;" command="SELECT * FROM [Table13]"/>
  </connection>
</connections>
</file>

<file path=xl/sharedStrings.xml><?xml version="1.0" encoding="utf-8"?>
<sst xmlns="http://schemas.openxmlformats.org/spreadsheetml/2006/main" count="24254" uniqueCount="2458">
  <si>
    <t xml:space="preserve">1 - Extracted Data From Excel Workbook ( Raw Data ) </t>
  </si>
  <si>
    <t xml:space="preserve">2 - Transformation - </t>
  </si>
  <si>
    <t>a - Remove Errors</t>
  </si>
  <si>
    <t xml:space="preserve">b - Remove Blank Records </t>
  </si>
  <si>
    <t>c - Remove Duplicated Records</t>
  </si>
  <si>
    <t xml:space="preserve">d - Remove Blank/Null Values </t>
  </si>
  <si>
    <t>e - Identify PK if Not Add PK</t>
  </si>
  <si>
    <t>EmployeeID</t>
  </si>
  <si>
    <t>EMP-1</t>
  </si>
  <si>
    <t>3 - Ask Questions Add Columns if Nec</t>
  </si>
  <si>
    <t>1  - While adding a new Always Check Its Data type</t>
  </si>
  <si>
    <t xml:space="preserve">2 - Added Age Group </t>
  </si>
  <si>
    <t xml:space="preserve">3 - Total Salary </t>
  </si>
  <si>
    <t>4 - Left Status</t>
  </si>
  <si>
    <t>Job Title</t>
  </si>
  <si>
    <t>Department</t>
  </si>
  <si>
    <t>Business Unit</t>
  </si>
  <si>
    <t>Gender</t>
  </si>
  <si>
    <t>Age</t>
  </si>
  <si>
    <t>Hire Date</t>
  </si>
  <si>
    <t>Annual Salary</t>
  </si>
  <si>
    <t>Bonus %</t>
  </si>
  <si>
    <t>Country</t>
  </si>
  <si>
    <t>City</t>
  </si>
  <si>
    <t>Exit Date</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</si>
  <si>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</si>
  <si>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</si>
  <si>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</si>
  <si>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</si>
  <si>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</si>
  <si>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</si>
  <si>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</si>
  <si>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</si>
  <si>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</si>
  <si>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</si>
  <si>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</si>
  <si>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</si>
  <si>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</si>
  <si>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</si>
  <si>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</si>
  <si>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</si>
  <si>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</si>
  <si>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</si>
  <si>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</si>
  <si>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</si>
  <si>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</si>
  <si>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</si>
  <si>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</si>
  <si>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</si>
  <si>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</si>
  <si>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</si>
  <si>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</si>
  <si>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</si>
  <si>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</si>
  <si>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</si>
  <si>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</si>
  <si>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</si>
  <si>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</si>
  <si>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</si>
  <si>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</si>
  <si>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</si>
  <si>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</si>
  <si>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</si>
  <si>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</si>
  <si>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</si>
  <si>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</si>
  <si>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</si>
  <si>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</si>
  <si>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</si>
  <si>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</si>
  <si>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</si>
  <si>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</si>
  <si>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</si>
  <si>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</si>
  <si>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</si>
  <si>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</si>
  <si>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</si>
  <si>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</si>
  <si>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</si>
  <si>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</si>
  <si>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</si>
  <si>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</si>
  <si>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</si>
  <si>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</si>
  <si>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</si>
  <si>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</si>
  <si>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</si>
  <si>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</si>
  <si>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Date</t>
  </si>
  <si>
    <t>Item</t>
  </si>
  <si>
    <t>Sales Rep</t>
  </si>
  <si>
    <t>Quantity</t>
  </si>
  <si>
    <t>Price</t>
  </si>
  <si>
    <t>Commission</t>
  </si>
  <si>
    <t>State</t>
  </si>
  <si>
    <t>Printer</t>
  </si>
  <si>
    <t>John</t>
  </si>
  <si>
    <t>Meghalaya</t>
  </si>
  <si>
    <t>White Board</t>
  </si>
  <si>
    <t>Mark</t>
  </si>
  <si>
    <t>Uttar Pradesh</t>
  </si>
  <si>
    <t>Office Chair</t>
  </si>
  <si>
    <t>Maharashtra</t>
  </si>
  <si>
    <t>Delhi</t>
  </si>
  <si>
    <t>Laura</t>
  </si>
  <si>
    <t>West Bengal</t>
  </si>
  <si>
    <t>Stacey</t>
  </si>
  <si>
    <t>Bihar</t>
  </si>
  <si>
    <t>Diary</t>
  </si>
  <si>
    <t>Bob</t>
  </si>
  <si>
    <t>Goa</t>
  </si>
  <si>
    <t>Projector</t>
  </si>
  <si>
    <t>Karnataka</t>
  </si>
  <si>
    <t>Gujarat</t>
  </si>
  <si>
    <t>Jharkhand</t>
  </si>
  <si>
    <t>Haryana</t>
  </si>
  <si>
    <t>Kerala</t>
  </si>
  <si>
    <t>Age under</t>
  </si>
  <si>
    <t>55-65</t>
  </si>
  <si>
    <t>45-55</t>
  </si>
  <si>
    <t>25-35</t>
  </si>
  <si>
    <t>35-45</t>
  </si>
  <si>
    <t>65-75</t>
  </si>
  <si>
    <t xml:space="preserve">Total sales </t>
  </si>
  <si>
    <t>Order ID</t>
  </si>
  <si>
    <t>Total commisstion</t>
  </si>
  <si>
    <t>Ord-1</t>
  </si>
  <si>
    <t>Ord-2</t>
  </si>
  <si>
    <t>Ord-3</t>
  </si>
  <si>
    <t>Ord-4</t>
  </si>
  <si>
    <t>Ord-5</t>
  </si>
  <si>
    <t>Ord-6</t>
  </si>
  <si>
    <t>Ord-7</t>
  </si>
  <si>
    <t>Ord-8</t>
  </si>
  <si>
    <t>Ord-9</t>
  </si>
  <si>
    <t>Ord-10</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</si>
  <si>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</si>
  <si>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</si>
  <si>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</si>
  <si>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</si>
  <si>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</si>
  <si>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</si>
  <si>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</si>
  <si>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</si>
  <si>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</si>
  <si>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</si>
  <si>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</si>
  <si>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</si>
  <si>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</si>
  <si>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</si>
  <si>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</si>
  <si>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</si>
  <si>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</si>
  <si>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</si>
  <si>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</si>
  <si>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</si>
  <si>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</si>
  <si>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</si>
  <si>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</si>
  <si>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</si>
  <si>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</si>
  <si>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</si>
  <si>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</si>
  <si>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</si>
  <si>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</si>
  <si>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</si>
  <si>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</si>
  <si>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</si>
  <si>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</si>
  <si>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</si>
  <si>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</si>
  <si>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</si>
  <si>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</si>
  <si>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</si>
  <si>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</si>
  <si>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</si>
  <si>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</si>
  <si>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</si>
  <si>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</si>
  <si>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</si>
  <si>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</si>
  <si>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</si>
  <si>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</si>
  <si>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</si>
  <si>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</si>
  <si>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</si>
  <si>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</si>
  <si>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</si>
  <si>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</si>
  <si>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</si>
  <si>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</si>
  <si>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</si>
  <si>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</si>
  <si>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</si>
  <si>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</si>
  <si>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</si>
  <si>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</si>
  <si>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</si>
  <si>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</si>
  <si>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</si>
  <si>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</si>
  <si>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</si>
  <si>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</si>
  <si>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</si>
  <si>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</si>
  <si>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</si>
  <si>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</si>
  <si>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</si>
  <si>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</si>
  <si>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</si>
  <si>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</si>
  <si>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</si>
  <si>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</si>
  <si>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</si>
  <si>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</si>
  <si>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</si>
  <si>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</si>
  <si>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</si>
  <si>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</si>
  <si>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</si>
  <si>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</si>
  <si>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</si>
  <si>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</si>
  <si>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</si>
  <si>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</si>
  <si>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</si>
  <si>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</si>
  <si>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</si>
  <si>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</si>
  <si>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</si>
  <si>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</si>
  <si>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</si>
  <si>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</si>
  <si>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</si>
  <si>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</si>
  <si>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</si>
  <si>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</si>
  <si>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</si>
  <si>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</si>
  <si>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</si>
  <si>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</si>
  <si>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</si>
  <si>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</si>
  <si>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</si>
  <si>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</si>
  <si>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</si>
  <si>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</si>
  <si>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</si>
  <si>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</si>
  <si>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</si>
  <si>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</si>
  <si>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</si>
  <si>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</si>
  <si>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</si>
  <si>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</si>
  <si>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</si>
  <si>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</si>
  <si>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</si>
  <si>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</si>
  <si>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</si>
  <si>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</si>
  <si>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</si>
  <si>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</si>
  <si>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</si>
  <si>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</si>
  <si>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</si>
  <si>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</si>
  <si>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</si>
  <si>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</si>
  <si>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</si>
  <si>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</si>
  <si>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</si>
  <si>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</si>
  <si>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</si>
  <si>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</si>
  <si>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</si>
  <si>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</si>
  <si>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</si>
  <si>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</si>
  <si>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</si>
  <si>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</si>
  <si>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</si>
  <si>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</si>
  <si>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</si>
  <si>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</si>
  <si>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</si>
  <si>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</si>
  <si>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</si>
  <si>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</si>
  <si>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</si>
  <si>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</si>
  <si>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</si>
  <si>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</si>
  <si>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</si>
  <si>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</si>
  <si>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</si>
  <si>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</si>
  <si>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</si>
  <si>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</si>
  <si>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</si>
  <si>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</si>
  <si>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</si>
  <si>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</si>
  <si>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</si>
  <si>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</si>
  <si>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</si>
  <si>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</si>
  <si>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</si>
  <si>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</si>
  <si>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</si>
  <si>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</si>
  <si>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</si>
  <si>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</si>
  <si>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</si>
  <si>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</si>
  <si>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</si>
  <si>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</si>
  <si>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</si>
  <si>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</si>
  <si>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</si>
  <si>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</si>
  <si>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</si>
  <si>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</si>
  <si>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</si>
  <si>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</si>
  <si>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</si>
  <si>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</si>
  <si>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</si>
  <si>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</si>
  <si>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</si>
  <si>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</si>
  <si>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</si>
  <si>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</si>
  <si>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</si>
  <si>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</si>
  <si>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</si>
  <si>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</si>
  <si>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</si>
  <si>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</si>
  <si>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</si>
  <si>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</si>
  <si>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</si>
  <si>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</si>
  <si>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</si>
  <si>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</si>
  <si>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</si>
  <si>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</si>
  <si>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</si>
  <si>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</si>
  <si>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</si>
  <si>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</si>
  <si>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</si>
  <si>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</si>
  <si>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</si>
  <si>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</si>
  <si>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</si>
  <si>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</si>
  <si>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</si>
  <si>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</si>
  <si>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</si>
  <si>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</si>
  <si>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</si>
  <si>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</si>
  <si>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</si>
  <si>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</si>
  <si>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</si>
  <si>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</si>
  <si>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</si>
  <si>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</si>
  <si>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</si>
  <si>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</si>
  <si>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</si>
  <si>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</si>
  <si>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</si>
  <si>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</si>
  <si>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</si>
  <si>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</si>
  <si>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</si>
  <si>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</si>
  <si>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</si>
  <si>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</si>
  <si>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</si>
  <si>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</si>
  <si>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</si>
  <si>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</si>
  <si>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</si>
  <si>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</si>
  <si>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</si>
  <si>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</si>
  <si>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</si>
  <si>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</si>
  <si>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</si>
  <si>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</si>
  <si>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</si>
  <si>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</si>
  <si>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</si>
  <si>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</si>
  <si>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</si>
  <si>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</si>
  <si>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</si>
  <si>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</si>
  <si>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</si>
  <si>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</si>
  <si>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</si>
  <si>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</si>
  <si>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</si>
  <si>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</si>
  <si>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</si>
  <si>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</si>
  <si>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</si>
  <si>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</si>
  <si>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</si>
  <si>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</si>
  <si>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</si>
  <si>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</si>
  <si>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</si>
  <si>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</si>
  <si>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</si>
  <si>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</si>
  <si>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</si>
  <si>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</si>
  <si>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</si>
  <si>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</si>
  <si>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</si>
  <si>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</si>
  <si>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</si>
  <si>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</si>
  <si>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</si>
  <si>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</si>
  <si>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</si>
  <si>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</si>
  <si>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</si>
  <si>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</si>
  <si>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</si>
  <si>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</si>
  <si>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</si>
  <si>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</si>
  <si>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</si>
  <si>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</si>
  <si>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</si>
  <si>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</si>
  <si>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</si>
  <si>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</si>
  <si>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</si>
  <si>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</si>
  <si>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</si>
  <si>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</si>
  <si>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</si>
  <si>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</si>
  <si>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</si>
  <si>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</si>
  <si>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</si>
  <si>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</si>
  <si>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</si>
  <si>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</si>
  <si>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</si>
  <si>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</si>
  <si>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</si>
  <si>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</si>
  <si>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</si>
  <si>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</si>
  <si>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</si>
  <si>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</si>
  <si>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</si>
  <si>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</si>
  <si>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</si>
  <si>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</si>
  <si>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</si>
  <si>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</si>
  <si>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</si>
  <si>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</si>
  <si>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</si>
  <si>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</si>
  <si>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</si>
  <si>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</si>
  <si>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</si>
  <si>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</si>
  <si>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</si>
  <si>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</si>
  <si>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</si>
  <si>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</si>
  <si>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</si>
  <si>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</si>
  <si>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</si>
  <si>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</si>
  <si>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</si>
  <si>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</si>
  <si>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</si>
  <si>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</si>
  <si>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</si>
  <si>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</si>
  <si>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</si>
  <si>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</si>
  <si>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</si>
  <si>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</si>
  <si>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</si>
  <si>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</si>
  <si>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</si>
  <si>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</si>
  <si>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</si>
  <si>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</si>
  <si>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</si>
  <si>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</si>
  <si>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</si>
  <si>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</si>
  <si>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</si>
  <si>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</si>
  <si>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</si>
  <si>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</si>
  <si>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</si>
  <si>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</si>
  <si>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</si>
  <si>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</si>
  <si>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</si>
  <si>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</si>
  <si>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</si>
  <si>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</si>
  <si>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</si>
  <si>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</si>
  <si>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</si>
  <si>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</si>
  <si>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</si>
  <si>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</si>
  <si>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</si>
  <si>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</si>
  <si>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</si>
  <si>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</si>
  <si>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</si>
  <si>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</si>
  <si>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</si>
  <si>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</si>
  <si>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</si>
  <si>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</si>
  <si>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</si>
  <si>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</si>
  <si>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</si>
  <si>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</si>
  <si>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</si>
  <si>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</si>
  <si>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</si>
  <si>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</si>
  <si>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</si>
  <si>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</si>
  <si>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</si>
  <si>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</si>
  <si>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</si>
  <si>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</si>
  <si>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</si>
  <si>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</si>
  <si>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</si>
  <si>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</si>
  <si>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</si>
  <si>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</si>
  <si>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</si>
  <si>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</si>
  <si>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</si>
  <si>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</si>
  <si>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</si>
  <si>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</si>
  <si>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</si>
  <si>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</si>
  <si>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</si>
  <si>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</si>
  <si>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</si>
  <si>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</si>
  <si>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</si>
  <si>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</si>
  <si>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</si>
  <si>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</si>
  <si>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</si>
  <si>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</si>
  <si>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</si>
  <si>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</si>
  <si>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</si>
  <si>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</si>
  <si>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</si>
  <si>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</si>
  <si>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</si>
  <si>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</si>
  <si>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</si>
  <si>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</si>
  <si>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</si>
  <si>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</si>
  <si>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</si>
  <si>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</si>
  <si>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</si>
  <si>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</si>
  <si>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</si>
  <si>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</si>
  <si>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</si>
  <si>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</si>
  <si>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</si>
  <si>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</si>
  <si>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</si>
  <si>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</si>
  <si>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</si>
  <si>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</si>
  <si>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</si>
  <si>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</si>
  <si>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</si>
  <si>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</si>
  <si>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</si>
  <si>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</si>
  <si>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</si>
  <si>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</si>
  <si>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</si>
  <si>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</si>
  <si>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</si>
  <si>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</si>
  <si>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</si>
  <si>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</si>
  <si>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</si>
  <si>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</si>
  <si>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</si>
  <si>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</si>
  <si>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</si>
  <si>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</si>
  <si>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</si>
  <si>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</si>
  <si>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</si>
  <si>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</si>
  <si>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</si>
  <si>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</si>
  <si>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</si>
  <si>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</si>
  <si>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</si>
  <si>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</si>
  <si>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</si>
  <si>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</si>
  <si>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</si>
  <si>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</si>
  <si>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</si>
  <si>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</si>
  <si>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</si>
  <si>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</si>
  <si>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</si>
  <si>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</si>
  <si>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</si>
  <si>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</si>
  <si>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</si>
  <si>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</si>
  <si>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</si>
  <si>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</si>
  <si>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</si>
  <si>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</si>
  <si>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</si>
  <si>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</si>
  <si>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</si>
  <si>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</si>
  <si>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</si>
  <si>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</si>
  <si>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</si>
  <si>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</si>
  <si>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</si>
  <si>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</si>
  <si>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</si>
  <si>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</si>
  <si>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</si>
  <si>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</si>
  <si>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</si>
  <si>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</si>
  <si>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</si>
  <si>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</si>
  <si>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</si>
  <si>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</si>
  <si>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</si>
  <si>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</si>
  <si>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</si>
  <si>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</si>
  <si>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</si>
  <si>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</si>
  <si>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</si>
  <si>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</si>
  <si>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</si>
  <si>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</si>
  <si>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</si>
  <si>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</si>
  <si>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</si>
  <si>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</si>
  <si>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</si>
  <si>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</si>
  <si>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</si>
  <si>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</si>
  <si>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</si>
  <si>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</si>
  <si>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</si>
  <si>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</si>
  <si>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</si>
  <si>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</si>
  <si>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</si>
  <si>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</si>
  <si>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</si>
  <si>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</si>
  <si>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</si>
  <si>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</si>
  <si>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</si>
  <si>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</si>
  <si>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</si>
  <si>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</si>
  <si>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</si>
  <si>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</si>
  <si>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</si>
  <si>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</si>
  <si>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</si>
  <si>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</si>
  <si>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</si>
  <si>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</si>
  <si>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</si>
  <si>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</si>
  <si>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</si>
  <si>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</si>
  <si>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</si>
  <si>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</si>
  <si>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</si>
  <si>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</si>
  <si>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</si>
  <si>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</si>
  <si>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</si>
  <si>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</si>
  <si>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</si>
  <si>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</si>
  <si>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</si>
  <si>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</si>
  <si>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</si>
  <si>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</si>
  <si>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</si>
  <si>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</si>
  <si>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</si>
  <si>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</si>
  <si>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</si>
  <si>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</si>
  <si>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</si>
  <si>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</si>
  <si>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</si>
  <si>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</si>
  <si>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</si>
  <si>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</si>
  <si>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</si>
  <si>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</si>
  <si>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</si>
  <si>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</si>
  <si>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</si>
  <si>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</si>
  <si>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</si>
  <si>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</si>
  <si>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</si>
  <si>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</si>
  <si>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</si>
  <si>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</si>
  <si>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</si>
  <si>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</si>
  <si>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</si>
  <si>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</si>
  <si>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</si>
  <si>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</si>
  <si>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</si>
  <si>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</si>
  <si>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</si>
  <si>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</si>
  <si>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</si>
  <si>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</si>
  <si>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</si>
  <si>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</si>
  <si>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</si>
  <si>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</si>
  <si>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</si>
  <si>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</si>
  <si>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</si>
  <si>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</si>
  <si>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</si>
  <si>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</si>
  <si>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</si>
  <si>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</si>
  <si>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</si>
  <si>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</si>
  <si>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</si>
  <si>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</si>
  <si>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</si>
  <si>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</si>
  <si>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</si>
  <si>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</si>
  <si>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</si>
  <si>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</si>
  <si>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</si>
  <si>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</si>
  <si>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</si>
  <si>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</si>
  <si>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</si>
  <si>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</si>
  <si>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</si>
  <si>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</si>
  <si>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</si>
  <si>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</si>
  <si>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</si>
  <si>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</si>
  <si>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</si>
  <si>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</si>
  <si>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</si>
  <si>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</si>
  <si>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</si>
  <si>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</si>
  <si>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</si>
  <si>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</si>
  <si>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</si>
  <si>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</si>
  <si>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</si>
  <si>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</si>
  <si>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</si>
  <si>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</si>
  <si>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</si>
  <si>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</si>
  <si>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</si>
  <si>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</si>
  <si>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</si>
  <si>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</si>
  <si>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</si>
  <si>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</si>
  <si>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</si>
  <si>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</si>
  <si>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</si>
  <si>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</si>
  <si>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</si>
  <si>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</si>
  <si>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</si>
  <si>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</si>
  <si>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</si>
  <si>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</si>
  <si>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</si>
  <si>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</si>
  <si>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</si>
  <si>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</si>
  <si>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</si>
  <si>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</si>
  <si>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</si>
  <si>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</si>
  <si>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</si>
  <si>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</si>
  <si>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</si>
  <si>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</si>
  <si>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</si>
  <si>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</si>
  <si>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</si>
  <si>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</si>
  <si>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</si>
  <si>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</si>
  <si>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</si>
  <si>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</si>
  <si>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</si>
  <si>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</si>
  <si>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</si>
  <si>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</si>
  <si>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</si>
  <si>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</si>
  <si>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</si>
  <si>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</si>
  <si>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</si>
  <si>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</si>
  <si>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</si>
  <si>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</si>
  <si>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</si>
  <si>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</si>
  <si>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</si>
  <si>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</si>
  <si>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</si>
  <si>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</si>
  <si>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</si>
  <si>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</si>
  <si>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</si>
  <si>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</si>
  <si>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</si>
  <si>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</si>
  <si>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</si>
  <si>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</si>
  <si>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</si>
  <si>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</si>
  <si>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</si>
  <si>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</si>
  <si>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</si>
  <si>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</si>
  <si>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</si>
  <si>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</si>
  <si>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</si>
  <si>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</si>
  <si>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</si>
  <si>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</si>
  <si>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</si>
  <si>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</si>
  <si>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</si>
  <si>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</si>
  <si>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</si>
  <si>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</si>
  <si>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</si>
  <si>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</si>
  <si>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</si>
  <si>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</si>
  <si>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</si>
  <si>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</si>
  <si>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</si>
  <si>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</si>
  <si>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</si>
  <si>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</si>
  <si>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</si>
  <si>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</si>
  <si>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</si>
  <si>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</si>
  <si>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</si>
  <si>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</si>
  <si>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</si>
  <si>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</si>
  <si>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</si>
  <si>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</si>
  <si>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</si>
  <si>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</si>
  <si>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</si>
  <si>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</si>
  <si>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</si>
  <si>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</si>
  <si>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</si>
  <si>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</si>
  <si>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</si>
  <si>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</si>
  <si>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</si>
  <si>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</si>
  <si>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</si>
  <si>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</si>
  <si>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</si>
  <si>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</si>
  <si>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</si>
  <si>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</si>
  <si>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</si>
  <si>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</si>
  <si>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</si>
  <si>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</si>
  <si>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</si>
  <si>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</si>
  <si>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</si>
  <si>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</si>
  <si>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</si>
  <si>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</si>
  <si>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</si>
  <si>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</si>
  <si>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</si>
  <si>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</si>
  <si>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</si>
  <si>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</si>
  <si>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</si>
  <si>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</si>
  <si>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</si>
  <si>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</si>
  <si>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</si>
  <si>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</si>
  <si>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</si>
  <si>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</si>
  <si>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</si>
  <si>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</si>
  <si>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</si>
  <si>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</si>
  <si>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</si>
  <si>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</si>
  <si>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</si>
  <si>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</si>
  <si>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</si>
  <si>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</si>
  <si>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</si>
  <si>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</si>
  <si>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</si>
  <si>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</si>
  <si>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</si>
  <si>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</si>
  <si>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</si>
  <si>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</si>
  <si>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</si>
  <si>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</si>
  <si>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</si>
  <si>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</si>
  <si>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</si>
  <si>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</si>
  <si>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</si>
  <si>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</si>
  <si>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</si>
  <si>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</si>
  <si>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</si>
  <si>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</si>
  <si>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</si>
  <si>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</si>
  <si>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</si>
  <si>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</si>
  <si>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</si>
  <si>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</si>
  <si>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</si>
  <si>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</si>
  <si>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</si>
  <si>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</si>
  <si>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</si>
  <si>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</si>
  <si>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</si>
  <si>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</si>
  <si>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</si>
  <si>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</si>
  <si>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</si>
  <si>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</si>
  <si>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</si>
  <si>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</si>
  <si>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</si>
  <si>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</si>
  <si>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</si>
  <si>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</si>
  <si>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</si>
  <si>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</si>
  <si>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</si>
  <si>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</si>
  <si>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</si>
  <si>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</si>
  <si>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</si>
  <si>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</si>
  <si>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</si>
  <si>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</si>
  <si>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</si>
  <si>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</si>
  <si>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</si>
  <si>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</si>
  <si>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</si>
  <si>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</si>
  <si>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</si>
  <si>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</si>
  <si>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</si>
  <si>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</si>
  <si>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</si>
  <si>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</si>
  <si>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</si>
  <si>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</si>
  <si>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</si>
  <si>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</si>
  <si>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</si>
  <si>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</si>
  <si>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</si>
  <si>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</si>
  <si>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</si>
  <si>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</si>
  <si>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</si>
  <si>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</si>
  <si>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</si>
  <si>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</si>
  <si>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</si>
  <si>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</si>
  <si>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</si>
  <si>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</si>
  <si>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</si>
  <si>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</si>
  <si>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</si>
  <si>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</si>
  <si>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</si>
  <si>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</si>
  <si>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</si>
  <si>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</si>
  <si>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</si>
  <si>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</si>
  <si>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</si>
  <si>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</si>
  <si>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</si>
  <si>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</si>
  <si>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</si>
  <si>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</si>
  <si>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</si>
  <si>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</si>
  <si>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</si>
  <si>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</si>
  <si>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</si>
  <si>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</si>
  <si>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</si>
  <si>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</si>
  <si>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</si>
  <si>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</si>
  <si>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</si>
  <si>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</si>
  <si>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</si>
  <si>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</si>
  <si>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</si>
  <si>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</si>
  <si>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</si>
  <si>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</si>
  <si>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</si>
  <si>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</si>
  <si>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</si>
  <si>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</si>
  <si>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</si>
  <si>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</si>
  <si>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</si>
  <si>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</si>
  <si>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</si>
  <si>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</si>
  <si>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</si>
  <si>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</si>
  <si>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</si>
  <si>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</si>
  <si>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</si>
  <si>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</si>
  <si>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</si>
  <si>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</si>
  <si>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</si>
  <si>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</si>
  <si>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</si>
  <si>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</si>
  <si>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</si>
  <si>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</si>
  <si>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</si>
  <si>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</si>
  <si>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</si>
  <si>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</si>
  <si>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</si>
  <si>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</si>
  <si>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</si>
  <si>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</si>
  <si>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</si>
  <si>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</si>
  <si>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</si>
  <si>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</si>
  <si>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</si>
  <si>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</si>
  <si>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</si>
  <si>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</si>
  <si>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</si>
  <si>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</si>
  <si>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</si>
  <si>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</si>
  <si>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</si>
  <si>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</si>
  <si>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</si>
  <si>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</si>
  <si>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</si>
  <si>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</si>
  <si>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</si>
  <si>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</si>
  <si>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</si>
  <si>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</si>
  <si>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</si>
  <si>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</si>
  <si>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</si>
  <si>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</si>
  <si>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</si>
  <si>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</si>
  <si>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</si>
  <si>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</si>
  <si>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</si>
  <si>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</si>
  <si>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</si>
  <si>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</si>
  <si>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</si>
  <si>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</si>
  <si>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</si>
  <si>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</si>
  <si>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</si>
  <si>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</si>
  <si>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</si>
  <si>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</si>
  <si>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</si>
  <si>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</si>
  <si>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</si>
  <si>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</si>
  <si>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</si>
  <si>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</si>
  <si>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</si>
  <si>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</si>
  <si>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</si>
  <si>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</si>
  <si>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</si>
  <si>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</si>
  <si>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</si>
  <si>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</si>
  <si>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</si>
  <si>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</si>
  <si>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</si>
  <si>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</si>
  <si>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</si>
  <si>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</si>
  <si>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</si>
  <si>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</si>
  <si>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</si>
  <si>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</si>
  <si>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</si>
  <si>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</si>
  <si>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</si>
  <si>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</si>
  <si>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</si>
  <si>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</si>
  <si>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</si>
  <si>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</si>
  <si>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</si>
  <si>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</si>
  <si>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</si>
  <si>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</si>
  <si>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</si>
  <si>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</si>
  <si>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</si>
  <si>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</si>
  <si>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</si>
  <si>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</si>
  <si>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</si>
  <si>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</si>
  <si>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</si>
  <si>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</si>
  <si>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</si>
  <si>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</si>
  <si>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</si>
  <si>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</si>
  <si>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</si>
  <si>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</si>
  <si>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</si>
  <si>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</si>
  <si>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</si>
  <si>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</si>
  <si>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</si>
  <si>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</si>
  <si>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</si>
  <si>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</si>
  <si>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</si>
  <si>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</si>
  <si>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</si>
  <si>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</si>
  <si>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</si>
  <si>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</si>
  <si>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</si>
  <si>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</si>
  <si>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</si>
  <si>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</si>
  <si>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</si>
  <si>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</si>
  <si>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</si>
  <si>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</si>
  <si>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</si>
  <si>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</si>
  <si>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</si>
  <si>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</si>
  <si>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</si>
  <si>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</si>
  <si>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</si>
  <si>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</si>
  <si>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</si>
  <si>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</si>
  <si>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</si>
  <si>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</si>
  <si>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</si>
  <si>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</si>
  <si>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</si>
  <si>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</si>
  <si>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</si>
  <si>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</si>
  <si>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</si>
  <si>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</si>
  <si>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</si>
  <si>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</si>
  <si>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</si>
  <si>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</si>
  <si>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</si>
  <si>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</si>
  <si>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</si>
  <si>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</si>
  <si>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</si>
  <si>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</si>
  <si>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</si>
  <si>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</si>
  <si>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</si>
  <si>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</si>
  <si>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</si>
  <si>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</si>
  <si>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</si>
  <si>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</si>
  <si>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</si>
  <si>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</si>
  <si>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</si>
  <si>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</si>
  <si>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</si>
  <si>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</si>
  <si>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</si>
  <si>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</si>
  <si>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</si>
  <si>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</si>
  <si>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</si>
  <si>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</si>
  <si>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</si>
  <si>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</si>
  <si>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</si>
  <si>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</si>
  <si>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</si>
  <si>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</si>
  <si>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</si>
  <si>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</si>
  <si>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</si>
  <si>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</si>
  <si>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</si>
  <si>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</si>
  <si>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</si>
  <si>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</si>
  <si>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</si>
  <si>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</si>
  <si>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</si>
  <si>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</si>
  <si>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</si>
  <si>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</si>
  <si>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</si>
  <si>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</si>
  <si>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</si>
  <si>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</si>
  <si>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</si>
  <si>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</si>
  <si>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</si>
  <si>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</si>
  <si>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</si>
  <si>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</si>
  <si>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</si>
  <si>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</si>
  <si>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</si>
  <si>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</si>
  <si>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</si>
  <si>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</si>
  <si>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</si>
  <si>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</si>
  <si>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</si>
  <si>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</si>
  <si>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</si>
  <si>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</si>
  <si>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</si>
  <si>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</si>
  <si>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</si>
  <si>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</si>
  <si>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</si>
  <si>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</si>
  <si>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</si>
  <si>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</si>
  <si>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</si>
  <si>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</si>
  <si>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</si>
  <si>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</si>
  <si>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</si>
  <si>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</si>
  <si>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</si>
  <si>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</si>
  <si>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</si>
  <si>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</si>
  <si>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</si>
  <si>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</si>
  <si>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</si>
  <si>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</si>
  <si>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</si>
  <si>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</si>
  <si>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</si>
  <si>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</si>
  <si>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</si>
  <si>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</si>
  <si>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</si>
  <si>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</si>
  <si>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</si>
  <si>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</si>
  <si>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</si>
  <si>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</si>
  <si>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</si>
  <si>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</si>
  <si>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</si>
  <si>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</si>
  <si>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</si>
  <si>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</si>
  <si>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</si>
  <si>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</si>
  <si>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</si>
  <si>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</si>
  <si>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</si>
  <si>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</si>
  <si>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</si>
  <si>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</si>
  <si>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</si>
  <si>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</si>
  <si>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</si>
  <si>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</si>
  <si>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</si>
  <si>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</si>
  <si>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</si>
  <si>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</si>
  <si>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</si>
  <si>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</si>
  <si>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</si>
  <si>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</si>
  <si>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</si>
  <si>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</si>
  <si>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</si>
  <si>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</si>
  <si>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</si>
  <si>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</si>
  <si>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</si>
  <si>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</si>
  <si>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</si>
  <si>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</si>
  <si>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</si>
  <si>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</si>
  <si>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</si>
  <si>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</si>
  <si>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</si>
  <si>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</si>
  <si>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</si>
  <si>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</si>
  <si>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</si>
  <si>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</si>
  <si>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</si>
  <si>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</si>
  <si>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</si>
  <si>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</si>
  <si>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</si>
  <si>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</si>
  <si>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</si>
  <si>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</si>
  <si>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</si>
  <si>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</si>
  <si>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</si>
  <si>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</si>
  <si>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</si>
  <si>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</si>
  <si>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</si>
  <si>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</si>
  <si>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</si>
  <si>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</si>
  <si>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</si>
  <si>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</si>
  <si>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</si>
  <si>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</si>
  <si>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</si>
  <si>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</si>
  <si>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</si>
  <si>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Count of Order ID</t>
  </si>
  <si>
    <t>Sum of Quantity</t>
  </si>
  <si>
    <t>Sum of Total commisstion</t>
  </si>
  <si>
    <t xml:space="preserve">Sum of Total sales </t>
  </si>
  <si>
    <t>Net sales</t>
  </si>
  <si>
    <t>Grand Total</t>
  </si>
  <si>
    <t>Row Labels</t>
  </si>
  <si>
    <t>Sum of Commission</t>
  </si>
  <si>
    <t>Sum of State</t>
  </si>
  <si>
    <t xml:space="preserve"> </t>
  </si>
  <si>
    <t>One Month Sales Report</t>
  </si>
  <si>
    <t>One Month Sales report</t>
  </si>
  <si>
    <t>Total  Order</t>
  </si>
  <si>
    <t>Total sales</t>
  </si>
  <si>
    <t>Total  Commisstion</t>
  </si>
  <si>
    <t>Count of EMP ID.1</t>
  </si>
  <si>
    <t>deparmet</t>
  </si>
  <si>
    <t>salary</t>
  </si>
  <si>
    <t>country</t>
  </si>
  <si>
    <t xml:space="preserve">  </t>
  </si>
  <si>
    <t>dep emp id</t>
  </si>
  <si>
    <t>country emp</t>
  </si>
  <si>
    <t>age  wise emp id</t>
  </si>
  <si>
    <t>salary by dep</t>
  </si>
  <si>
    <t>TOTAL  EMP</t>
  </si>
  <si>
    <t>TOTAL DEPARTMENT</t>
  </si>
  <si>
    <t>EMP DATA REPORT</t>
  </si>
  <si>
    <t>TOTAL COUNTRY</t>
  </si>
  <si>
    <t>AVG SALAY</t>
  </si>
  <si>
    <t>Sum of Annual Salary</t>
  </si>
  <si>
    <t>Total salary</t>
  </si>
  <si>
    <t>EMP ID</t>
  </si>
  <si>
    <t>Emp-1</t>
  </si>
  <si>
    <t>Emp-2</t>
  </si>
  <si>
    <t>Emp-3</t>
  </si>
  <si>
    <t>Emp-4</t>
  </si>
  <si>
    <t>Emp-5</t>
  </si>
  <si>
    <t>Emp-6</t>
  </si>
  <si>
    <t>Emp-7</t>
  </si>
  <si>
    <t>Emp-8</t>
  </si>
  <si>
    <t>Emp-9</t>
  </si>
  <si>
    <t>Emp-10</t>
  </si>
  <si>
    <t>Emp-11</t>
  </si>
  <si>
    <t>Emp-12</t>
  </si>
  <si>
    <t>Emp-13</t>
  </si>
  <si>
    <t>Emp-14</t>
  </si>
  <si>
    <t>Emp-15</t>
  </si>
  <si>
    <t>Emp-16</t>
  </si>
  <si>
    <t>Emp-17</t>
  </si>
  <si>
    <t>Emp-18</t>
  </si>
  <si>
    <t>Emp-19</t>
  </si>
  <si>
    <t>Emp-20</t>
  </si>
  <si>
    <t>Emp-21</t>
  </si>
  <si>
    <t>Emp-22</t>
  </si>
  <si>
    <t>Emp-23</t>
  </si>
  <si>
    <t>Emp-24</t>
  </si>
  <si>
    <t>Emp-25</t>
  </si>
  <si>
    <t>Emp-26</t>
  </si>
  <si>
    <t>Emp-27</t>
  </si>
  <si>
    <t>Emp-28</t>
  </si>
  <si>
    <t>Emp-29</t>
  </si>
  <si>
    <t>Emp-30</t>
  </si>
  <si>
    <t>Emp-31</t>
  </si>
  <si>
    <t>Emp-32</t>
  </si>
  <si>
    <t>Emp-33</t>
  </si>
  <si>
    <t>Emp-34</t>
  </si>
  <si>
    <t>Emp-35</t>
  </si>
  <si>
    <t>Emp-36</t>
  </si>
  <si>
    <t>Emp-37</t>
  </si>
  <si>
    <t>Emp-38</t>
  </si>
  <si>
    <t>Emp-39</t>
  </si>
  <si>
    <t>Emp-40</t>
  </si>
  <si>
    <t>Emp-41</t>
  </si>
  <si>
    <t>Emp-42</t>
  </si>
  <si>
    <t>Emp-43</t>
  </si>
  <si>
    <t>Emp-44</t>
  </si>
  <si>
    <t>Emp-45</t>
  </si>
  <si>
    <t>Emp-46</t>
  </si>
  <si>
    <t>Emp-47</t>
  </si>
  <si>
    <t>Emp-48</t>
  </si>
  <si>
    <t>Emp-49</t>
  </si>
  <si>
    <t>Emp-50</t>
  </si>
  <si>
    <t>Emp-51</t>
  </si>
  <si>
    <t>Emp-52</t>
  </si>
  <si>
    <t>Emp-53</t>
  </si>
  <si>
    <t>Emp-54</t>
  </si>
  <si>
    <t>Emp-55</t>
  </si>
  <si>
    <t>Emp-56</t>
  </si>
  <si>
    <t>Emp-57</t>
  </si>
  <si>
    <t>Emp-58</t>
  </si>
  <si>
    <t>Emp-59</t>
  </si>
  <si>
    <t>Emp-60</t>
  </si>
  <si>
    <t>Emp-61</t>
  </si>
  <si>
    <t>Emp-62</t>
  </si>
  <si>
    <t>Emp-63</t>
  </si>
  <si>
    <t>Emp-64</t>
  </si>
  <si>
    <t>Emp-65</t>
  </si>
  <si>
    <t>Emp-66</t>
  </si>
  <si>
    <t>Emp-67</t>
  </si>
  <si>
    <t>Emp-68</t>
  </si>
  <si>
    <t>Emp-69</t>
  </si>
  <si>
    <t>Emp-70</t>
  </si>
  <si>
    <t>Emp-71</t>
  </si>
  <si>
    <t>Emp-72</t>
  </si>
  <si>
    <t>Emp-73</t>
  </si>
  <si>
    <t>Emp-74</t>
  </si>
  <si>
    <t>Emp-75</t>
  </si>
  <si>
    <t>Emp-76</t>
  </si>
  <si>
    <t>Emp-77</t>
  </si>
  <si>
    <t>Emp-78</t>
  </si>
  <si>
    <t>Emp-79</t>
  </si>
  <si>
    <t>Emp-80</t>
  </si>
  <si>
    <t>Emp-81</t>
  </si>
  <si>
    <t>Emp-82</t>
  </si>
  <si>
    <t>Emp-83</t>
  </si>
  <si>
    <t>Emp-84</t>
  </si>
  <si>
    <t>Emp-85</t>
  </si>
  <si>
    <t>Emp-86</t>
  </si>
  <si>
    <t>Emp-87</t>
  </si>
  <si>
    <t>Emp-88</t>
  </si>
  <si>
    <t>Emp-89</t>
  </si>
  <si>
    <t>Emp-90</t>
  </si>
  <si>
    <t>Emp-91</t>
  </si>
  <si>
    <t>Emp-92</t>
  </si>
  <si>
    <t>Emp-93</t>
  </si>
  <si>
    <t>Emp-94</t>
  </si>
  <si>
    <t>Emp-95</t>
  </si>
  <si>
    <t>Emp-96</t>
  </si>
  <si>
    <t>Emp-97</t>
  </si>
  <si>
    <t>Emp-98</t>
  </si>
  <si>
    <t>Emp-99</t>
  </si>
  <si>
    <t>Emp-100</t>
  </si>
  <si>
    <t>Emp-101</t>
  </si>
  <si>
    <t>Emp-102</t>
  </si>
  <si>
    <t>Emp-103</t>
  </si>
  <si>
    <t>Emp-104</t>
  </si>
  <si>
    <t>Emp-105</t>
  </si>
  <si>
    <t>Emp-106</t>
  </si>
  <si>
    <t>Emp-107</t>
  </si>
  <si>
    <t>Emp-108</t>
  </si>
  <si>
    <t>Emp-109</t>
  </si>
  <si>
    <t>Emp-110</t>
  </si>
  <si>
    <t>Emp-111</t>
  </si>
  <si>
    <t>Emp-112</t>
  </si>
  <si>
    <t>Emp-113</t>
  </si>
  <si>
    <t>Emp-114</t>
  </si>
  <si>
    <t>Emp-115</t>
  </si>
  <si>
    <t>Emp-116</t>
  </si>
  <si>
    <t>Emp-117</t>
  </si>
  <si>
    <t>Emp-118</t>
  </si>
  <si>
    <t>Emp-119</t>
  </si>
  <si>
    <t>Emp-120</t>
  </si>
  <si>
    <t>Emp-121</t>
  </si>
  <si>
    <t>Emp-122</t>
  </si>
  <si>
    <t>Emp-123</t>
  </si>
  <si>
    <t>Emp-124</t>
  </si>
  <si>
    <t>Emp-125</t>
  </si>
  <si>
    <t>Emp-126</t>
  </si>
  <si>
    <t>Emp-127</t>
  </si>
  <si>
    <t>Emp-128</t>
  </si>
  <si>
    <t>Emp-129</t>
  </si>
  <si>
    <t>Emp-130</t>
  </si>
  <si>
    <t>Emp-131</t>
  </si>
  <si>
    <t>Emp-132</t>
  </si>
  <si>
    <t>Emp-133</t>
  </si>
  <si>
    <t>Emp-134</t>
  </si>
  <si>
    <t>Emp-135</t>
  </si>
  <si>
    <t>Emp-136</t>
  </si>
  <si>
    <t>Emp-137</t>
  </si>
  <si>
    <t>Emp-138</t>
  </si>
  <si>
    <t>Emp-139</t>
  </si>
  <si>
    <t>Emp-140</t>
  </si>
  <si>
    <t>Emp-141</t>
  </si>
  <si>
    <t>Emp-142</t>
  </si>
  <si>
    <t>Emp-143</t>
  </si>
  <si>
    <t>Emp-144</t>
  </si>
  <si>
    <t>Emp-145</t>
  </si>
  <si>
    <t>Emp-146</t>
  </si>
  <si>
    <t>Emp-147</t>
  </si>
  <si>
    <t>Emp-148</t>
  </si>
  <si>
    <t>Emp-149</t>
  </si>
  <si>
    <t>Emp-150</t>
  </si>
  <si>
    <t>Emp-151</t>
  </si>
  <si>
    <t>Emp-152</t>
  </si>
  <si>
    <t>Emp-153</t>
  </si>
  <si>
    <t>Emp-154</t>
  </si>
  <si>
    <t>Emp-155</t>
  </si>
  <si>
    <t>Emp-156</t>
  </si>
  <si>
    <t>Emp-157</t>
  </si>
  <si>
    <t>Emp-158</t>
  </si>
  <si>
    <t>Emp-159</t>
  </si>
  <si>
    <t>Emp-160</t>
  </si>
  <si>
    <t>Emp-161</t>
  </si>
  <si>
    <t>Emp-162</t>
  </si>
  <si>
    <t>Emp-163</t>
  </si>
  <si>
    <t>Emp-164</t>
  </si>
  <si>
    <t>Emp-165</t>
  </si>
  <si>
    <t>Emp-166</t>
  </si>
  <si>
    <t>Emp-167</t>
  </si>
  <si>
    <t>Emp-168</t>
  </si>
  <si>
    <t>Emp-169</t>
  </si>
  <si>
    <t>Emp-170</t>
  </si>
  <si>
    <t>Emp-171</t>
  </si>
  <si>
    <t>Emp-172</t>
  </si>
  <si>
    <t>Emp-173</t>
  </si>
  <si>
    <t>Emp-174</t>
  </si>
  <si>
    <t>Emp-175</t>
  </si>
  <si>
    <t>Emp-176</t>
  </si>
  <si>
    <t>Emp-177</t>
  </si>
  <si>
    <t>Emp-178</t>
  </si>
  <si>
    <t>Emp-179</t>
  </si>
  <si>
    <t>Emp-180</t>
  </si>
  <si>
    <t>Emp-181</t>
  </si>
  <si>
    <t>Emp-182</t>
  </si>
  <si>
    <t>Emp-183</t>
  </si>
  <si>
    <t>Emp-184</t>
  </si>
  <si>
    <t>Emp-185</t>
  </si>
  <si>
    <t>Emp-186</t>
  </si>
  <si>
    <t>Emp-187</t>
  </si>
  <si>
    <t>Emp-188</t>
  </si>
  <si>
    <t>Emp-189</t>
  </si>
  <si>
    <t>Emp-190</t>
  </si>
  <si>
    <t>Emp-191</t>
  </si>
  <si>
    <t>Emp-192</t>
  </si>
  <si>
    <t>Emp-193</t>
  </si>
  <si>
    <t>Emp-194</t>
  </si>
  <si>
    <t>Emp-195</t>
  </si>
  <si>
    <t>Emp-196</t>
  </si>
  <si>
    <t>Emp-197</t>
  </si>
  <si>
    <t>Emp-198</t>
  </si>
  <si>
    <t>Emp-199</t>
  </si>
  <si>
    <t>Emp-200</t>
  </si>
  <si>
    <t>Emp-201</t>
  </si>
  <si>
    <t>Emp-202</t>
  </si>
  <si>
    <t>Emp-203</t>
  </si>
  <si>
    <t>Emp-204</t>
  </si>
  <si>
    <t>Emp-205</t>
  </si>
  <si>
    <t>Emp-206</t>
  </si>
  <si>
    <t>Emp-207</t>
  </si>
  <si>
    <t>Emp-208</t>
  </si>
  <si>
    <t>Emp-209</t>
  </si>
  <si>
    <t>Emp-210</t>
  </si>
  <si>
    <t>Emp-211</t>
  </si>
  <si>
    <t>Emp-212</t>
  </si>
  <si>
    <t>Emp-213</t>
  </si>
  <si>
    <t>Emp-214</t>
  </si>
  <si>
    <t>Emp-215</t>
  </si>
  <si>
    <t>Emp-216</t>
  </si>
  <si>
    <t>Emp-217</t>
  </si>
  <si>
    <t>Emp-218</t>
  </si>
  <si>
    <t>Emp-219</t>
  </si>
  <si>
    <t>Emp-220</t>
  </si>
  <si>
    <t>Emp-221</t>
  </si>
  <si>
    <t>Emp-222</t>
  </si>
  <si>
    <t>Emp-223</t>
  </si>
  <si>
    <t>Emp-224</t>
  </si>
  <si>
    <t>Emp-225</t>
  </si>
  <si>
    <t>Emp-226</t>
  </si>
  <si>
    <t>Emp-227</t>
  </si>
  <si>
    <t>Emp-228</t>
  </si>
  <si>
    <t>Emp-229</t>
  </si>
  <si>
    <t>Emp-230</t>
  </si>
  <si>
    <t>Emp-231</t>
  </si>
  <si>
    <t>Emp-232</t>
  </si>
  <si>
    <t>Emp-233</t>
  </si>
  <si>
    <t>Emp-234</t>
  </si>
  <si>
    <t>Emp-235</t>
  </si>
  <si>
    <t>Emp-236</t>
  </si>
  <si>
    <t>Emp-237</t>
  </si>
  <si>
    <t>Emp-238</t>
  </si>
  <si>
    <t>Emp-239</t>
  </si>
  <si>
    <t>Emp-240</t>
  </si>
  <si>
    <t>Emp-241</t>
  </si>
  <si>
    <t>Emp-242</t>
  </si>
  <si>
    <t>Emp-243</t>
  </si>
  <si>
    <t>Emp-244</t>
  </si>
  <si>
    <t>Emp-245</t>
  </si>
  <si>
    <t>Emp-246</t>
  </si>
  <si>
    <t>Emp-247</t>
  </si>
  <si>
    <t>Emp-248</t>
  </si>
  <si>
    <t>Emp-249</t>
  </si>
  <si>
    <t>Emp-250</t>
  </si>
  <si>
    <t>Emp-251</t>
  </si>
  <si>
    <t>Emp-252</t>
  </si>
  <si>
    <t>Emp-253</t>
  </si>
  <si>
    <t>Emp-254</t>
  </si>
  <si>
    <t>Emp-255</t>
  </si>
  <si>
    <t>Emp-256</t>
  </si>
  <si>
    <t>Emp-257</t>
  </si>
  <si>
    <t>Emp-258</t>
  </si>
  <si>
    <t>Emp-259</t>
  </si>
  <si>
    <t>Emp-260</t>
  </si>
  <si>
    <t>Emp-261</t>
  </si>
  <si>
    <t>Emp-262</t>
  </si>
  <si>
    <t>Emp-263</t>
  </si>
  <si>
    <t>Emp-264</t>
  </si>
  <si>
    <t>Emp-265</t>
  </si>
  <si>
    <t>Emp-266</t>
  </si>
  <si>
    <t>Emp-267</t>
  </si>
  <si>
    <t>Emp-268</t>
  </si>
  <si>
    <t>Emp-269</t>
  </si>
  <si>
    <t>Emp-270</t>
  </si>
  <si>
    <t>Emp-271</t>
  </si>
  <si>
    <t>Emp-272</t>
  </si>
  <si>
    <t>Emp-273</t>
  </si>
  <si>
    <t>Emp-274</t>
  </si>
  <si>
    <t>Emp-275</t>
  </si>
  <si>
    <t>Emp-276</t>
  </si>
  <si>
    <t>Emp-277</t>
  </si>
  <si>
    <t>Emp-278</t>
  </si>
  <si>
    <t>Emp-279</t>
  </si>
  <si>
    <t>Emp-280</t>
  </si>
  <si>
    <t>Emp-281</t>
  </si>
  <si>
    <t>Emp-282</t>
  </si>
  <si>
    <t>Emp-283</t>
  </si>
  <si>
    <t>Emp-284</t>
  </si>
  <si>
    <t>Emp-285</t>
  </si>
  <si>
    <t>Emp-286</t>
  </si>
  <si>
    <t>Emp-287</t>
  </si>
  <si>
    <t>Emp-288</t>
  </si>
  <si>
    <t>Emp-289</t>
  </si>
  <si>
    <t>Emp-290</t>
  </si>
  <si>
    <t>Emp-291</t>
  </si>
  <si>
    <t>Emp-292</t>
  </si>
  <si>
    <t>Emp-293</t>
  </si>
  <si>
    <t>Emp-294</t>
  </si>
  <si>
    <t>Emp-295</t>
  </si>
  <si>
    <t>Emp-296</t>
  </si>
  <si>
    <t>Emp-297</t>
  </si>
  <si>
    <t>Emp-298</t>
  </si>
  <si>
    <t>Emp-299</t>
  </si>
  <si>
    <t>Emp-300</t>
  </si>
  <si>
    <t>Emp-301</t>
  </si>
  <si>
    <t>Emp-302</t>
  </si>
  <si>
    <t>Emp-303</t>
  </si>
  <si>
    <t>Emp-304</t>
  </si>
  <si>
    <t>Emp-305</t>
  </si>
  <si>
    <t>Emp-306</t>
  </si>
  <si>
    <t>Emp-307</t>
  </si>
  <si>
    <t>Emp-308</t>
  </si>
  <si>
    <t>Emp-309</t>
  </si>
  <si>
    <t>Emp-310</t>
  </si>
  <si>
    <t>Emp-311</t>
  </si>
  <si>
    <t>Emp-312</t>
  </si>
  <si>
    <t>Emp-313</t>
  </si>
  <si>
    <t>Emp-314</t>
  </si>
  <si>
    <t>Emp-315</t>
  </si>
  <si>
    <t>Emp-316</t>
  </si>
  <si>
    <t>Emp-317</t>
  </si>
  <si>
    <t>Emp-318</t>
  </si>
  <si>
    <t>Emp-319</t>
  </si>
  <si>
    <t>Emp-320</t>
  </si>
  <si>
    <t>Emp-321</t>
  </si>
  <si>
    <t>Emp-322</t>
  </si>
  <si>
    <t>Emp-323</t>
  </si>
  <si>
    <t>Emp-324</t>
  </si>
  <si>
    <t>Emp-325</t>
  </si>
  <si>
    <t>Emp-326</t>
  </si>
  <si>
    <t>Emp-327</t>
  </si>
  <si>
    <t>Emp-328</t>
  </si>
  <si>
    <t>Emp-329</t>
  </si>
  <si>
    <t>Emp-330</t>
  </si>
  <si>
    <t>Emp-331</t>
  </si>
  <si>
    <t>Emp-332</t>
  </si>
  <si>
    <t>Emp-333</t>
  </si>
  <si>
    <t>Emp-334</t>
  </si>
  <si>
    <t>Emp-335</t>
  </si>
  <si>
    <t>Emp-336</t>
  </si>
  <si>
    <t>Emp-337</t>
  </si>
  <si>
    <t>Emp-338</t>
  </si>
  <si>
    <t>Emp-339</t>
  </si>
  <si>
    <t>Emp-340</t>
  </si>
  <si>
    <t>Emp-341</t>
  </si>
  <si>
    <t>Emp-342</t>
  </si>
  <si>
    <t>Emp-343</t>
  </si>
  <si>
    <t>Emp-344</t>
  </si>
  <si>
    <t>Emp-345</t>
  </si>
  <si>
    <t>Emp-346</t>
  </si>
  <si>
    <t>Emp-347</t>
  </si>
  <si>
    <t>Emp-348</t>
  </si>
  <si>
    <t>Emp-349</t>
  </si>
  <si>
    <t>Emp-350</t>
  </si>
  <si>
    <t>Emp-351</t>
  </si>
  <si>
    <t>Emp-352</t>
  </si>
  <si>
    <t>Emp-353</t>
  </si>
  <si>
    <t>Emp-354</t>
  </si>
  <si>
    <t>Emp-355</t>
  </si>
  <si>
    <t>Emp-356</t>
  </si>
  <si>
    <t>Emp-357</t>
  </si>
  <si>
    <t>Emp-358</t>
  </si>
  <si>
    <t>Emp-359</t>
  </si>
  <si>
    <t>Emp-360</t>
  </si>
  <si>
    <t>Emp-361</t>
  </si>
  <si>
    <t>Emp-362</t>
  </si>
  <si>
    <t>Emp-363</t>
  </si>
  <si>
    <t>Emp-364</t>
  </si>
  <si>
    <t>Emp-365</t>
  </si>
  <si>
    <t>Emp-366</t>
  </si>
  <si>
    <t>Emp-367</t>
  </si>
  <si>
    <t>Emp-368</t>
  </si>
  <si>
    <t>Emp-369</t>
  </si>
  <si>
    <t>Emp-370</t>
  </si>
  <si>
    <t>Emp-371</t>
  </si>
  <si>
    <t>Emp-372</t>
  </si>
  <si>
    <t>Emp-373</t>
  </si>
  <si>
    <t>Emp-374</t>
  </si>
  <si>
    <t>Emp-375</t>
  </si>
  <si>
    <t>Emp-376</t>
  </si>
  <si>
    <t>Emp-377</t>
  </si>
  <si>
    <t>Emp-378</t>
  </si>
  <si>
    <t>Emp-379</t>
  </si>
  <si>
    <t>Emp-380</t>
  </si>
  <si>
    <t>Emp-381</t>
  </si>
  <si>
    <t>Emp-382</t>
  </si>
  <si>
    <t>Emp-383</t>
  </si>
  <si>
    <t>Emp-384</t>
  </si>
  <si>
    <t>Emp-385</t>
  </si>
  <si>
    <t>Emp-386</t>
  </si>
  <si>
    <t>Emp-387</t>
  </si>
  <si>
    <t>Emp-388</t>
  </si>
  <si>
    <t>Emp-389</t>
  </si>
  <si>
    <t>Emp-390</t>
  </si>
  <si>
    <t>Emp-391</t>
  </si>
  <si>
    <t>Emp-392</t>
  </si>
  <si>
    <t>Emp-393</t>
  </si>
  <si>
    <t>Emp-394</t>
  </si>
  <si>
    <t>Emp-395</t>
  </si>
  <si>
    <t>Emp-396</t>
  </si>
  <si>
    <t>Emp-397</t>
  </si>
  <si>
    <t>Emp-398</t>
  </si>
  <si>
    <t>Emp-399</t>
  </si>
  <si>
    <t>Emp-400</t>
  </si>
  <si>
    <t>Emp-401</t>
  </si>
  <si>
    <t>Emp-402</t>
  </si>
  <si>
    <t>Emp-403</t>
  </si>
  <si>
    <t>Emp-404</t>
  </si>
  <si>
    <t>Emp-405</t>
  </si>
  <si>
    <t>Emp-406</t>
  </si>
  <si>
    <t>Emp-407</t>
  </si>
  <si>
    <t>Emp-408</t>
  </si>
  <si>
    <t>Emp-409</t>
  </si>
  <si>
    <t>Emp-410</t>
  </si>
  <si>
    <t>Emp-411</t>
  </si>
  <si>
    <t>Emp-412</t>
  </si>
  <si>
    <t>Emp-413</t>
  </si>
  <si>
    <t>Emp-414</t>
  </si>
  <si>
    <t>Emp-415</t>
  </si>
  <si>
    <t>Emp-416</t>
  </si>
  <si>
    <t>Emp-417</t>
  </si>
  <si>
    <t>Emp-418</t>
  </si>
  <si>
    <t>Emp-419</t>
  </si>
  <si>
    <t>Emp-420</t>
  </si>
  <si>
    <t>Emp-421</t>
  </si>
  <si>
    <t>Emp-422</t>
  </si>
  <si>
    <t>Emp-423</t>
  </si>
  <si>
    <t>Emp-424</t>
  </si>
  <si>
    <t>Emp-425</t>
  </si>
  <si>
    <t>Emp-426</t>
  </si>
  <si>
    <t>Emp-427</t>
  </si>
  <si>
    <t>Emp-428</t>
  </si>
  <si>
    <t>Emp-429</t>
  </si>
  <si>
    <t>Emp-430</t>
  </si>
  <si>
    <t>Emp-431</t>
  </si>
  <si>
    <t>Emp-432</t>
  </si>
  <si>
    <t>Emp-433</t>
  </si>
  <si>
    <t>Emp-434</t>
  </si>
  <si>
    <t>Emp-435</t>
  </si>
  <si>
    <t>Emp-436</t>
  </si>
  <si>
    <t>Emp-437</t>
  </si>
  <si>
    <t>Emp-438</t>
  </si>
  <si>
    <t>Emp-439</t>
  </si>
  <si>
    <t>Emp-440</t>
  </si>
  <si>
    <t>Emp-441</t>
  </si>
  <si>
    <t>Emp-442</t>
  </si>
  <si>
    <t>Emp-443</t>
  </si>
  <si>
    <t>Emp-444</t>
  </si>
  <si>
    <t>Emp-445</t>
  </si>
  <si>
    <t>Emp-446</t>
  </si>
  <si>
    <t>Emp-447</t>
  </si>
  <si>
    <t>Emp-448</t>
  </si>
  <si>
    <t>Emp-449</t>
  </si>
  <si>
    <t>Emp-450</t>
  </si>
  <si>
    <t>Emp-451</t>
  </si>
  <si>
    <t>Emp-452</t>
  </si>
  <si>
    <t>Emp-453</t>
  </si>
  <si>
    <t>Emp-454</t>
  </si>
  <si>
    <t>Emp-455</t>
  </si>
  <si>
    <t>Emp-456</t>
  </si>
  <si>
    <t>Emp-457</t>
  </si>
  <si>
    <t>Emp-458</t>
  </si>
  <si>
    <t>Emp-459</t>
  </si>
  <si>
    <t>Emp-460</t>
  </si>
  <si>
    <t>Emp-461</t>
  </si>
  <si>
    <t>Emp-462</t>
  </si>
  <si>
    <t>Emp-463</t>
  </si>
  <si>
    <t>Emp-464</t>
  </si>
  <si>
    <t>Emp-465</t>
  </si>
  <si>
    <t>Emp-466</t>
  </si>
  <si>
    <t>Emp-467</t>
  </si>
  <si>
    <t>Emp-468</t>
  </si>
  <si>
    <t>Emp-469</t>
  </si>
  <si>
    <t>Emp-470</t>
  </si>
  <si>
    <t>Emp-471</t>
  </si>
  <si>
    <t>Emp-472</t>
  </si>
  <si>
    <t>Emp-473</t>
  </si>
  <si>
    <t>Emp-474</t>
  </si>
  <si>
    <t>Emp-475</t>
  </si>
  <si>
    <t>Emp-476</t>
  </si>
  <si>
    <t>Emp-477</t>
  </si>
  <si>
    <t>Emp-478</t>
  </si>
  <si>
    <t>Emp-479</t>
  </si>
  <si>
    <t>Emp-480</t>
  </si>
  <si>
    <t>Emp-481</t>
  </si>
  <si>
    <t>Emp-482</t>
  </si>
  <si>
    <t>Emp-483</t>
  </si>
  <si>
    <t>Emp-484</t>
  </si>
  <si>
    <t>Emp-485</t>
  </si>
  <si>
    <t>Emp-486</t>
  </si>
  <si>
    <t>Emp-487</t>
  </si>
  <si>
    <t>Emp-488</t>
  </si>
  <si>
    <t>Emp-489</t>
  </si>
  <si>
    <t>Emp-490</t>
  </si>
  <si>
    <t>Emp-491</t>
  </si>
  <si>
    <t>Emp-492</t>
  </si>
  <si>
    <t>Emp-493</t>
  </si>
  <si>
    <t>Emp-494</t>
  </si>
  <si>
    <t>Emp-495</t>
  </si>
  <si>
    <t>Emp-496</t>
  </si>
  <si>
    <t>Emp-497</t>
  </si>
  <si>
    <t>Emp-498</t>
  </si>
  <si>
    <t>Emp-499</t>
  </si>
  <si>
    <t>Emp-500</t>
  </si>
  <si>
    <t>Emp-501</t>
  </si>
  <si>
    <t>Emp-502</t>
  </si>
  <si>
    <t>Emp-503</t>
  </si>
  <si>
    <t>Emp-504</t>
  </si>
  <si>
    <t>Emp-505</t>
  </si>
  <si>
    <t>Emp-506</t>
  </si>
  <si>
    <t>Emp-507</t>
  </si>
  <si>
    <t>Emp-508</t>
  </si>
  <si>
    <t>Emp-509</t>
  </si>
  <si>
    <t>Emp-510</t>
  </si>
  <si>
    <t>Emp-511</t>
  </si>
  <si>
    <t>Emp-512</t>
  </si>
  <si>
    <t>Emp-513</t>
  </si>
  <si>
    <t>Emp-514</t>
  </si>
  <si>
    <t>Emp-515</t>
  </si>
  <si>
    <t>Emp-516</t>
  </si>
  <si>
    <t>Emp-517</t>
  </si>
  <si>
    <t>Emp-518</t>
  </si>
  <si>
    <t>Emp-519</t>
  </si>
  <si>
    <t>Emp-520</t>
  </si>
  <si>
    <t>Emp-521</t>
  </si>
  <si>
    <t>Emp-522</t>
  </si>
  <si>
    <t>Emp-523</t>
  </si>
  <si>
    <t>Emp-524</t>
  </si>
  <si>
    <t>Emp-525</t>
  </si>
  <si>
    <t>Emp-526</t>
  </si>
  <si>
    <t>Emp-527</t>
  </si>
  <si>
    <t>Emp-528</t>
  </si>
  <si>
    <t>Emp-529</t>
  </si>
  <si>
    <t>Emp-530</t>
  </si>
  <si>
    <t>Emp-531</t>
  </si>
  <si>
    <t>Emp-532</t>
  </si>
  <si>
    <t>Emp-533</t>
  </si>
  <si>
    <t>Emp-534</t>
  </si>
  <si>
    <t>Emp-535</t>
  </si>
  <si>
    <t>Emp-536</t>
  </si>
  <si>
    <t>Emp-537</t>
  </si>
  <si>
    <t>Emp-538</t>
  </si>
  <si>
    <t>Emp-539</t>
  </si>
  <si>
    <t>Emp-540</t>
  </si>
  <si>
    <t>Emp-541</t>
  </si>
  <si>
    <t>Emp-542</t>
  </si>
  <si>
    <t>Emp-543</t>
  </si>
  <si>
    <t>Emp-544</t>
  </si>
  <si>
    <t>Emp-545</t>
  </si>
  <si>
    <t>Emp-546</t>
  </si>
  <si>
    <t>Emp-547</t>
  </si>
  <si>
    <t>Emp-548</t>
  </si>
  <si>
    <t>Emp-549</t>
  </si>
  <si>
    <t>Emp-550</t>
  </si>
  <si>
    <t>Emp-551</t>
  </si>
  <si>
    <t>Emp-552</t>
  </si>
  <si>
    <t>Emp-553</t>
  </si>
  <si>
    <t>Emp-554</t>
  </si>
  <si>
    <t>Emp-555</t>
  </si>
  <si>
    <t>Emp-556</t>
  </si>
  <si>
    <t>Emp-557</t>
  </si>
  <si>
    <t>Emp-558</t>
  </si>
  <si>
    <t>Emp-559</t>
  </si>
  <si>
    <t>Emp-560</t>
  </si>
  <si>
    <t>Emp-561</t>
  </si>
  <si>
    <t>Emp-562</t>
  </si>
  <si>
    <t>Emp-563</t>
  </si>
  <si>
    <t>Emp-564</t>
  </si>
  <si>
    <t>Emp-565</t>
  </si>
  <si>
    <t>Emp-566</t>
  </si>
  <si>
    <t>Emp-567</t>
  </si>
  <si>
    <t>Emp-568</t>
  </si>
  <si>
    <t>Emp-569</t>
  </si>
  <si>
    <t>Emp-570</t>
  </si>
  <si>
    <t>Emp-571</t>
  </si>
  <si>
    <t>Emp-572</t>
  </si>
  <si>
    <t>Emp-573</t>
  </si>
  <si>
    <t>Emp-574</t>
  </si>
  <si>
    <t>Emp-575</t>
  </si>
  <si>
    <t>Emp-576</t>
  </si>
  <si>
    <t>Emp-577</t>
  </si>
  <si>
    <t>Emp-578</t>
  </si>
  <si>
    <t>Emp-579</t>
  </si>
  <si>
    <t>Emp-580</t>
  </si>
  <si>
    <t>Emp-581</t>
  </si>
  <si>
    <t>Emp-582</t>
  </si>
  <si>
    <t>Emp-583</t>
  </si>
  <si>
    <t>Emp-584</t>
  </si>
  <si>
    <t>Emp-585</t>
  </si>
  <si>
    <t>Emp-586</t>
  </si>
  <si>
    <t>Emp-587</t>
  </si>
  <si>
    <t>Emp-588</t>
  </si>
  <si>
    <t>Emp-589</t>
  </si>
  <si>
    <t>Emp-590</t>
  </si>
  <si>
    <t>Emp-591</t>
  </si>
  <si>
    <t>Emp-592</t>
  </si>
  <si>
    <t>Emp-593</t>
  </si>
  <si>
    <t>Emp-594</t>
  </si>
  <si>
    <t>Emp-595</t>
  </si>
  <si>
    <t>Emp-596</t>
  </si>
  <si>
    <t>Emp-597</t>
  </si>
  <si>
    <t>Emp-598</t>
  </si>
  <si>
    <t>Emp-599</t>
  </si>
  <si>
    <t>Emp-600</t>
  </si>
  <si>
    <t>Emp-601</t>
  </si>
  <si>
    <t>Emp-602</t>
  </si>
  <si>
    <t>Emp-603</t>
  </si>
  <si>
    <t>Emp-604</t>
  </si>
  <si>
    <t>Emp-605</t>
  </si>
  <si>
    <t>Emp-606</t>
  </si>
  <si>
    <t>Emp-607</t>
  </si>
  <si>
    <t>Emp-608</t>
  </si>
  <si>
    <t>Emp-609</t>
  </si>
  <si>
    <t>Emp-610</t>
  </si>
  <si>
    <t>Emp-611</t>
  </si>
  <si>
    <t>Emp-612</t>
  </si>
  <si>
    <t>Emp-613</t>
  </si>
  <si>
    <t>Emp-614</t>
  </si>
  <si>
    <t>Emp-615</t>
  </si>
  <si>
    <t>Emp-616</t>
  </si>
  <si>
    <t>Emp-617</t>
  </si>
  <si>
    <t>Emp-618</t>
  </si>
  <si>
    <t>Emp-619</t>
  </si>
  <si>
    <t>Emp-620</t>
  </si>
  <si>
    <t>Emp-621</t>
  </si>
  <si>
    <t>Emp-622</t>
  </si>
  <si>
    <t>Emp-623</t>
  </si>
  <si>
    <t>Emp-624</t>
  </si>
  <si>
    <t>Emp-625</t>
  </si>
  <si>
    <t>Emp-626</t>
  </si>
  <si>
    <t>Emp-627</t>
  </si>
  <si>
    <t>Emp-628</t>
  </si>
  <si>
    <t>Emp-629</t>
  </si>
  <si>
    <t>Emp-630</t>
  </si>
  <si>
    <t>Emp-631</t>
  </si>
  <si>
    <t>Emp-632</t>
  </si>
  <si>
    <t>Emp-633</t>
  </si>
  <si>
    <t>Emp-634</t>
  </si>
  <si>
    <t>Emp-635</t>
  </si>
  <si>
    <t>Emp-636</t>
  </si>
  <si>
    <t>Emp-637</t>
  </si>
  <si>
    <t>Emp-638</t>
  </si>
  <si>
    <t>Emp-639</t>
  </si>
  <si>
    <t>Emp-640</t>
  </si>
  <si>
    <t>Emp-641</t>
  </si>
  <si>
    <t>Emp-642</t>
  </si>
  <si>
    <t>Emp-643</t>
  </si>
  <si>
    <t>Emp-644</t>
  </si>
  <si>
    <t>Emp-645</t>
  </si>
  <si>
    <t>Emp-646</t>
  </si>
  <si>
    <t>Emp-647</t>
  </si>
  <si>
    <t>Emp-648</t>
  </si>
  <si>
    <t>Emp-649</t>
  </si>
  <si>
    <t>Emp-650</t>
  </si>
  <si>
    <t>Emp-651</t>
  </si>
  <si>
    <t>Emp-652</t>
  </si>
  <si>
    <t>Emp-653</t>
  </si>
  <si>
    <t>Emp-654</t>
  </si>
  <si>
    <t>Emp-655</t>
  </si>
  <si>
    <t>Emp-656</t>
  </si>
  <si>
    <t>Emp-657</t>
  </si>
  <si>
    <t>Emp-658</t>
  </si>
  <si>
    <t>Emp-659</t>
  </si>
  <si>
    <t>Emp-660</t>
  </si>
  <si>
    <t>Emp-661</t>
  </si>
  <si>
    <t>Emp-662</t>
  </si>
  <si>
    <t>Emp-663</t>
  </si>
  <si>
    <t>Emp-664</t>
  </si>
  <si>
    <t>Emp-665</t>
  </si>
  <si>
    <t>Emp-666</t>
  </si>
  <si>
    <t>Emp-667</t>
  </si>
  <si>
    <t>Emp-668</t>
  </si>
  <si>
    <t>Emp-669</t>
  </si>
  <si>
    <t>Emp-670</t>
  </si>
  <si>
    <t>Emp-671</t>
  </si>
  <si>
    <t>Emp-672</t>
  </si>
  <si>
    <t>Emp-673</t>
  </si>
  <si>
    <t>Emp-674</t>
  </si>
  <si>
    <t>Emp-675</t>
  </si>
  <si>
    <t>Emp-676</t>
  </si>
  <si>
    <t>Emp-677</t>
  </si>
  <si>
    <t>Emp-678</t>
  </si>
  <si>
    <t>Emp-679</t>
  </si>
  <si>
    <t>Emp-680</t>
  </si>
  <si>
    <t>Emp-681</t>
  </si>
  <si>
    <t>Emp-682</t>
  </si>
  <si>
    <t>Emp-683</t>
  </si>
  <si>
    <t>Emp-684</t>
  </si>
  <si>
    <t>Emp-685</t>
  </si>
  <si>
    <t>Emp-686</t>
  </si>
  <si>
    <t>Emp-687</t>
  </si>
  <si>
    <t>Emp-688</t>
  </si>
  <si>
    <t>Emp-689</t>
  </si>
  <si>
    <t>Emp-690</t>
  </si>
  <si>
    <t>Emp-691</t>
  </si>
  <si>
    <t>Emp-692</t>
  </si>
  <si>
    <t>Emp-693</t>
  </si>
  <si>
    <t>Emp-694</t>
  </si>
  <si>
    <t>Emp-695</t>
  </si>
  <si>
    <t>Emp-696</t>
  </si>
  <si>
    <t>Emp-697</t>
  </si>
  <si>
    <t>Emp-698</t>
  </si>
  <si>
    <t>Emp-699</t>
  </si>
  <si>
    <t>Emp-700</t>
  </si>
  <si>
    <t>Emp-701</t>
  </si>
  <si>
    <t>Emp-702</t>
  </si>
  <si>
    <t>Emp-703</t>
  </si>
  <si>
    <t>Emp-704</t>
  </si>
  <si>
    <t>Emp-705</t>
  </si>
  <si>
    <t>Emp-706</t>
  </si>
  <si>
    <t>Emp-707</t>
  </si>
  <si>
    <t>Emp-708</t>
  </si>
  <si>
    <t>Emp-709</t>
  </si>
  <si>
    <t>Emp-710</t>
  </si>
  <si>
    <t>Emp-711</t>
  </si>
  <si>
    <t>Emp-712</t>
  </si>
  <si>
    <t>Emp-713</t>
  </si>
  <si>
    <t>Emp-714</t>
  </si>
  <si>
    <t>Emp-715</t>
  </si>
  <si>
    <t>Emp-716</t>
  </si>
  <si>
    <t>Emp-717</t>
  </si>
  <si>
    <t>Emp-718</t>
  </si>
  <si>
    <t>Emp-719</t>
  </si>
  <si>
    <t>Emp-720</t>
  </si>
  <si>
    <t>Emp-721</t>
  </si>
  <si>
    <t>Emp-722</t>
  </si>
  <si>
    <t>Emp-723</t>
  </si>
  <si>
    <t>Emp-724</t>
  </si>
  <si>
    <t>Emp-725</t>
  </si>
  <si>
    <t>Emp-726</t>
  </si>
  <si>
    <t>Emp-727</t>
  </si>
  <si>
    <t>Emp-728</t>
  </si>
  <si>
    <t>Emp-729</t>
  </si>
  <si>
    <t>Emp-730</t>
  </si>
  <si>
    <t>Emp-731</t>
  </si>
  <si>
    <t>Emp-732</t>
  </si>
  <si>
    <t>Emp-733</t>
  </si>
  <si>
    <t>Emp-734</t>
  </si>
  <si>
    <t>Emp-735</t>
  </si>
  <si>
    <t>Emp-736</t>
  </si>
  <si>
    <t>Emp-737</t>
  </si>
  <si>
    <t>Emp-738</t>
  </si>
  <si>
    <t>Emp-739</t>
  </si>
  <si>
    <t>Emp-740</t>
  </si>
  <si>
    <t>Emp-741</t>
  </si>
  <si>
    <t>Emp-742</t>
  </si>
  <si>
    <t>Emp-743</t>
  </si>
  <si>
    <t>Emp-744</t>
  </si>
  <si>
    <t>Emp-745</t>
  </si>
  <si>
    <t>Emp-746</t>
  </si>
  <si>
    <t>Emp-747</t>
  </si>
  <si>
    <t>Emp-748</t>
  </si>
  <si>
    <t>Emp-749</t>
  </si>
  <si>
    <t>Emp-750</t>
  </si>
  <si>
    <t>Emp-751</t>
  </si>
  <si>
    <t>Emp-752</t>
  </si>
  <si>
    <t>Emp-753</t>
  </si>
  <si>
    <t>Emp-754</t>
  </si>
  <si>
    <t>Emp-755</t>
  </si>
  <si>
    <t>Emp-756</t>
  </si>
  <si>
    <t>Emp-757</t>
  </si>
  <si>
    <t>Emp-758</t>
  </si>
  <si>
    <t>Emp-759</t>
  </si>
  <si>
    <t>Emp-760</t>
  </si>
  <si>
    <t>Emp-761</t>
  </si>
  <si>
    <t>Emp-762</t>
  </si>
  <si>
    <t>Emp-763</t>
  </si>
  <si>
    <t>Emp-764</t>
  </si>
  <si>
    <t>Emp-765</t>
  </si>
  <si>
    <t>Emp-766</t>
  </si>
  <si>
    <t>Emp-767</t>
  </si>
  <si>
    <t>Emp-768</t>
  </si>
  <si>
    <t>Emp-769</t>
  </si>
  <si>
    <t>Emp-770</t>
  </si>
  <si>
    <t>Emp-771</t>
  </si>
  <si>
    <t>Emp-772</t>
  </si>
  <si>
    <t>Emp-773</t>
  </si>
  <si>
    <t>Emp-774</t>
  </si>
  <si>
    <t>Emp-775</t>
  </si>
  <si>
    <t>Emp-776</t>
  </si>
  <si>
    <t>Emp-777</t>
  </si>
  <si>
    <t>Emp-778</t>
  </si>
  <si>
    <t>Emp-779</t>
  </si>
  <si>
    <t>Emp-780</t>
  </si>
  <si>
    <t>Emp-781</t>
  </si>
  <si>
    <t>Emp-782</t>
  </si>
  <si>
    <t>Emp-783</t>
  </si>
  <si>
    <t>Emp-784</t>
  </si>
  <si>
    <t>Emp-785</t>
  </si>
  <si>
    <t>Emp-786</t>
  </si>
  <si>
    <t>Emp-787</t>
  </si>
  <si>
    <t>Emp-788</t>
  </si>
  <si>
    <t>Emp-789</t>
  </si>
  <si>
    <t>Emp-790</t>
  </si>
  <si>
    <t>Emp-791</t>
  </si>
  <si>
    <t>Emp-792</t>
  </si>
  <si>
    <t>Emp-793</t>
  </si>
  <si>
    <t>Emp-794</t>
  </si>
  <si>
    <t>Emp-795</t>
  </si>
  <si>
    <t>Emp-796</t>
  </si>
  <si>
    <t>Emp-797</t>
  </si>
  <si>
    <t>Emp-798</t>
  </si>
  <si>
    <t>Emp-799</t>
  </si>
  <si>
    <t>Emp-800</t>
  </si>
  <si>
    <t>Emp-801</t>
  </si>
  <si>
    <t>Emp-802</t>
  </si>
  <si>
    <t>Emp-803</t>
  </si>
  <si>
    <t>Emp-804</t>
  </si>
  <si>
    <t>Emp-805</t>
  </si>
  <si>
    <t>Emp-806</t>
  </si>
  <si>
    <t>Emp-807</t>
  </si>
  <si>
    <t>Emp-808</t>
  </si>
  <si>
    <t>Emp-809</t>
  </si>
  <si>
    <t>Emp-810</t>
  </si>
  <si>
    <t>Emp-811</t>
  </si>
  <si>
    <t>Emp-812</t>
  </si>
  <si>
    <t>Emp-813</t>
  </si>
  <si>
    <t>Emp-814</t>
  </si>
  <si>
    <t>Emp-815</t>
  </si>
  <si>
    <t>Emp-816</t>
  </si>
  <si>
    <t>Emp-817</t>
  </si>
  <si>
    <t>Emp-818</t>
  </si>
  <si>
    <t>Emp-819</t>
  </si>
  <si>
    <t>Emp-820</t>
  </si>
  <si>
    <t>Emp-821</t>
  </si>
  <si>
    <t>Emp-822</t>
  </si>
  <si>
    <t>Emp-823</t>
  </si>
  <si>
    <t>Emp-824</t>
  </si>
  <si>
    <t>Emp-825</t>
  </si>
  <si>
    <t>Emp-826</t>
  </si>
  <si>
    <t>Emp-827</t>
  </si>
  <si>
    <t>Emp-828</t>
  </si>
  <si>
    <t>Emp-829</t>
  </si>
  <si>
    <t>Emp-830</t>
  </si>
  <si>
    <t>Emp-831</t>
  </si>
  <si>
    <t>Emp-832</t>
  </si>
  <si>
    <t>Emp-833</t>
  </si>
  <si>
    <t>Emp-834</t>
  </si>
  <si>
    <t>Emp-835</t>
  </si>
  <si>
    <t>Emp-836</t>
  </si>
  <si>
    <t>Emp-837</t>
  </si>
  <si>
    <t>Emp-838</t>
  </si>
  <si>
    <t>Emp-839</t>
  </si>
  <si>
    <t>Emp-840</t>
  </si>
  <si>
    <t>Emp-841</t>
  </si>
  <si>
    <t>Emp-842</t>
  </si>
  <si>
    <t>Emp-843</t>
  </si>
  <si>
    <t>Emp-844</t>
  </si>
  <si>
    <t>Emp-845</t>
  </si>
  <si>
    <t>Emp-846</t>
  </si>
  <si>
    <t>Emp-847</t>
  </si>
  <si>
    <t>Emp-848</t>
  </si>
  <si>
    <t>Emp-849</t>
  </si>
  <si>
    <t>Emp-850</t>
  </si>
  <si>
    <t>Emp-851</t>
  </si>
  <si>
    <t>Emp-852</t>
  </si>
  <si>
    <t>Emp-853</t>
  </si>
  <si>
    <t>Emp-854</t>
  </si>
  <si>
    <t>Emp-855</t>
  </si>
  <si>
    <t>Emp-856</t>
  </si>
  <si>
    <t>Emp-857</t>
  </si>
  <si>
    <t>Emp-858</t>
  </si>
  <si>
    <t>Emp-859</t>
  </si>
  <si>
    <t>Emp-860</t>
  </si>
  <si>
    <t>Emp-861</t>
  </si>
  <si>
    <t>Emp-862</t>
  </si>
  <si>
    <t>Emp-863</t>
  </si>
  <si>
    <t>Emp-864</t>
  </si>
  <si>
    <t>Emp-865</t>
  </si>
  <si>
    <t>Emp-866</t>
  </si>
  <si>
    <t>Emp-867</t>
  </si>
  <si>
    <t>Emp-868</t>
  </si>
  <si>
    <t>Emp-869</t>
  </si>
  <si>
    <t>Emp-870</t>
  </si>
  <si>
    <t>Emp-871</t>
  </si>
  <si>
    <t>Emp-872</t>
  </si>
  <si>
    <t>Emp-873</t>
  </si>
  <si>
    <t>Emp-874</t>
  </si>
  <si>
    <t>Emp-875</t>
  </si>
  <si>
    <t>Emp-876</t>
  </si>
  <si>
    <t>Emp-877</t>
  </si>
  <si>
    <t>Emp-878</t>
  </si>
  <si>
    <t>Emp-879</t>
  </si>
  <si>
    <t>Emp-880</t>
  </si>
  <si>
    <t>Emp-881</t>
  </si>
  <si>
    <t>Emp-882</t>
  </si>
  <si>
    <t>Emp-883</t>
  </si>
  <si>
    <t>Emp-884</t>
  </si>
  <si>
    <t>Emp-885</t>
  </si>
  <si>
    <t>Emp-886</t>
  </si>
  <si>
    <t>Emp-887</t>
  </si>
  <si>
    <t>Emp-888</t>
  </si>
  <si>
    <t>Emp-889</t>
  </si>
  <si>
    <t>Emp-890</t>
  </si>
  <si>
    <t>Emp-891</t>
  </si>
  <si>
    <t>Emp-892</t>
  </si>
  <si>
    <t>Emp-893</t>
  </si>
  <si>
    <t>Emp-894</t>
  </si>
  <si>
    <t>Emp-895</t>
  </si>
  <si>
    <t>Emp-896</t>
  </si>
  <si>
    <t>Emp-897</t>
  </si>
  <si>
    <t>Emp-898</t>
  </si>
  <si>
    <t>Emp-899</t>
  </si>
  <si>
    <t>Emp-900</t>
  </si>
  <si>
    <t>Emp-901</t>
  </si>
  <si>
    <t>Emp-902</t>
  </si>
  <si>
    <t>Emp-903</t>
  </si>
  <si>
    <t>Emp-904</t>
  </si>
  <si>
    <t>Emp-905</t>
  </si>
  <si>
    <t>Emp-906</t>
  </si>
  <si>
    <t>Emp-907</t>
  </si>
  <si>
    <t>Emp-908</t>
  </si>
  <si>
    <t>Emp-909</t>
  </si>
  <si>
    <t>Emp-910</t>
  </si>
  <si>
    <t>Emp-911</t>
  </si>
  <si>
    <t>Emp-912</t>
  </si>
  <si>
    <t>Emp-913</t>
  </si>
  <si>
    <t>Emp-914</t>
  </si>
  <si>
    <t>Emp-915</t>
  </si>
  <si>
    <t>Emp-916</t>
  </si>
  <si>
    <t>Emp-917</t>
  </si>
  <si>
    <t>Emp-918</t>
  </si>
  <si>
    <t>Emp-919</t>
  </si>
  <si>
    <t>Emp-920</t>
  </si>
  <si>
    <t>Emp-921</t>
  </si>
  <si>
    <t>Emp-922</t>
  </si>
  <si>
    <t>Emp-923</t>
  </si>
  <si>
    <t>Emp-924</t>
  </si>
  <si>
    <t>Emp-925</t>
  </si>
  <si>
    <t>Emp-926</t>
  </si>
  <si>
    <t>Emp-927</t>
  </si>
  <si>
    <t>Emp-928</t>
  </si>
  <si>
    <t>Emp-929</t>
  </si>
  <si>
    <t>Emp-930</t>
  </si>
  <si>
    <t>Emp-931</t>
  </si>
  <si>
    <t>Emp-932</t>
  </si>
  <si>
    <t>Emp-933</t>
  </si>
  <si>
    <t>Emp-934</t>
  </si>
  <si>
    <t>Emp-935</t>
  </si>
  <si>
    <t>Emp-936</t>
  </si>
  <si>
    <t>Emp-937</t>
  </si>
  <si>
    <t>Emp-938</t>
  </si>
  <si>
    <t>Emp-939</t>
  </si>
  <si>
    <t>Emp-940</t>
  </si>
  <si>
    <t>Emp-941</t>
  </si>
  <si>
    <t>Emp-942</t>
  </si>
  <si>
    <t>Emp-943</t>
  </si>
  <si>
    <t>Emp-944</t>
  </si>
  <si>
    <t>Emp-945</t>
  </si>
  <si>
    <t>Emp-946</t>
  </si>
  <si>
    <t>Emp-947</t>
  </si>
  <si>
    <t>Emp-948</t>
  </si>
  <si>
    <t>Emp-949</t>
  </si>
  <si>
    <t>Emp-950</t>
  </si>
  <si>
    <t>Emp-951</t>
  </si>
  <si>
    <t>Emp-952</t>
  </si>
  <si>
    <t>Emp-953</t>
  </si>
  <si>
    <t>Emp-954</t>
  </si>
  <si>
    <t>Emp-955</t>
  </si>
  <si>
    <t>Emp-956</t>
  </si>
  <si>
    <t>Emp-957</t>
  </si>
  <si>
    <t>Emp-958</t>
  </si>
  <si>
    <t>Emp-959</t>
  </si>
  <si>
    <t>Emp-960</t>
  </si>
  <si>
    <t>Emp-961</t>
  </si>
  <si>
    <t>Emp-962</t>
  </si>
  <si>
    <t>Emp-963</t>
  </si>
  <si>
    <t>Emp-964</t>
  </si>
  <si>
    <t>Emp-965</t>
  </si>
  <si>
    <t>Emp-966</t>
  </si>
  <si>
    <t>Emp-967</t>
  </si>
  <si>
    <t>Emp-968</t>
  </si>
  <si>
    <t>Emp-969</t>
  </si>
  <si>
    <t>Emp-970</t>
  </si>
  <si>
    <t>Emp-971</t>
  </si>
  <si>
    <t>Emp-972</t>
  </si>
  <si>
    <t>Emp-973</t>
  </si>
  <si>
    <t>Emp-974</t>
  </si>
  <si>
    <t>Emp-975</t>
  </si>
  <si>
    <t>Emp-976</t>
  </si>
  <si>
    <t>Emp-977</t>
  </si>
  <si>
    <t>Emp-978</t>
  </si>
  <si>
    <t>Emp-979</t>
  </si>
  <si>
    <t>Emp-980</t>
  </si>
  <si>
    <t>Emp-981</t>
  </si>
  <si>
    <t>Emp-982</t>
  </si>
  <si>
    <t>Emp-983</t>
  </si>
  <si>
    <t>Emp-984</t>
  </si>
  <si>
    <t>Emp-985</t>
  </si>
  <si>
    <t>Emp-986</t>
  </si>
  <si>
    <t>Emp-987</t>
  </si>
  <si>
    <t>Emp-988</t>
  </si>
  <si>
    <t>Emp-989</t>
  </si>
  <si>
    <t>Emp-990</t>
  </si>
  <si>
    <t>Emp-991</t>
  </si>
  <si>
    <t>Emp-992</t>
  </si>
  <si>
    <t>Emp-993</t>
  </si>
  <si>
    <t>Emp-994</t>
  </si>
  <si>
    <t>Emp-995</t>
  </si>
  <si>
    <t>Emp-996</t>
  </si>
  <si>
    <t>Emp-997</t>
  </si>
  <si>
    <t>Emp-998</t>
  </si>
  <si>
    <t>Emp-999</t>
  </si>
  <si>
    <t>Emp-1000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</si>
</sst>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11" x14ac:knownFonts="1">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sz val="11"/>
      <color theme="4"/>
      <name val="Calibri"/>
      <family val="2"/>
      <scheme val="minor"/>
    </font>
    <font>
      <sz val="11"/>
      <color rgb="FFFF0000"/>
      <name val="Calibri"/>
      <family val="2"/>
      <scheme val="minor"/>
    </font>
    <font>
      <sz val="11"/>
      <color theme="8"/>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sz val="16"/>
      <color theme="1"/>
      <name val="Arial"/>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4.9989318521683403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48">
    <xf numFmtId="0" fontId="0" fillId="0" borderId="0" xfId="0"/>
    <xf numFmtId="0" fontId="0" fillId="0" borderId="1" xfId="0" applyBorder="1"/>
    <xf numFmtId="0" fontId="1" fillId="0" borderId="0" xfId="0" applyFont="1"/>
    <xf numFmtId="0" fontId="2" fillId="2" borderId="2" xfId="0" applyFont="1" applyFill="1" applyBorder="1" applyAlignment="1">
      <alignment horizontal="left"/>
    </xf>
    <xf numFmtId="0" fontId="2" fillId="2" borderId="3" xfId="0" applyFont="1" applyFill="1" applyBorder="1" applyAlignment="1">
      <alignment horizontal="left"/>
    </xf>
    <xf numFmtId="14" fontId="2" fillId="2" borderId="4" xfId="0" applyNumberFormat="1" applyFont="1" applyFill="1" applyBorder="1" applyAlignment="1">
      <alignment horizontal="left"/>
    </xf>
    <xf numFmtId="0" fontId="0" fillId="0" borderId="5" xfId="0" applyBorder="1"/>
    <xf numFmtId="14" fontId="0" fillId="0" borderId="1" xfId="0" applyNumberFormat="1" applyBorder="1"/>
    <xf numFmtId="164" fontId="0" fillId="0" borderId="1" xfId="0" applyNumberFormat="1" applyBorder="1"/>
    <xf numFmtId="165" fontId="0" fillId="0" borderId="1"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4" fillId="0" borderId="0" xfId="0" applyFont="1"/>
    <xf numFmtId="0" fontId="0" fillId="3" borderId="0" xfId="0" applyFill="1"/>
    <xf numFmtId="22" fontId="0" fillId="0" borderId="0" xfId="0" applyNumberFormat="1" applyAlignment="1">
      <alignment horizontal="left"/>
    </xf>
    <xf numFmtId="0" fontId="0" fillId="0" borderId="0" xfId="0" applyAlignment="1">
      <alignment horizontal="center"/>
    </xf>
    <xf numFmtId="0" fontId="5" fillId="4" borderId="0" xfId="0" applyFont="1" applyFill="1"/>
    <xf numFmtId="0" fontId="6" fillId="6" borderId="0" xfId="0" applyFont="1"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5" fillId="5" borderId="0" xfId="0" applyFont="1" applyFill="1"/>
    <xf numFmtId="0" fontId="0" fillId="8" borderId="0" xfId="0" applyFill="1"/>
    <xf numFmtId="0" fontId="8" fillId="8" borderId="0" xfId="0" applyFont="1" applyFill="1" applyAlignment="1">
      <alignment horizontal="center"/>
    </xf>
    <xf numFmtId="0" fontId="9" fillId="8" borderId="0" xfId="0" applyFont="1" applyFill="1" applyAlignment="1">
      <alignment horizontal="center"/>
    </xf>
    <xf numFmtId="0" fontId="0" fillId="11" borderId="0" xfId="0" applyFill="1"/>
    <xf numFmtId="0" fontId="9" fillId="6" borderId="0" xfId="0" applyFont="1" applyFill="1" applyAlignment="1">
      <alignment horizontal="center"/>
    </xf>
    <xf numFmtId="0" fontId="8" fillId="10" borderId="0" xfId="0" applyFont="1" applyFill="1" applyAlignment="1">
      <alignment horizontal="center"/>
    </xf>
    <xf numFmtId="0" fontId="7" fillId="6" borderId="0" xfId="0" applyFont="1" applyFill="1" applyAlignment="1">
      <alignment horizontal="center"/>
    </xf>
    <xf numFmtId="0" fontId="10" fillId="9" borderId="0" xfId="0" applyFont="1" applyFill="1" applyAlignment="1">
      <alignment horizontal="center" vertical="center" wrapText="1"/>
    </xf>
    <xf numFmtId="0" fontId="8" fillId="11" borderId="0" xfId="0" applyFont="1" applyFill="1" applyAlignment="1">
      <alignment horizontal="center"/>
    </xf>
    <xf numFmtId="0" fontId="8" fillId="8" borderId="0" xfId="0" applyFont="1" applyFill="1" applyAlignment="1">
      <alignment horizontal="center"/>
    </xf>
    <xf numFmtId="0" fontId="9" fillId="7" borderId="0" xfId="0" applyFont="1" applyFill="1" applyAlignment="1">
      <alignment horizontal="center" vertical="center"/>
    </xf>
  </cellXfs>
  <cellStyles count="1">
    <cellStyle name="Normal" xfId="0" builtinId="0"/>
  </cellStyles>
  <dxfs count="35">
    <dxf>
      <numFmt numFmtId="27" formatCode="m/d/yyyy\ h:mm"/>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19"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
      <fill>
        <patternFill patternType="solid">
          <bgColor rgb="FFFFFF00"/>
        </patternFill>
      </fill>
    </dxf>
    <dxf>
      <fill>
        <patternFill>
          <bgColor theme="3" tint="0.79998168889431442"/>
        </patternFill>
      </fill>
    </dxf>
    <dxf>
      <fill>
        <patternFill patternType="solid">
          <bgColor theme="9" tint="0.59999389629810485"/>
        </patternFill>
      </fill>
    </dxf>
    <dxf>
      <font>
        <color rgb="FFFF0000"/>
      </font>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166"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 sales raw data pro.xlsx]Sheet1!PivotTable11</c:name>
    <c:fmtId val="0"/>
  </c:pivotSource>
  <c:chart>
    <c:autoTitleDeleted val="1"/>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Sheet1!$C$46</c:f>
              <c:strCache>
                <c:ptCount val="1"/>
                <c:pt idx="0">
                  <c:v>Total</c:v>
                </c:pt>
              </c:strCache>
            </c:strRef>
          </c:tx>
          <c:spPr>
            <a:ln w="28575" cap="rnd">
              <a:solidFill>
                <a:schemeClr val="accent4"/>
              </a:solidFill>
              <a:round/>
            </a:ln>
            <a:effectLst/>
          </c:spPr>
          <c:marker>
            <c:symbol val="none"/>
          </c:marker>
          <c:cat>
            <c:strRef>
              <c:f>Sheet1!$B$47:$B$78</c:f>
              <c:strCache>
                <c:ptCount val="31"/>
                <c:pt idx="0">
                  <c:v>7/1/2018 0:00</c:v>
                </c:pt>
                <c:pt idx="1">
                  <c:v>7/2/2018 0:00</c:v>
                </c:pt>
                <c:pt idx="2">
                  <c:v>7/3/2018 0:00</c:v>
                </c:pt>
                <c:pt idx="3">
                  <c:v>7/4/2018 0:00</c:v>
                </c:pt>
                <c:pt idx="4">
                  <c:v>7/5/2018 0:00</c:v>
                </c:pt>
                <c:pt idx="5">
                  <c:v>7/6/2018 0:00</c:v>
                </c:pt>
                <c:pt idx="6">
                  <c:v>7/7/2018 0:00</c:v>
                </c:pt>
                <c:pt idx="7">
                  <c:v>7/8/2018 0:00</c:v>
                </c:pt>
                <c:pt idx="8">
                  <c:v>7/9/2018 0:00</c:v>
                </c:pt>
                <c:pt idx="9">
                  <c:v>7/10/2018 0:00</c:v>
                </c:pt>
                <c:pt idx="10">
                  <c:v>7/11/2018 0:00</c:v>
                </c:pt>
                <c:pt idx="11">
                  <c:v>7/12/2018 0:00</c:v>
                </c:pt>
                <c:pt idx="12">
                  <c:v>7/13/2018 0:00</c:v>
                </c:pt>
                <c:pt idx="13">
                  <c:v>7/14/2018 0:00</c:v>
                </c:pt>
                <c:pt idx="14">
                  <c:v>7/15/2018 0:00</c:v>
                </c:pt>
                <c:pt idx="15">
                  <c:v>7/16/2018 0:00</c:v>
                </c:pt>
                <c:pt idx="16">
                  <c:v>7/17/2018 0:00</c:v>
                </c:pt>
                <c:pt idx="17">
                  <c:v>7/18/2018 0:00</c:v>
                </c:pt>
                <c:pt idx="18">
                  <c:v>7/19/2018 0:00</c:v>
                </c:pt>
                <c:pt idx="19">
                  <c:v>7/20/2018 0:00</c:v>
                </c:pt>
                <c:pt idx="20">
                  <c:v>7/21/2018 0:00</c:v>
                </c:pt>
                <c:pt idx="21">
                  <c:v>7/22/2018 0:00</c:v>
                </c:pt>
                <c:pt idx="22">
                  <c:v>7/23/2018 0:00</c:v>
                </c:pt>
                <c:pt idx="23">
                  <c:v>7/24/2018 0:00</c:v>
                </c:pt>
                <c:pt idx="24">
                  <c:v>7/25/2018 0:00</c:v>
                </c:pt>
                <c:pt idx="25">
                  <c:v>7/26/2018 0:00</c:v>
                </c:pt>
                <c:pt idx="26">
                  <c:v>7/27/2018 0:00</c:v>
                </c:pt>
                <c:pt idx="27">
                  <c:v>7/28/2018 0:00</c:v>
                </c:pt>
                <c:pt idx="28">
                  <c:v>7/29/2018 0:00</c:v>
                </c:pt>
                <c:pt idx="29">
                  <c:v>7/30/2018 0:00</c:v>
                </c:pt>
                <c:pt idx="30">
                  <c:v>7/31/2018 0:00</c:v>
                </c:pt>
              </c:strCache>
            </c:strRef>
          </c:cat>
          <c:val>
            <c:numRef>
              <c:f>Sheet1!$C$47:$C$78</c:f>
              <c:numCache>
                <c:formatCode>General</c:formatCode>
                <c:ptCount val="31"/>
                <c:pt idx="0">
                  <c:v>39</c:v>
                </c:pt>
                <c:pt idx="1">
                  <c:v>33</c:v>
                </c:pt>
                <c:pt idx="2">
                  <c:v>36</c:v>
                </c:pt>
                <c:pt idx="3">
                  <c:v>35</c:v>
                </c:pt>
                <c:pt idx="4">
                  <c:v>42</c:v>
                </c:pt>
                <c:pt idx="5">
                  <c:v>47</c:v>
                </c:pt>
                <c:pt idx="6">
                  <c:v>53</c:v>
                </c:pt>
                <c:pt idx="7">
                  <c:v>50</c:v>
                </c:pt>
                <c:pt idx="8">
                  <c:v>38</c:v>
                </c:pt>
                <c:pt idx="9">
                  <c:v>50</c:v>
                </c:pt>
                <c:pt idx="10">
                  <c:v>43</c:v>
                </c:pt>
                <c:pt idx="11">
                  <c:v>30</c:v>
                </c:pt>
                <c:pt idx="12">
                  <c:v>48</c:v>
                </c:pt>
                <c:pt idx="13">
                  <c:v>46</c:v>
                </c:pt>
                <c:pt idx="14">
                  <c:v>45</c:v>
                </c:pt>
                <c:pt idx="15">
                  <c:v>48</c:v>
                </c:pt>
                <c:pt idx="16">
                  <c:v>48</c:v>
                </c:pt>
                <c:pt idx="17">
                  <c:v>41</c:v>
                </c:pt>
                <c:pt idx="18">
                  <c:v>44</c:v>
                </c:pt>
                <c:pt idx="19">
                  <c:v>34</c:v>
                </c:pt>
                <c:pt idx="20">
                  <c:v>47</c:v>
                </c:pt>
                <c:pt idx="21">
                  <c:v>38</c:v>
                </c:pt>
                <c:pt idx="22">
                  <c:v>39</c:v>
                </c:pt>
                <c:pt idx="23">
                  <c:v>46</c:v>
                </c:pt>
                <c:pt idx="24">
                  <c:v>49</c:v>
                </c:pt>
                <c:pt idx="25">
                  <c:v>47</c:v>
                </c:pt>
                <c:pt idx="26">
                  <c:v>52</c:v>
                </c:pt>
                <c:pt idx="27">
                  <c:v>37</c:v>
                </c:pt>
                <c:pt idx="28">
                  <c:v>42</c:v>
                </c:pt>
                <c:pt idx="29">
                  <c:v>28</c:v>
                </c:pt>
                <c:pt idx="30">
                  <c:v>25</c:v>
                </c:pt>
              </c:numCache>
            </c:numRef>
          </c:val>
          <c:smooth val="0"/>
          <c:extLst>
            <c:ext xmlns:c16="http://schemas.microsoft.com/office/drawing/2014/chart" uri="{C3380CC4-5D6E-409C-BE32-E72D297353CC}">
              <c16:uniqueId val="{00000000-BA7F-45C1-9A21-653C642E96AF}"/>
            </c:ext>
          </c:extLst>
        </c:ser>
        <c:dLbls>
          <c:showLegendKey val="0"/>
          <c:showVal val="0"/>
          <c:showCatName val="0"/>
          <c:showSerName val="0"/>
          <c:showPercent val="0"/>
          <c:showBubbleSize val="0"/>
        </c:dLbls>
        <c:smooth val="0"/>
        <c:axId val="903035200"/>
        <c:axId val="903031240"/>
      </c:lineChart>
      <c:catAx>
        <c:axId val="903035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031240"/>
        <c:crosses val="autoZero"/>
        <c:auto val="1"/>
        <c:lblAlgn val="ctr"/>
        <c:lblOffset val="100"/>
        <c:noMultiLvlLbl val="0"/>
      </c:catAx>
      <c:valAx>
        <c:axId val="9030312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03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 sales raw data pro.xlsx]Sheet1!PivotTable12</c:name>
    <c:fmtId val="1"/>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Sheet1!$K$51</c:f>
              <c:strCache>
                <c:ptCount val="1"/>
                <c:pt idx="0">
                  <c:v>Total</c:v>
                </c:pt>
              </c:strCache>
            </c:strRef>
          </c:tx>
          <c:spPr>
            <a:solidFill>
              <a:schemeClr val="accent6"/>
            </a:solidFill>
            <a:ln>
              <a:noFill/>
            </a:ln>
            <a:effectLst/>
            <a:sp3d/>
          </c:spPr>
          <c:invertIfNegative val="0"/>
          <c:cat>
            <c:strRef>
              <c:f>Sheet1!$J$52:$J$57</c:f>
              <c:strCache>
                <c:ptCount val="5"/>
                <c:pt idx="0">
                  <c:v>Bob</c:v>
                </c:pt>
                <c:pt idx="1">
                  <c:v>John</c:v>
                </c:pt>
                <c:pt idx="2">
                  <c:v>Laura</c:v>
                </c:pt>
                <c:pt idx="3">
                  <c:v>Mark</c:v>
                </c:pt>
                <c:pt idx="4">
                  <c:v>Stacey</c:v>
                </c:pt>
              </c:strCache>
            </c:strRef>
          </c:cat>
          <c:val>
            <c:numRef>
              <c:f>Sheet1!$K$52:$K$57</c:f>
              <c:numCache>
                <c:formatCode>General</c:formatCode>
                <c:ptCount val="5"/>
                <c:pt idx="0">
                  <c:v>306530</c:v>
                </c:pt>
                <c:pt idx="1">
                  <c:v>319900</c:v>
                </c:pt>
                <c:pt idx="2">
                  <c:v>307656</c:v>
                </c:pt>
                <c:pt idx="3">
                  <c:v>321258</c:v>
                </c:pt>
                <c:pt idx="4">
                  <c:v>329482</c:v>
                </c:pt>
              </c:numCache>
            </c:numRef>
          </c:val>
          <c:extLst>
            <c:ext xmlns:c16="http://schemas.microsoft.com/office/drawing/2014/chart" uri="{C3380CC4-5D6E-409C-BE32-E72D297353CC}">
              <c16:uniqueId val="{00000000-B8C1-4215-BE6E-1EA7D5395682}"/>
            </c:ext>
          </c:extLst>
        </c:ser>
        <c:dLbls>
          <c:showLegendKey val="0"/>
          <c:showVal val="0"/>
          <c:showCatName val="0"/>
          <c:showSerName val="0"/>
          <c:showPercent val="0"/>
          <c:showBubbleSize val="0"/>
        </c:dLbls>
        <c:gapWidth val="150"/>
        <c:shape val="box"/>
        <c:axId val="970051792"/>
        <c:axId val="970060792"/>
        <c:axId val="0"/>
      </c:bar3DChart>
      <c:catAx>
        <c:axId val="9700517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70060792"/>
        <c:crosses val="autoZero"/>
        <c:auto val="1"/>
        <c:lblAlgn val="ctr"/>
        <c:lblOffset val="100"/>
        <c:noMultiLvlLbl val="0"/>
      </c:catAx>
      <c:valAx>
        <c:axId val="9700607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5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pro.xlsx]Sheet1!PivotTable13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6185630780368463"/>
          <c:y val="0.22899909399663332"/>
          <c:w val="0.31464061071655547"/>
          <c:h val="0.77100090600336668"/>
        </c:manualLayout>
      </c:layout>
      <c:doughnutChart>
        <c:varyColors val="1"/>
        <c:ser>
          <c:idx val="0"/>
          <c:order val="0"/>
          <c:tx>
            <c:strRef>
              <c:f>Sheet1!$F$48</c:f>
              <c:strCache>
                <c:ptCount val="1"/>
                <c:pt idx="0">
                  <c:v>Total</c:v>
                </c:pt>
              </c:strCache>
            </c:strRef>
          </c:tx>
          <c:dPt>
            <c:idx val="0"/>
            <c:bubble3D val="0"/>
            <c:explosion val="73"/>
            <c:spPr>
              <a:solidFill>
                <a:schemeClr val="accent1"/>
              </a:solidFill>
              <a:ln w="19050">
                <a:solidFill>
                  <a:schemeClr val="lt1"/>
                </a:solidFill>
              </a:ln>
              <a:effectLst/>
            </c:spPr>
            <c:extLst>
              <c:ext xmlns:c16="http://schemas.microsoft.com/office/drawing/2014/chart" uri="{C3380CC4-5D6E-409C-BE32-E72D297353CC}">
                <c16:uniqueId val="{00000004-2440-4C91-B39E-E64E2244BE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F8-4F62-AA91-3F7B75618CB3}"/>
              </c:ext>
            </c:extLst>
          </c:dPt>
          <c:dPt>
            <c:idx val="2"/>
            <c:bubble3D val="0"/>
            <c:explosion val="38"/>
            <c:spPr>
              <a:solidFill>
                <a:schemeClr val="accent3"/>
              </a:solidFill>
              <a:ln w="19050">
                <a:solidFill>
                  <a:schemeClr val="lt1"/>
                </a:solidFill>
              </a:ln>
              <a:effectLst/>
            </c:spPr>
            <c:extLst>
              <c:ext xmlns:c16="http://schemas.microsoft.com/office/drawing/2014/chart" uri="{C3380CC4-5D6E-409C-BE32-E72D297353CC}">
                <c16:uniqueId val="{00000003-2440-4C91-B39E-E64E2244BE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F8-4F62-AA91-3F7B75618C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4F8-4F62-AA91-3F7B75618CB3}"/>
              </c:ext>
            </c:extLst>
          </c:dPt>
          <c:cat>
            <c:strRef>
              <c:f>Sheet1!$E$49:$E$54</c:f>
              <c:strCache>
                <c:ptCount val="5"/>
                <c:pt idx="0">
                  <c:v>Diary</c:v>
                </c:pt>
                <c:pt idx="1">
                  <c:v>Office Chair</c:v>
                </c:pt>
                <c:pt idx="2">
                  <c:v>Printer</c:v>
                </c:pt>
                <c:pt idx="3">
                  <c:v>Projector</c:v>
                </c:pt>
                <c:pt idx="4">
                  <c:v>White Board</c:v>
                </c:pt>
              </c:strCache>
            </c:strRef>
          </c:cat>
          <c:val>
            <c:numRef>
              <c:f>Sheet1!$F$49:$F$54</c:f>
              <c:numCache>
                <c:formatCode>General</c:formatCode>
                <c:ptCount val="5"/>
                <c:pt idx="0">
                  <c:v>3071</c:v>
                </c:pt>
                <c:pt idx="1">
                  <c:v>2648</c:v>
                </c:pt>
                <c:pt idx="2">
                  <c:v>3819</c:v>
                </c:pt>
                <c:pt idx="3">
                  <c:v>3067</c:v>
                </c:pt>
                <c:pt idx="4">
                  <c:v>4027</c:v>
                </c:pt>
              </c:numCache>
            </c:numRef>
          </c:val>
          <c:extLst>
            <c:ext xmlns:c16="http://schemas.microsoft.com/office/drawing/2014/chart" uri="{C3380CC4-5D6E-409C-BE32-E72D297353CC}">
              <c16:uniqueId val="{00000000-2440-4C91-B39E-E64E2244BE0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pro.xlsx]Sheet1!PivotTable14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Sheet1!$F$56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Sheet1!$E$57:$E$62</c:f>
              <c:strCache>
                <c:ptCount val="5"/>
                <c:pt idx="0">
                  <c:v>Bob</c:v>
                </c:pt>
                <c:pt idx="1">
                  <c:v>John</c:v>
                </c:pt>
                <c:pt idx="2">
                  <c:v>Laura</c:v>
                </c:pt>
                <c:pt idx="3">
                  <c:v>Mark</c:v>
                </c:pt>
                <c:pt idx="4">
                  <c:v>Stacey</c:v>
                </c:pt>
              </c:strCache>
            </c:strRef>
          </c:cat>
          <c:val>
            <c:numRef>
              <c:f>Sheet1!$F$57:$F$62</c:f>
              <c:numCache>
                <c:formatCode>General</c:formatCode>
                <c:ptCount val="5"/>
                <c:pt idx="0">
                  <c:v>17.429999999999986</c:v>
                </c:pt>
                <c:pt idx="1">
                  <c:v>17.179999999999968</c:v>
                </c:pt>
                <c:pt idx="2">
                  <c:v>14.379999999999969</c:v>
                </c:pt>
                <c:pt idx="3">
                  <c:v>14.869999999999965</c:v>
                </c:pt>
                <c:pt idx="4">
                  <c:v>15.979999999999979</c:v>
                </c:pt>
              </c:numCache>
            </c:numRef>
          </c:val>
          <c:extLst>
            <c:ext xmlns:c16="http://schemas.microsoft.com/office/drawing/2014/chart" uri="{C3380CC4-5D6E-409C-BE32-E72D297353CC}">
              <c16:uniqueId val="{00000000-37C0-4C7E-BA70-B74FDA9AB0D3}"/>
            </c:ext>
          </c:extLst>
        </c:ser>
        <c:dLbls>
          <c:showLegendKey val="0"/>
          <c:showVal val="0"/>
          <c:showCatName val="0"/>
          <c:showSerName val="0"/>
          <c:showPercent val="0"/>
          <c:showBubbleSize val="0"/>
        </c:dLbls>
        <c:gapWidth val="150"/>
        <c:shape val="box"/>
        <c:axId val="970046392"/>
        <c:axId val="970048552"/>
        <c:axId val="1013170184"/>
      </c:bar3DChart>
      <c:catAx>
        <c:axId val="970046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0048552"/>
        <c:crosses val="autoZero"/>
        <c:auto val="1"/>
        <c:lblAlgn val="ctr"/>
        <c:lblOffset val="100"/>
        <c:noMultiLvlLbl val="0"/>
      </c:catAx>
      <c:valAx>
        <c:axId val="9700485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0046392"/>
        <c:crosses val="autoZero"/>
        <c:crossBetween val="between"/>
      </c:valAx>
      <c:serAx>
        <c:axId val="101317018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00485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 sales raw data pro.xlsx]Sheet1!PivotTable11</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Sheet1!$C$46</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Sheet1!$B$47:$B$78</c:f>
              <c:strCache>
                <c:ptCount val="31"/>
                <c:pt idx="0">
                  <c:v>7/1/2018 0:00</c:v>
                </c:pt>
                <c:pt idx="1">
                  <c:v>7/2/2018 0:00</c:v>
                </c:pt>
                <c:pt idx="2">
                  <c:v>7/3/2018 0:00</c:v>
                </c:pt>
                <c:pt idx="3">
                  <c:v>7/4/2018 0:00</c:v>
                </c:pt>
                <c:pt idx="4">
                  <c:v>7/5/2018 0:00</c:v>
                </c:pt>
                <c:pt idx="5">
                  <c:v>7/6/2018 0:00</c:v>
                </c:pt>
                <c:pt idx="6">
                  <c:v>7/7/2018 0:00</c:v>
                </c:pt>
                <c:pt idx="7">
                  <c:v>7/8/2018 0:00</c:v>
                </c:pt>
                <c:pt idx="8">
                  <c:v>7/9/2018 0:00</c:v>
                </c:pt>
                <c:pt idx="9">
                  <c:v>7/10/2018 0:00</c:v>
                </c:pt>
                <c:pt idx="10">
                  <c:v>7/11/2018 0:00</c:v>
                </c:pt>
                <c:pt idx="11">
                  <c:v>7/12/2018 0:00</c:v>
                </c:pt>
                <c:pt idx="12">
                  <c:v>7/13/2018 0:00</c:v>
                </c:pt>
                <c:pt idx="13">
                  <c:v>7/14/2018 0:00</c:v>
                </c:pt>
                <c:pt idx="14">
                  <c:v>7/15/2018 0:00</c:v>
                </c:pt>
                <c:pt idx="15">
                  <c:v>7/16/2018 0:00</c:v>
                </c:pt>
                <c:pt idx="16">
                  <c:v>7/17/2018 0:00</c:v>
                </c:pt>
                <c:pt idx="17">
                  <c:v>7/18/2018 0:00</c:v>
                </c:pt>
                <c:pt idx="18">
                  <c:v>7/19/2018 0:00</c:v>
                </c:pt>
                <c:pt idx="19">
                  <c:v>7/20/2018 0:00</c:v>
                </c:pt>
                <c:pt idx="20">
                  <c:v>7/21/2018 0:00</c:v>
                </c:pt>
                <c:pt idx="21">
                  <c:v>7/22/2018 0:00</c:v>
                </c:pt>
                <c:pt idx="22">
                  <c:v>7/23/2018 0:00</c:v>
                </c:pt>
                <c:pt idx="23">
                  <c:v>7/24/2018 0:00</c:v>
                </c:pt>
                <c:pt idx="24">
                  <c:v>7/25/2018 0:00</c:v>
                </c:pt>
                <c:pt idx="25">
                  <c:v>7/26/2018 0:00</c:v>
                </c:pt>
                <c:pt idx="26">
                  <c:v>7/27/2018 0:00</c:v>
                </c:pt>
                <c:pt idx="27">
                  <c:v>7/28/2018 0:00</c:v>
                </c:pt>
                <c:pt idx="28">
                  <c:v>7/29/2018 0:00</c:v>
                </c:pt>
                <c:pt idx="29">
                  <c:v>7/30/2018 0:00</c:v>
                </c:pt>
                <c:pt idx="30">
                  <c:v>7/31/2018 0:00</c:v>
                </c:pt>
              </c:strCache>
            </c:strRef>
          </c:cat>
          <c:val>
            <c:numRef>
              <c:f>Sheet1!$C$47:$C$78</c:f>
              <c:numCache>
                <c:formatCode>General</c:formatCode>
                <c:ptCount val="31"/>
                <c:pt idx="0">
                  <c:v>39</c:v>
                </c:pt>
                <c:pt idx="1">
                  <c:v>33</c:v>
                </c:pt>
                <c:pt idx="2">
                  <c:v>36</c:v>
                </c:pt>
                <c:pt idx="3">
                  <c:v>35</c:v>
                </c:pt>
                <c:pt idx="4">
                  <c:v>42</c:v>
                </c:pt>
                <c:pt idx="5">
                  <c:v>47</c:v>
                </c:pt>
                <c:pt idx="6">
                  <c:v>53</c:v>
                </c:pt>
                <c:pt idx="7">
                  <c:v>50</c:v>
                </c:pt>
                <c:pt idx="8">
                  <c:v>38</c:v>
                </c:pt>
                <c:pt idx="9">
                  <c:v>50</c:v>
                </c:pt>
                <c:pt idx="10">
                  <c:v>43</c:v>
                </c:pt>
                <c:pt idx="11">
                  <c:v>30</c:v>
                </c:pt>
                <c:pt idx="12">
                  <c:v>48</c:v>
                </c:pt>
                <c:pt idx="13">
                  <c:v>46</c:v>
                </c:pt>
                <c:pt idx="14">
                  <c:v>45</c:v>
                </c:pt>
                <c:pt idx="15">
                  <c:v>48</c:v>
                </c:pt>
                <c:pt idx="16">
                  <c:v>48</c:v>
                </c:pt>
                <c:pt idx="17">
                  <c:v>41</c:v>
                </c:pt>
                <c:pt idx="18">
                  <c:v>44</c:v>
                </c:pt>
                <c:pt idx="19">
                  <c:v>34</c:v>
                </c:pt>
                <c:pt idx="20">
                  <c:v>47</c:v>
                </c:pt>
                <c:pt idx="21">
                  <c:v>38</c:v>
                </c:pt>
                <c:pt idx="22">
                  <c:v>39</c:v>
                </c:pt>
                <c:pt idx="23">
                  <c:v>46</c:v>
                </c:pt>
                <c:pt idx="24">
                  <c:v>49</c:v>
                </c:pt>
                <c:pt idx="25">
                  <c:v>47</c:v>
                </c:pt>
                <c:pt idx="26">
                  <c:v>52</c:v>
                </c:pt>
                <c:pt idx="27">
                  <c:v>37</c:v>
                </c:pt>
                <c:pt idx="28">
                  <c:v>42</c:v>
                </c:pt>
                <c:pt idx="29">
                  <c:v>28</c:v>
                </c:pt>
                <c:pt idx="30">
                  <c:v>25</c:v>
                </c:pt>
              </c:numCache>
            </c:numRef>
          </c:val>
          <c:smooth val="0"/>
          <c:extLst>
            <c:ext xmlns:c16="http://schemas.microsoft.com/office/drawing/2014/chart" uri="{C3380CC4-5D6E-409C-BE32-E72D297353CC}">
              <c16:uniqueId val="{00000000-1A1F-4290-9B1B-C65C81060248}"/>
            </c:ext>
          </c:extLst>
        </c:ser>
        <c:dLbls>
          <c:showLegendKey val="0"/>
          <c:showVal val="0"/>
          <c:showCatName val="0"/>
          <c:showSerName val="0"/>
          <c:showPercent val="0"/>
          <c:showBubbleSize val="0"/>
        </c:dLbls>
        <c:marker val="1"/>
        <c:smooth val="0"/>
        <c:axId val="903035200"/>
        <c:axId val="903031240"/>
      </c:lineChart>
      <c:catAx>
        <c:axId val="9030352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3031240"/>
        <c:crosses val="autoZero"/>
        <c:auto val="1"/>
        <c:lblAlgn val="ctr"/>
        <c:lblOffset val="100"/>
        <c:noMultiLvlLbl val="0"/>
      </c:catAx>
      <c:valAx>
        <c:axId val="903031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303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pro.xlsx]Sheet1!PivotTable13</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066534420986583E-2"/>
          <c:y val="0.17623727034120734"/>
          <c:w val="0.74231347496657252"/>
          <c:h val="0.74853874347193405"/>
        </c:manualLayout>
      </c:layout>
      <c:pie3DChart>
        <c:varyColors val="1"/>
        <c:ser>
          <c:idx val="0"/>
          <c:order val="0"/>
          <c:tx>
            <c:strRef>
              <c:f>Sheet1!$F$48</c:f>
              <c:strCache>
                <c:ptCount val="1"/>
                <c:pt idx="0">
                  <c:v>Total</c:v>
                </c:pt>
              </c:strCache>
            </c:strRef>
          </c:tx>
          <c:dPt>
            <c:idx val="0"/>
            <c:bubble3D val="0"/>
            <c:explosion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65DA-457C-B912-FE09519DA3E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65DA-457C-B912-FE09519DA3E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65DA-457C-B912-FE09519DA3E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65DA-457C-B912-FE09519DA3EE}"/>
              </c:ext>
            </c:extLst>
          </c:dPt>
          <c:dPt>
            <c:idx val="4"/>
            <c:bubble3D val="0"/>
            <c:explosion val="7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65DA-457C-B912-FE09519DA3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Sheet1!$E$49:$E$54</c:f>
              <c:strCache>
                <c:ptCount val="5"/>
                <c:pt idx="0">
                  <c:v>Diary</c:v>
                </c:pt>
                <c:pt idx="1">
                  <c:v>Office Chair</c:v>
                </c:pt>
                <c:pt idx="2">
                  <c:v>Printer</c:v>
                </c:pt>
                <c:pt idx="3">
                  <c:v>Projector</c:v>
                </c:pt>
                <c:pt idx="4">
                  <c:v>White Board</c:v>
                </c:pt>
              </c:strCache>
            </c:strRef>
          </c:cat>
          <c:val>
            <c:numRef>
              <c:f>Sheet1!$F$49:$F$54</c:f>
              <c:numCache>
                <c:formatCode>General</c:formatCode>
                <c:ptCount val="5"/>
                <c:pt idx="0">
                  <c:v>3071</c:v>
                </c:pt>
                <c:pt idx="1">
                  <c:v>2648</c:v>
                </c:pt>
                <c:pt idx="2">
                  <c:v>3819</c:v>
                </c:pt>
                <c:pt idx="3">
                  <c:v>3067</c:v>
                </c:pt>
                <c:pt idx="4">
                  <c:v>4027</c:v>
                </c:pt>
              </c:numCache>
            </c:numRef>
          </c:val>
          <c:extLst>
            <c:ext xmlns:c16="http://schemas.microsoft.com/office/drawing/2014/chart" uri="{C3380CC4-5D6E-409C-BE32-E72D297353CC}">
              <c16:uniqueId val="{0000000A-65DA-457C-B912-FE09519DA3E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4833174773461799"/>
          <c:y val="0.28777060367454066"/>
          <c:w val="0.33333333333333331"/>
          <c:h val="0.584635194143332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pro.xlsx]Sheet1!PivotTable14</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commission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Sheet1!$F$56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F71-40B3-B050-7DBFA7A0C93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A94-4C89-8F84-24D0E2D0709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A94-4C89-8F84-24D0E2D0709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A94-4C89-8F84-24D0E2D0709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A94-4C89-8F84-24D0E2D070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Sheet1!$E$57:$E$62</c:f>
              <c:strCache>
                <c:ptCount val="5"/>
                <c:pt idx="0">
                  <c:v>Bob</c:v>
                </c:pt>
                <c:pt idx="1">
                  <c:v>John</c:v>
                </c:pt>
                <c:pt idx="2">
                  <c:v>Laura</c:v>
                </c:pt>
                <c:pt idx="3">
                  <c:v>Mark</c:v>
                </c:pt>
                <c:pt idx="4">
                  <c:v>Stacey</c:v>
                </c:pt>
              </c:strCache>
            </c:strRef>
          </c:cat>
          <c:val>
            <c:numRef>
              <c:f>Sheet1!$F$57:$F$62</c:f>
              <c:numCache>
                <c:formatCode>General</c:formatCode>
                <c:ptCount val="5"/>
                <c:pt idx="0">
                  <c:v>17.429999999999986</c:v>
                </c:pt>
                <c:pt idx="1">
                  <c:v>17.179999999999968</c:v>
                </c:pt>
                <c:pt idx="2">
                  <c:v>14.379999999999969</c:v>
                </c:pt>
                <c:pt idx="3">
                  <c:v>14.869999999999965</c:v>
                </c:pt>
                <c:pt idx="4">
                  <c:v>15.979999999999979</c:v>
                </c:pt>
              </c:numCache>
            </c:numRef>
          </c:val>
          <c:extLst>
            <c:ext xmlns:c16="http://schemas.microsoft.com/office/drawing/2014/chart" uri="{C3380CC4-5D6E-409C-BE32-E72D297353CC}">
              <c16:uniqueId val="{00000000-856C-4722-9970-3F93594542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 sales raw data pro.xlsx]Sheet1!PivotTable12</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936870815430053"/>
          <c:y val="9.5633500357909823E-2"/>
          <c:w val="0.44410949222469176"/>
          <c:h val="0.6728618468146027"/>
        </c:manualLayout>
      </c:layout>
      <c:bar3DChart>
        <c:barDir val="bar"/>
        <c:grouping val="stacked"/>
        <c:varyColors val="0"/>
        <c:ser>
          <c:idx val="0"/>
          <c:order val="0"/>
          <c:tx>
            <c:strRef>
              <c:f>Sheet1!$K$51</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Sheet1!$J$52:$J$57</c:f>
              <c:strCache>
                <c:ptCount val="5"/>
                <c:pt idx="0">
                  <c:v>Bob</c:v>
                </c:pt>
                <c:pt idx="1">
                  <c:v>John</c:v>
                </c:pt>
                <c:pt idx="2">
                  <c:v>Laura</c:v>
                </c:pt>
                <c:pt idx="3">
                  <c:v>Mark</c:v>
                </c:pt>
                <c:pt idx="4">
                  <c:v>Stacey</c:v>
                </c:pt>
              </c:strCache>
            </c:strRef>
          </c:cat>
          <c:val>
            <c:numRef>
              <c:f>Sheet1!$K$52:$K$57</c:f>
              <c:numCache>
                <c:formatCode>General</c:formatCode>
                <c:ptCount val="5"/>
                <c:pt idx="0">
                  <c:v>306530</c:v>
                </c:pt>
                <c:pt idx="1">
                  <c:v>319900</c:v>
                </c:pt>
                <c:pt idx="2">
                  <c:v>307656</c:v>
                </c:pt>
                <c:pt idx="3">
                  <c:v>321258</c:v>
                </c:pt>
                <c:pt idx="4">
                  <c:v>329482</c:v>
                </c:pt>
              </c:numCache>
            </c:numRef>
          </c:val>
          <c:extLst>
            <c:ext xmlns:c16="http://schemas.microsoft.com/office/drawing/2014/chart" uri="{C3380CC4-5D6E-409C-BE32-E72D297353CC}">
              <c16:uniqueId val="{00000000-7C4E-47A9-A5D5-AB281213DA6B}"/>
            </c:ext>
          </c:extLst>
        </c:ser>
        <c:dLbls>
          <c:showLegendKey val="0"/>
          <c:showVal val="1"/>
          <c:showCatName val="0"/>
          <c:showSerName val="0"/>
          <c:showPercent val="0"/>
          <c:showBubbleSize val="0"/>
        </c:dLbls>
        <c:gapWidth val="150"/>
        <c:shape val="box"/>
        <c:axId val="970051792"/>
        <c:axId val="970060792"/>
        <c:axId val="0"/>
      </c:bar3DChart>
      <c:catAx>
        <c:axId val="9700517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60792"/>
        <c:crosses val="autoZero"/>
        <c:auto val="1"/>
        <c:lblAlgn val="ctr"/>
        <c:lblOffset val="100"/>
        <c:noMultiLvlLbl val="0"/>
      </c:catAx>
      <c:valAx>
        <c:axId val="9700607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517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B9-4D1D-9D0F-72898B12C649}"/>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B9-4D1D-9D0F-72898B12C6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518</c:v>
              </c:pt>
              <c:pt idx="1">
                <c:v>482</c:v>
              </c:pt>
            </c:numLit>
          </c:val>
          <c:extLst>
            <c:ext xmlns:c16="http://schemas.microsoft.com/office/drawing/2014/chart" uri="{C3380CC4-5D6E-409C-BE32-E72D297353CC}">
              <c16:uniqueId val="{00000000-1578-45D8-B7CE-F27E30ECB3B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pro.xlsx]KPI PIVOTABLE EMP1!PivotTable8</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333333333333334E-2"/>
          <c:y val="0.33682669874599008"/>
          <c:w val="0.73696719160104984"/>
          <c:h val="0.66317330125400986"/>
        </c:manualLayout>
      </c:layout>
      <c:pie3DChart>
        <c:varyColors val="1"/>
        <c:ser>
          <c:idx val="0"/>
          <c:order val="0"/>
          <c:tx>
            <c:strRef>
              <c:f>'KPI PIVOTABLE EMP1'!$O$14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951-478B-A53B-C7D986BBDCB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E76-4B29-976D-AE51D38D579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E76-4B29-976D-AE51D38D579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PIVOTABLE EMP1'!$N$15:$N$18</c:f>
              <c:strCache>
                <c:ptCount val="3"/>
                <c:pt idx="0">
                  <c:v>Brazil</c:v>
                </c:pt>
                <c:pt idx="1">
                  <c:v>China</c:v>
                </c:pt>
                <c:pt idx="2">
                  <c:v>United States</c:v>
                </c:pt>
              </c:strCache>
            </c:strRef>
          </c:cat>
          <c:val>
            <c:numRef>
              <c:f>'KPI PIVOTABLE EMP1'!$O$15:$O$18</c:f>
              <c:numCache>
                <c:formatCode>General</c:formatCode>
                <c:ptCount val="3"/>
                <c:pt idx="0">
                  <c:v>139</c:v>
                </c:pt>
                <c:pt idx="1">
                  <c:v>218</c:v>
                </c:pt>
                <c:pt idx="2">
                  <c:v>643</c:v>
                </c:pt>
              </c:numCache>
            </c:numRef>
          </c:val>
          <c:extLst>
            <c:ext xmlns:c16="http://schemas.microsoft.com/office/drawing/2014/chart" uri="{C3380CC4-5D6E-409C-BE32-E72D297353CC}">
              <c16:uniqueId val="{00000000-9413-4E65-A2F7-935077D2237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pro.xlsx]KPI PIVOTABLE EMP1!PivotTable6</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'KPI PIVOTABLE EMP1'!$L$8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 PIVOTABLE EMP1'!$K$9:$K$16</c:f>
              <c:strCache>
                <c:ptCount val="7"/>
                <c:pt idx="0">
                  <c:v>Accounting</c:v>
                </c:pt>
                <c:pt idx="1">
                  <c:v>Engineering</c:v>
                </c:pt>
                <c:pt idx="2">
                  <c:v>Finance</c:v>
                </c:pt>
                <c:pt idx="3">
                  <c:v>Human Resources</c:v>
                </c:pt>
                <c:pt idx="4">
                  <c:v>IT</c:v>
                </c:pt>
                <c:pt idx="5">
                  <c:v>Marketing</c:v>
                </c:pt>
                <c:pt idx="6">
                  <c:v>Sales</c:v>
                </c:pt>
              </c:strCache>
            </c:strRef>
          </c:cat>
          <c:val>
            <c:numRef>
              <c:f>'KPI PIVOTABLE EMP1'!$L$9:$L$16</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44CB-421C-8B41-D86FE17352AF}"/>
            </c:ext>
          </c:extLst>
        </c:ser>
        <c:dLbls>
          <c:showLegendKey val="0"/>
          <c:showVal val="0"/>
          <c:showCatName val="0"/>
          <c:showSerName val="0"/>
          <c:showPercent val="0"/>
          <c:showBubbleSize val="0"/>
        </c:dLbls>
        <c:gapWidth val="150"/>
        <c:shape val="box"/>
        <c:axId val="813540248"/>
        <c:axId val="813511088"/>
        <c:axId val="0"/>
      </c:bar3DChart>
      <c:catAx>
        <c:axId val="813540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3511088"/>
        <c:crosses val="autoZero"/>
        <c:auto val="1"/>
        <c:lblAlgn val="ctr"/>
        <c:lblOffset val="100"/>
        <c:noMultiLvlLbl val="0"/>
      </c:catAx>
      <c:valAx>
        <c:axId val="81351108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3540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pro.xlsx]KPI PIVOTABLE EMP1!PivotTable10</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 PIVOTABLE EMP1'!$I$10</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'KPI PIVOTABLE EMP1'!$H$11:$H$18</c:f>
              <c:strCache>
                <c:ptCount val="7"/>
                <c:pt idx="0">
                  <c:v>Accounting</c:v>
                </c:pt>
                <c:pt idx="1">
                  <c:v>Engineering</c:v>
                </c:pt>
                <c:pt idx="2">
                  <c:v>Finance</c:v>
                </c:pt>
                <c:pt idx="3">
                  <c:v>Human Resources</c:v>
                </c:pt>
                <c:pt idx="4">
                  <c:v>IT</c:v>
                </c:pt>
                <c:pt idx="5">
                  <c:v>Marketing</c:v>
                </c:pt>
                <c:pt idx="6">
                  <c:v>Sales</c:v>
                </c:pt>
              </c:strCache>
            </c:strRef>
          </c:cat>
          <c:val>
            <c:numRef>
              <c:f>'KPI PIVOTABLE EMP1'!$I$11:$I$18</c:f>
              <c:numCache>
                <c:formatCode>General</c:formatCode>
                <c:ptCount val="7"/>
                <c:pt idx="0">
                  <c:v>11822107</c:v>
                </c:pt>
                <c:pt idx="1">
                  <c:v>17227563</c:v>
                </c:pt>
                <c:pt idx="2">
                  <c:v>14736347</c:v>
                </c:pt>
                <c:pt idx="3">
                  <c:v>14757305</c:v>
                </c:pt>
                <c:pt idx="4">
                  <c:v>23567499</c:v>
                </c:pt>
                <c:pt idx="5">
                  <c:v>15559564</c:v>
                </c:pt>
                <c:pt idx="6">
                  <c:v>15546980</c:v>
                </c:pt>
              </c:numCache>
            </c:numRef>
          </c:val>
          <c:extLst>
            <c:ext xmlns:c16="http://schemas.microsoft.com/office/drawing/2014/chart" uri="{C3380CC4-5D6E-409C-BE32-E72D297353CC}">
              <c16:uniqueId val="{00000000-5695-44D2-B27D-D674A92065E2}"/>
            </c:ext>
          </c:extLst>
        </c:ser>
        <c:dLbls>
          <c:showLegendKey val="0"/>
          <c:showVal val="0"/>
          <c:showCatName val="0"/>
          <c:showSerName val="0"/>
          <c:showPercent val="0"/>
          <c:showBubbleSize val="0"/>
        </c:dLbls>
        <c:gapWidth val="150"/>
        <c:gapDepth val="0"/>
        <c:shape val="box"/>
        <c:axId val="1143068848"/>
        <c:axId val="1143066688"/>
        <c:axId val="0"/>
      </c:bar3DChart>
      <c:catAx>
        <c:axId val="1143068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66688"/>
        <c:crosses val="autoZero"/>
        <c:auto val="1"/>
        <c:lblAlgn val="ctr"/>
        <c:lblOffset val="100"/>
        <c:noMultiLvlLbl val="0"/>
      </c:catAx>
      <c:valAx>
        <c:axId val="1143066688"/>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6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pro.xlsx]KPI PIVOTABLE EMP1!PivotTable14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 PIVOTABLE EMP1'!$O$2</c:f>
              <c:strCache>
                <c:ptCount val="1"/>
                <c:pt idx="0">
                  <c:v>Total</c:v>
                </c:pt>
              </c:strCache>
            </c:strRef>
          </c:tx>
          <c:spPr>
            <a:solidFill>
              <a:schemeClr val="accent1"/>
            </a:solidFill>
            <a:ln>
              <a:noFill/>
            </a:ln>
            <a:effectLst/>
            <a:sp3d/>
          </c:spPr>
          <c:invertIfNegative val="0"/>
          <c:cat>
            <c:strRef>
              <c:f>'KPI PIVOTABLE EMP1'!$N$3:$N$8</c:f>
              <c:strCache>
                <c:ptCount val="5"/>
                <c:pt idx="0">
                  <c:v>25-35</c:v>
                </c:pt>
                <c:pt idx="1">
                  <c:v>35-45</c:v>
                </c:pt>
                <c:pt idx="2">
                  <c:v>45-55</c:v>
                </c:pt>
                <c:pt idx="3">
                  <c:v>55-65</c:v>
                </c:pt>
                <c:pt idx="4">
                  <c:v>65-75</c:v>
                </c:pt>
              </c:strCache>
            </c:strRef>
          </c:cat>
          <c:val>
            <c:numRef>
              <c:f>'KPI PIVOTABLE EMP1'!$O$3:$O$8</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22CD-46AF-ADB8-0373F1B17207}"/>
            </c:ext>
          </c:extLst>
        </c:ser>
        <c:dLbls>
          <c:showLegendKey val="0"/>
          <c:showVal val="0"/>
          <c:showCatName val="0"/>
          <c:showSerName val="0"/>
          <c:showPercent val="0"/>
          <c:showBubbleSize val="0"/>
        </c:dLbls>
        <c:gapWidth val="150"/>
        <c:shape val="box"/>
        <c:axId val="1275911432"/>
        <c:axId val="1275916112"/>
        <c:axId val="0"/>
      </c:bar3DChart>
      <c:catAx>
        <c:axId val="1275911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916112"/>
        <c:crosses val="autoZero"/>
        <c:auto val="1"/>
        <c:lblAlgn val="ctr"/>
        <c:lblOffset val="100"/>
        <c:noMultiLvlLbl val="0"/>
      </c:catAx>
      <c:valAx>
        <c:axId val="127591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911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pro.xlsx]KPI PIVOTABLE EMP1!PivotTable15</c:name>
    <c:fmtId val="11"/>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manualLayout>
          <c:layoutTarget val="inner"/>
          <c:xMode val="edge"/>
          <c:yMode val="edge"/>
          <c:x val="0"/>
          <c:y val="0.31645632837561966"/>
          <c:w val="0.45797125094708252"/>
          <c:h val="0.68354367162438023"/>
        </c:manualLayout>
      </c:layout>
      <c:ofPieChart>
        <c:ofPieType val="pie"/>
        <c:varyColors val="1"/>
        <c:ser>
          <c:idx val="0"/>
          <c:order val="0"/>
          <c:tx>
            <c:strRef>
              <c:f>'KPI PIVOTABLE EMP1'!$P$28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E4-458B-AEEF-C1744D04B6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E4-458B-AEEF-C1744D04B6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E4-458B-AEEF-C1744D04B6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E4-458B-AEEF-C1744D04B6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9A-4BD9-AA24-8BD7675CF1B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9A-4BD9-AA24-8BD7675CF1B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19A-4BD9-AA24-8BD7675CF1B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19A-4BD9-AA24-8BD7675CF1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19A-4BD9-AA24-8BD7675CF1B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19A-4BD9-AA24-8BD7675CF1B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19A-4BD9-AA24-8BD7675CF1B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19A-4BD9-AA24-8BD7675CF1B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19A-4BD9-AA24-8BD7675CF1B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19A-4BD9-AA24-8BD7675CF1B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19A-4BD9-AA24-8BD7675CF1B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19A-4BD9-AA24-8BD7675CF1B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19A-4BD9-AA24-8BD7675CF1B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19A-4BD9-AA24-8BD7675CF1B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19A-4BD9-AA24-8BD7675CF1B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19A-4BD9-AA24-8BD7675CF1B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19A-4BD9-AA24-8BD7675CF1B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19A-4BD9-AA24-8BD7675CF1B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19A-4BD9-AA24-8BD7675CF1B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19A-4BD9-AA24-8BD7675CF1B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119A-4BD9-AA24-8BD7675CF1B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119A-4BD9-AA24-8BD7675CF1BD}"/>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119A-4BD9-AA24-8BD7675CF1BD}"/>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119A-4BD9-AA24-8BD7675CF1BD}"/>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119A-4BD9-AA24-8BD7675CF1BD}"/>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119A-4BD9-AA24-8BD7675CF1BD}"/>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119A-4BD9-AA24-8BD7675CF1BD}"/>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119A-4BD9-AA24-8BD7675CF1BD}"/>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119A-4BD9-AA24-8BD7675CF1BD}"/>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119A-4BD9-AA24-8BD7675CF1BD}"/>
              </c:ext>
            </c:extLst>
          </c:dPt>
          <c:cat>
            <c:strRef>
              <c:f>'KPI PIVOTABLE EMP1'!$O$29:$O$62</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 </c:v>
                </c:pt>
                <c:pt idx="29">
                  <c:v>Systems Analyst</c:v>
                </c:pt>
                <c:pt idx="30">
                  <c:v>Technical Architect</c:v>
                </c:pt>
                <c:pt idx="31">
                  <c:v>Test Engineer</c:v>
                </c:pt>
                <c:pt idx="32">
                  <c:v>Vice President</c:v>
                </c:pt>
              </c:strCache>
            </c:strRef>
          </c:cat>
          <c:val>
            <c:numRef>
              <c:f>'KPI PIVOTABLE EMP1'!$P$29:$P$62</c:f>
              <c:numCache>
                <c:formatCode>General</c:formatCode>
                <c:ptCount val="33"/>
                <c:pt idx="0">
                  <c:v>21</c:v>
                </c:pt>
                <c:pt idx="1">
                  <c:v>51</c:v>
                </c:pt>
                <c:pt idx="2">
                  <c:v>53</c:v>
                </c:pt>
                <c:pt idx="3">
                  <c:v>7</c:v>
                </c:pt>
                <c:pt idx="4">
                  <c:v>19</c:v>
                </c:pt>
                <c:pt idx="5">
                  <c:v>15</c:v>
                </c:pt>
                <c:pt idx="6">
                  <c:v>21</c:v>
                </c:pt>
                <c:pt idx="7">
                  <c:v>15</c:v>
                </c:pt>
                <c:pt idx="8">
                  <c:v>19</c:v>
                </c:pt>
                <c:pt idx="9">
                  <c:v>121</c:v>
                </c:pt>
                <c:pt idx="10">
                  <c:v>20</c:v>
                </c:pt>
                <c:pt idx="11">
                  <c:v>18</c:v>
                </c:pt>
                <c:pt idx="12">
                  <c:v>21</c:v>
                </c:pt>
                <c:pt idx="13">
                  <c:v>16</c:v>
                </c:pt>
                <c:pt idx="14">
                  <c:v>11</c:v>
                </c:pt>
                <c:pt idx="15">
                  <c:v>12</c:v>
                </c:pt>
                <c:pt idx="16">
                  <c:v>98</c:v>
                </c:pt>
                <c:pt idx="17">
                  <c:v>10</c:v>
                </c:pt>
                <c:pt idx="18">
                  <c:v>18</c:v>
                </c:pt>
                <c:pt idx="19">
                  <c:v>7</c:v>
                </c:pt>
                <c:pt idx="20">
                  <c:v>12</c:v>
                </c:pt>
                <c:pt idx="21">
                  <c:v>20</c:v>
                </c:pt>
                <c:pt idx="22">
                  <c:v>10</c:v>
                </c:pt>
                <c:pt idx="23">
                  <c:v>15</c:v>
                </c:pt>
                <c:pt idx="24">
                  <c:v>9</c:v>
                </c:pt>
                <c:pt idx="25">
                  <c:v>70</c:v>
                </c:pt>
                <c:pt idx="26">
                  <c:v>17</c:v>
                </c:pt>
                <c:pt idx="27">
                  <c:v>110</c:v>
                </c:pt>
                <c:pt idx="28">
                  <c:v>15</c:v>
                </c:pt>
                <c:pt idx="29">
                  <c:v>15</c:v>
                </c:pt>
                <c:pt idx="30">
                  <c:v>17</c:v>
                </c:pt>
                <c:pt idx="31">
                  <c:v>12</c:v>
                </c:pt>
                <c:pt idx="32">
                  <c:v>105</c:v>
                </c:pt>
              </c:numCache>
            </c:numRef>
          </c:val>
          <c:extLst>
            <c:ext xmlns:c16="http://schemas.microsoft.com/office/drawing/2014/chart" uri="{C3380CC4-5D6E-409C-BE32-E72D297353CC}">
              <c16:uniqueId val="{00000002-AA97-4DF2-B123-CCB2B9A6CB36}"/>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pro.xlsx]KPI PIVOTABLE EMP1!PivotTable15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 PIVOTABLE EMP1'!$P$28</c:f>
              <c:strCache>
                <c:ptCount val="1"/>
                <c:pt idx="0">
                  <c:v>Total</c:v>
                </c:pt>
              </c:strCache>
            </c:strRef>
          </c:tx>
          <c:spPr>
            <a:solidFill>
              <a:schemeClr val="accent1"/>
            </a:solidFill>
            <a:ln>
              <a:noFill/>
            </a:ln>
            <a:effectLst/>
            <a:sp3d/>
          </c:spPr>
          <c:invertIfNegative val="0"/>
          <c:cat>
            <c:strRef>
              <c:f>'KPI PIVOTABLE EMP1'!$O$29:$O$62</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 </c:v>
                </c:pt>
                <c:pt idx="29">
                  <c:v>Systems Analyst</c:v>
                </c:pt>
                <c:pt idx="30">
                  <c:v>Technical Architect</c:v>
                </c:pt>
                <c:pt idx="31">
                  <c:v>Test Engineer</c:v>
                </c:pt>
                <c:pt idx="32">
                  <c:v>Vice President</c:v>
                </c:pt>
              </c:strCache>
            </c:strRef>
          </c:cat>
          <c:val>
            <c:numRef>
              <c:f>'KPI PIVOTABLE EMP1'!$P$29:$P$62</c:f>
              <c:numCache>
                <c:formatCode>General</c:formatCode>
                <c:ptCount val="33"/>
                <c:pt idx="0">
                  <c:v>21</c:v>
                </c:pt>
                <c:pt idx="1">
                  <c:v>51</c:v>
                </c:pt>
                <c:pt idx="2">
                  <c:v>53</c:v>
                </c:pt>
                <c:pt idx="3">
                  <c:v>7</c:v>
                </c:pt>
                <c:pt idx="4">
                  <c:v>19</c:v>
                </c:pt>
                <c:pt idx="5">
                  <c:v>15</c:v>
                </c:pt>
                <c:pt idx="6">
                  <c:v>21</c:v>
                </c:pt>
                <c:pt idx="7">
                  <c:v>15</c:v>
                </c:pt>
                <c:pt idx="8">
                  <c:v>19</c:v>
                </c:pt>
                <c:pt idx="9">
                  <c:v>121</c:v>
                </c:pt>
                <c:pt idx="10">
                  <c:v>20</c:v>
                </c:pt>
                <c:pt idx="11">
                  <c:v>18</c:v>
                </c:pt>
                <c:pt idx="12">
                  <c:v>21</c:v>
                </c:pt>
                <c:pt idx="13">
                  <c:v>16</c:v>
                </c:pt>
                <c:pt idx="14">
                  <c:v>11</c:v>
                </c:pt>
                <c:pt idx="15">
                  <c:v>12</c:v>
                </c:pt>
                <c:pt idx="16">
                  <c:v>98</c:v>
                </c:pt>
                <c:pt idx="17">
                  <c:v>10</c:v>
                </c:pt>
                <c:pt idx="18">
                  <c:v>18</c:v>
                </c:pt>
                <c:pt idx="19">
                  <c:v>7</c:v>
                </c:pt>
                <c:pt idx="20">
                  <c:v>12</c:v>
                </c:pt>
                <c:pt idx="21">
                  <c:v>20</c:v>
                </c:pt>
                <c:pt idx="22">
                  <c:v>10</c:v>
                </c:pt>
                <c:pt idx="23">
                  <c:v>15</c:v>
                </c:pt>
                <c:pt idx="24">
                  <c:v>9</c:v>
                </c:pt>
                <c:pt idx="25">
                  <c:v>70</c:v>
                </c:pt>
                <c:pt idx="26">
                  <c:v>17</c:v>
                </c:pt>
                <c:pt idx="27">
                  <c:v>110</c:v>
                </c:pt>
                <c:pt idx="28">
                  <c:v>15</c:v>
                </c:pt>
                <c:pt idx="29">
                  <c:v>15</c:v>
                </c:pt>
                <c:pt idx="30">
                  <c:v>17</c:v>
                </c:pt>
                <c:pt idx="31">
                  <c:v>12</c:v>
                </c:pt>
                <c:pt idx="32">
                  <c:v>105</c:v>
                </c:pt>
              </c:numCache>
            </c:numRef>
          </c:val>
          <c:extLst>
            <c:ext xmlns:c16="http://schemas.microsoft.com/office/drawing/2014/chart" uri="{C3380CC4-5D6E-409C-BE32-E72D297353CC}">
              <c16:uniqueId val="{00000002-7457-4ADD-918F-71751F121045}"/>
            </c:ext>
          </c:extLst>
        </c:ser>
        <c:dLbls>
          <c:showLegendKey val="0"/>
          <c:showVal val="0"/>
          <c:showCatName val="0"/>
          <c:showSerName val="0"/>
          <c:showPercent val="0"/>
          <c:showBubbleSize val="0"/>
        </c:dLbls>
        <c:gapWidth val="150"/>
        <c:shape val="box"/>
        <c:axId val="1275927632"/>
        <c:axId val="1275927992"/>
        <c:axId val="0"/>
      </c:bar3DChart>
      <c:catAx>
        <c:axId val="1275927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927992"/>
        <c:crosses val="autoZero"/>
        <c:auto val="1"/>
        <c:lblAlgn val="ctr"/>
        <c:lblOffset val="100"/>
        <c:noMultiLvlLbl val="0"/>
      </c:catAx>
      <c:valAx>
        <c:axId val="1275927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92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60217128439403511"/>
          <c:y val="5.11662457287178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8395318029667671"/>
          <c:y val="0.13481978903580447"/>
          <c:w val="0.33095079136550809"/>
          <c:h val="0.72850809686525031"/>
        </c:manualLayout>
      </c:layout>
      <c:doughnutChart>
        <c:varyColors val="1"/>
        <c:ser>
          <c:idx val="0"/>
          <c:order val="0"/>
          <c:tx>
            <c:v>Total</c:v>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1D8-4D15-B958-F405BD3C5E8B}"/>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1D8-4D15-B958-F405BD3C5E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518</c:v>
              </c:pt>
              <c:pt idx="1">
                <c:v>482</c:v>
              </c:pt>
            </c:numLit>
          </c:val>
          <c:extLst>
            <c:ext xmlns:c16="http://schemas.microsoft.com/office/drawing/2014/chart" uri="{C3380CC4-5D6E-409C-BE32-E72D297353CC}">
              <c16:uniqueId val="{00000004-81D8-4D15-B958-F405BD3C5E8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pro.xlsx]KPI PIVOTABLE EMP1!PivotTable8</c:name>
    <c:fmtId val="5"/>
  </c:pivotSource>
  <c:chart>
    <c:title>
      <c:layout>
        <c:manualLayout>
          <c:xMode val="edge"/>
          <c:yMode val="edge"/>
          <c:x val="0.5717241379310346"/>
          <c:y val="6.880551811208514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0689655172413793E-2"/>
          <c:y val="0.24736965902819869"/>
          <c:w val="0.77002823784957919"/>
          <c:h val="0.6122047620052814"/>
        </c:manualLayout>
      </c:layout>
      <c:pie3DChart>
        <c:varyColors val="1"/>
        <c:ser>
          <c:idx val="0"/>
          <c:order val="0"/>
          <c:tx>
            <c:strRef>
              <c:f>'KPI PIVOTABLE EMP1'!$O$14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AFE-4A08-B031-C3B261ED0B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AFE-4A08-B031-C3B261ED0BD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AFE-4A08-B031-C3B261ED0B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 PIVOTABLE EMP1'!$N$15:$N$18</c:f>
              <c:strCache>
                <c:ptCount val="3"/>
                <c:pt idx="0">
                  <c:v>Brazil</c:v>
                </c:pt>
                <c:pt idx="1">
                  <c:v>China</c:v>
                </c:pt>
                <c:pt idx="2">
                  <c:v>United States</c:v>
                </c:pt>
              </c:strCache>
            </c:strRef>
          </c:cat>
          <c:val>
            <c:numRef>
              <c:f>'KPI PIVOTABLE EMP1'!$O$15:$O$18</c:f>
              <c:numCache>
                <c:formatCode>General</c:formatCode>
                <c:ptCount val="3"/>
                <c:pt idx="0">
                  <c:v>139</c:v>
                </c:pt>
                <c:pt idx="1">
                  <c:v>218</c:v>
                </c:pt>
                <c:pt idx="2">
                  <c:v>643</c:v>
                </c:pt>
              </c:numCache>
            </c:numRef>
          </c:val>
          <c:extLst>
            <c:ext xmlns:c16="http://schemas.microsoft.com/office/drawing/2014/chart" uri="{C3380CC4-5D6E-409C-BE32-E72D297353CC}">
              <c16:uniqueId val="{00000006-EAFE-4A08-B031-C3B261ED0BD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pro.xlsx]KPI PIVOTABLE EMP1!PivotTable6</c:name>
    <c:fmtId val="2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PIVOTABLE EMP1'!$L$8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 PIVOTABLE EMP1'!$K$9:$K$16</c:f>
              <c:strCache>
                <c:ptCount val="7"/>
                <c:pt idx="0">
                  <c:v>Accounting</c:v>
                </c:pt>
                <c:pt idx="1">
                  <c:v>Engineering</c:v>
                </c:pt>
                <c:pt idx="2">
                  <c:v>Finance</c:v>
                </c:pt>
                <c:pt idx="3">
                  <c:v>Human Resources</c:v>
                </c:pt>
                <c:pt idx="4">
                  <c:v>IT</c:v>
                </c:pt>
                <c:pt idx="5">
                  <c:v>Marketing</c:v>
                </c:pt>
                <c:pt idx="6">
                  <c:v>Sales</c:v>
                </c:pt>
              </c:strCache>
            </c:strRef>
          </c:cat>
          <c:val>
            <c:numRef>
              <c:f>'KPI PIVOTABLE EMP1'!$L$9:$L$16</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E6A5-4C41-AD5A-63089437EF49}"/>
            </c:ext>
          </c:extLst>
        </c:ser>
        <c:dLbls>
          <c:showLegendKey val="0"/>
          <c:showVal val="0"/>
          <c:showCatName val="0"/>
          <c:showSerName val="0"/>
          <c:showPercent val="0"/>
          <c:showBubbleSize val="0"/>
        </c:dLbls>
        <c:gapWidth val="150"/>
        <c:shape val="box"/>
        <c:axId val="813540248"/>
        <c:axId val="813511088"/>
        <c:axId val="0"/>
      </c:bar3DChart>
      <c:catAx>
        <c:axId val="813540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3511088"/>
        <c:crosses val="autoZero"/>
        <c:auto val="1"/>
        <c:lblAlgn val="ctr"/>
        <c:lblOffset val="100"/>
        <c:noMultiLvlLbl val="0"/>
      </c:catAx>
      <c:valAx>
        <c:axId val="8135110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3540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pro.xlsx]KPI PIVOTABLE EMP1!PivotTable10</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 PIVOTABLE EMP1'!$I$10</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'KPI PIVOTABLE EMP1'!$H$11:$H$18</c:f>
              <c:strCache>
                <c:ptCount val="7"/>
                <c:pt idx="0">
                  <c:v>Accounting</c:v>
                </c:pt>
                <c:pt idx="1">
                  <c:v>Engineering</c:v>
                </c:pt>
                <c:pt idx="2">
                  <c:v>Finance</c:v>
                </c:pt>
                <c:pt idx="3">
                  <c:v>Human Resources</c:v>
                </c:pt>
                <c:pt idx="4">
                  <c:v>IT</c:v>
                </c:pt>
                <c:pt idx="5">
                  <c:v>Marketing</c:v>
                </c:pt>
                <c:pt idx="6">
                  <c:v>Sales</c:v>
                </c:pt>
              </c:strCache>
            </c:strRef>
          </c:cat>
          <c:val>
            <c:numRef>
              <c:f>'KPI PIVOTABLE EMP1'!$I$11:$I$18</c:f>
              <c:numCache>
                <c:formatCode>General</c:formatCode>
                <c:ptCount val="7"/>
                <c:pt idx="0">
                  <c:v>11822107</c:v>
                </c:pt>
                <c:pt idx="1">
                  <c:v>17227563</c:v>
                </c:pt>
                <c:pt idx="2">
                  <c:v>14736347</c:v>
                </c:pt>
                <c:pt idx="3">
                  <c:v>14757305</c:v>
                </c:pt>
                <c:pt idx="4">
                  <c:v>23567499</c:v>
                </c:pt>
                <c:pt idx="5">
                  <c:v>15559564</c:v>
                </c:pt>
                <c:pt idx="6">
                  <c:v>15546980</c:v>
                </c:pt>
              </c:numCache>
            </c:numRef>
          </c:val>
          <c:extLst>
            <c:ext xmlns:c16="http://schemas.microsoft.com/office/drawing/2014/chart" uri="{C3380CC4-5D6E-409C-BE32-E72D297353CC}">
              <c16:uniqueId val="{00000000-7A57-473F-BE45-AC473EADFE84}"/>
            </c:ext>
          </c:extLst>
        </c:ser>
        <c:dLbls>
          <c:showLegendKey val="0"/>
          <c:showVal val="0"/>
          <c:showCatName val="0"/>
          <c:showSerName val="0"/>
          <c:showPercent val="0"/>
          <c:showBubbleSize val="0"/>
        </c:dLbls>
        <c:gapWidth val="84"/>
        <c:gapDepth val="53"/>
        <c:shape val="box"/>
        <c:axId val="1143068848"/>
        <c:axId val="1143066688"/>
        <c:axId val="0"/>
      </c:bar3DChart>
      <c:catAx>
        <c:axId val="1143068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3066688"/>
        <c:crosses val="autoZero"/>
        <c:auto val="1"/>
        <c:lblAlgn val="ctr"/>
        <c:lblOffset val="100"/>
        <c:noMultiLvlLbl val="0"/>
      </c:catAx>
      <c:valAx>
        <c:axId val="1143066688"/>
        <c:scaling>
          <c:orientation val="minMax"/>
        </c:scaling>
        <c:delete val="1"/>
        <c:axPos val="b"/>
        <c:numFmt formatCode="General" sourceLinked="1"/>
        <c:majorTickMark val="out"/>
        <c:minorTickMark val="none"/>
        <c:tickLblPos val="nextTo"/>
        <c:crossAx val="114306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raw data pro.xlsx]KPI PIVOTABLE EMP1!PivotTable14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 PIVOTABLE EMP1'!$O$2</c:f>
              <c:strCache>
                <c:ptCount val="1"/>
                <c:pt idx="0">
                  <c:v>Total</c:v>
                </c:pt>
              </c:strCache>
            </c:strRef>
          </c:tx>
          <c:spPr>
            <a:solidFill>
              <a:schemeClr val="accent1"/>
            </a:solidFill>
            <a:ln>
              <a:noFill/>
            </a:ln>
            <a:effectLst/>
            <a:sp3d/>
          </c:spPr>
          <c:invertIfNegative val="0"/>
          <c:cat>
            <c:strRef>
              <c:f>'KPI PIVOTABLE EMP1'!$N$3:$N$8</c:f>
              <c:strCache>
                <c:ptCount val="5"/>
                <c:pt idx="0">
                  <c:v>25-35</c:v>
                </c:pt>
                <c:pt idx="1">
                  <c:v>35-45</c:v>
                </c:pt>
                <c:pt idx="2">
                  <c:v>45-55</c:v>
                </c:pt>
                <c:pt idx="3">
                  <c:v>55-65</c:v>
                </c:pt>
                <c:pt idx="4">
                  <c:v>65-75</c:v>
                </c:pt>
              </c:strCache>
            </c:strRef>
          </c:cat>
          <c:val>
            <c:numRef>
              <c:f>'KPI PIVOTABLE EMP1'!$O$3:$O$8</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6824-46F9-A093-1D31680CF7B6}"/>
            </c:ext>
          </c:extLst>
        </c:ser>
        <c:dLbls>
          <c:showLegendKey val="0"/>
          <c:showVal val="0"/>
          <c:showCatName val="0"/>
          <c:showSerName val="0"/>
          <c:showPercent val="0"/>
          <c:showBubbleSize val="0"/>
        </c:dLbls>
        <c:gapWidth val="150"/>
        <c:shape val="box"/>
        <c:axId val="1275911432"/>
        <c:axId val="1275916112"/>
        <c:axId val="0"/>
      </c:bar3DChart>
      <c:catAx>
        <c:axId val="1275911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916112"/>
        <c:crosses val="autoZero"/>
        <c:auto val="1"/>
        <c:lblAlgn val="ctr"/>
        <c:lblOffset val="100"/>
        <c:noMultiLvlLbl val="0"/>
      </c:catAx>
      <c:valAx>
        <c:axId val="127591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911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8E9DA587-120E-4ED6-B481-25DCE4F59FD1}">
          <cx:dataId val="0"/>
          <cx:layoutPr>
            <cx:geography cultureLanguage="en-US" cultureRegion="IN" attribution="Powered by Bing">
              <cx:geoCache provider="{E9337A44-BEBE-4D9F-B70C-5C5E7DAFC167}">
                <cx:binary>1Hzbbty40u6rDHK95RHP1MKaBWypu+Vj7DiJE+dGcBxHoiTqRFIS9fR/9SSZsbWcZP7GbGCPESBw
q1UqsfjV4aui/30//+u+frgbfpl13Zh/3c+/vSis7f7166/mvnjQd+ZIq/uhNe1ne3Tf6l/bz5/V
/cOvn4a7STX5rzhE9Nf74m6wD/OL//wbpOUP7Xl7f2dV27xyD4O/fjCutuYH15699MvdJ62ajTJ2
UPcW/fbi+G7wd83di18eGqusf+O7h99ePPnSi19+XYv6r8f+UoNm1n2Ce3F0hCKJIspe/FK3Tf71
Y8GPCA0xDakMf//h3x758k7DbX9Bj9+1uPv0aXgwBt7j9/8f3fhEafj8+sUv961r7H6tcli2316c
NJ8UvKkybfLlQtLuNT55+fsr/vp0lf/z79UH8NKrTx4ZYr1CP7v0X3aIFVj725L8DVZgR1xEkiFG
viw3emINCZfDiHMa4W/P/GKGn6rxvBG+3rYyQfzPMsEpWKAq7ppP35bkbzADOeKMIxxJEv3+I9dm
YJwigrn8cpl+e/QXa/wljZ63yKNbV1Y5Pf5HAWPzUBfq27L8DRaRR5wSEoWcPwcMIY4QYlQAcr5Y
ZOWmfqrN89b4etvKEpvzf5Ql0vZvDBOIHRFOMInw160fPUGGoEchwzziGH+xA0STLxHqCzJ+osvz
Vvj9ppUN0v/7z7KBK++GO/ttMf4GPOAjHmGOBMXP4gEdsUiEHEDxLB7Sn+vzHVt8u3Ftj9N/lD3O
7obmzt5Vfycy6JFAIcX0OxbhRwhCOwT2ryGFfNsMX5DxlzR63iaPbl1Z5eyfhZKzh+Gu/jtNEh5R
GkkhBATop0ktDSWGEP41mKyyqZ/r8R1DfNV/bYV/Vry4uIOE6s4Udvg7TREdUYZDSVj0rL8CdIQy
Iph+cVfRKm78RZ2eN8uTm1e2ufhnZVUXD3kBEPF/o2UwO2KEQTYrvjqmpxE9QkdYCC4hmHw1zVO/
9Zc0+o5d/nyZtVX+WYh5ay1QBlfD3acHU3xbnr8hxvOjCBOoQ9AXyIToiReT4RHjnDD8rUhZRZS/
rNXz1lndvrLQ26t/VLx/92DsL/FDk9/Vf6N9yJEE4LBQiKeGEUeRgCSYfgPUypn9RWWeN8uTm1dG
eRf/f22U52mdxwTWk2/8bwksfARYYAhy4mcjTLQvXDgV9PmM+CvJ9H1tnjfH19ueKP7/mLH6Ppv1
B7+3gdx2+zsx+IjQ+vHV318P2MrVrT/iF7+s1cknIA8FpuB9/iAc90Ke1H3Xd+WdsUDSfEPfo7se
4MpvL4SEOAMJMoUqn0VEAGYmAO1vLzhkDpIAnhiQq5xKCrlc0w62+O0FCaHqh0JTQr0JJCXZXzKt
21/C5Cike1NDvh1KFDL2Bx971dY+b5s/luPr7780Tl+1qrHmtxeSQ0bYffneXlNBEUb7ekqKKBJE
SB7C9fu7ayB94evo/7RhNwdNYM0u1FzXaZDNJrvANXMqNlHLTxqZ8zY282h4GpVlO8U9x0uz0UGl
X5ohCvJY41ye4bEiu4nM5Jz3UaUS7buhTsQ0dEuyTKzpk9Jp7M4jPe+cKMkYV72YbOoHEk7xOHbL
Ns9ZMCVO0ezCDdMwbJRu+EkRmW7YOqd1l3JfVreLmudpg8g851s5le0QV60eTRI2WX4+y5F/JH3v
trmIpnQeI3m1VGi56AMZbHW3VEnkqnbb9a66HnHX3484DO58M9f6bVhn/KOubPMeuzwfEo9dqWPN
sqLY5dTkn8ZQlO9qqW0f9yEeWdxNopKpGPX82oShS5VnAz4PRe9uve+yTbf4+ZZIOk/x1ITdS+XN
EG50g8ox5o1dRFJhXISb2gZk2fAy7+t41GrI4nFAnYnzhnSXekB9FXvkotuuRSS/CxvZlrFqfVBt
p6p3edzTYXgJZQG7lRaVTWynAuUxjZrg1BhSWxA6umUTiGgkZ3L0pklN07bopEXNkFDbuHfO2bKO
sbUGXqCqaReH86B3fdmUH4l11flS0u6qVgP9VCA0v40cC7vY+Wxp4mnum9OuWso2Jt00b7N66m60
aep0XGTLE82cyOPG920dh4tjN4XL7U3fd1W+6ZdIRXG/0PYa8bzst6DBfDNOtr5qur54VSFTDrvM
2+i4UNakJJzz92U+C4ZizJSQG9W4mWykcMs7Z7txOOVoQkFC1BygnQsKj48DOpZ3zIxOx1Fb5eQM
ia4ZYjaEDdgMjUGswfe+Mf1YDttMct/FiJb9mHStsVlsvXBDEnlpbhznYklcPc23JbfyvFRRVMUq
GjK3HW2mO9iwHmeJqfgUxWhQDUkn3Q59mk0l6ba213m1CdtgTGkZuXOjKX7lzCTfVqVhcVQV8NSg
MVon0aiXq6y0pL6e876NXWTIseo5uULFYs/mMSyGtDYN0zFCsrltsKvOhAiyYIPagd93NhQb1GgZ
7AZH7KnKPKdJOBMVD6yZtlHT8tsoL5GMNVKoT1oX5N2mG100JaTD9Y73eDiRZLblrh0Ktwvb0Nlk
WgLik3ay+TVdcOTiviij9+Gk+ndlWMuPfJT0TEyjbeIwAOHl5KuEtvKdG5Wsk5ZMNPYW0TvBFA8v
c5q3fKvrqc7jaK7dZd8sk99UztHTYaRDHi/1mJU7MnTuPWsL87Eoc6njWnhZpwP4gXKHq8WR48pj
z+Kch/DkLByJizNeieKs7/KJJa0SbooLEqExmXnUFcnMXB5uVUWMjnvVTRd+mSna4A4PNoGeUlbE
bSYB5kVovYyrMKqGuIMNe9fSQN1VQRdkxzgq6k++d2hXRjk5bwDhSyxCU9wPnLcvhehYOofhclNE
jqsYZ4TeD06Xl9ILTs/mhavhZe7a8UOwNCQuG2oSFLbRuURl/hZ2VJlwHcGubIal3UEw8beV8/XL
PpfhlAxhT0XcVzlOGbJNtGVivC8HOqciN33iC6+3TTFX88aVyJkzbdHIz/OaL6/B2TD9popkdifL
QL7EOWyIHRf9cGryrnqvPMlcLC3QEHFY6+BdH87uZTVG4Wc3FYuJZdm5Je5tX4sY8H0ehrj9ZEkf
EfDtCoepROAdb+gclDZ2oSbBzo3Gi5Q2A8Bsoiw0iW0Wgi8G4e2xyFr2RmaoRhs0OR9rB0ihxthm
a8q2OCNMfcgt0sekVji2uHN39ey6124aaYKND2M2s+A1BXemk4n2YkymahFVnEc13jq/jHcsmgk/
VjNprqIqwEM8Ln48QY1lJ6Lul/e2Fq7bonaSW9SRtjkeMkvV65DqmcF3M3XTG76EsStkvYsg3J9U
M9ZlXNGlA3c0heiTyzpx2bqafAiCUV9hj9od6Wd3U+ezVFe6sBocCs4Zjwmbmg9lrefjpuYzSdzU
qU/c8SIp1NDKbbD00ZyMYz2JN3ngxs+zUFhvmNb9BzZQMcTWmKFIsjJ3CQ10axM1Z2yM81bobT32
dRez0ct+y5bsyg3jEm6FyvJxI60Ar0UDxN8Z6MpB4K6y43AJwx3WUZ3QKJteV5GYz3CA8XHuxuJN
q10Rd0iO2y6T7DSrrLs13kxZnOs2KGJK9VLHexwGsaxFc87GgVzanl+7Wswbwvt3bT4CMPM2iIvS
yrhVLDtTZHBNPBv6aS7K8CQvIplg1vWJHTu/oV59qCAfjLNePLBZfbQ5DVKk6nZjs1y7xBmFypjl
M31nK9XLbduBJ44LZiIT45ZO5IRyVpHE077sTiaaFVPMgralCQk4Gzd57Umf5KJ2y24e5DDHcyE/
tW3fFjFGFt0UnQyWuAutYsdTVcv55QLb51PG+dIm0wipDi1qbTdhYdpzaku/W6KwPK7yMtjisVew
V+rxzM1WbgQAwmxqosqT1tbhtihLcV0xVO/YmNWbbIyqey0V/ixVZm9rScxmXrz5GPSkTaqFU7WZ
wrJ1MWUZfyl4y+Mmmhq0rZp6KeNwaCp+7ss2CN7SQtV9nE2jahNZub7Z4F6Ny8teNgpvNWyYfKO7
svDbPLMEbcchn086FZCXPRoXldQzydttixx5j0VRlSfRQsyD7DMca15PsHdkV59obSKSgEcYxY7M
obxclpr4eGmG6GJauug8tNj7xCJXfNSdIadsGIIqzsbCfuyw5ZCoRK3/EGJhy42nlkSJC+QC3iLP
FpE2HGkV29BBHprzekm1Z9m8qWCVL9AgMYldRQSP8cxPKz1kSYdbOcUtx+YGkqhFxVWE8L3p/fDe
tbY4rTWTxabBEqsYgtL8Mh+iFiJJNIRBIhDLUGwIKi+dQEURE87spuNBsWxQZQd+PuZKn7AByRLc
WYh30zTso98i+hrCagjPw7VeLlgNME3mSMqNZjV/NUVLewM1nBAJk6o9kYEQ78upd+Vxg4r+1Vh2
ebuROR781ikQea5a4dXlgLL8Yi7N4BKCDeQvPOpf4U7z68wMooszzO0Q5+NCOvCVGPbJyCJ4Z1K7
cDeacjPIKduMtlBTHEBi+orlbDpzGSxPkhVoKWJw4+ymmiArBpdR+C5VYVP1W1lQqd/lrGwf8KCx
uq6sB3eRT/vsqCy6pUszZ+s7SBSyaz/OPj+XXWfCuO2tXwA2Ua63lVaiiX1f4jkGB+3tJisLe1Nl
FI0Ql0N76VqfnTVuHLcAgeFBO4aup2oszAZ1Uf2qWObgLe7D6AaPM0vxGEUPjozhWx/I6UwyFtz6
MAv6JOvL5dXUlu4W/C+kC7S3mCZamjLVDfU+nnQoT8Im9+9a5esldhBj3nEadnZDK1prcAJhWaWt
VSKDpJnUJsmJ7WrIlMOKnoRBDVmMUU02HEvI/k+5GFEft2NBTpTBvN71YcXUhhcQ3WJaFL1PM1Lk
6nSxvDpjjvr+xFFkhliVdR9sXFRHn8dm1PdmkLJP6sk1eGuglrqhpS+KhBfTPKA0LFoVJLB7C3qq
SD2M4LPKrtyxZZpGEqOmjYK7djDi2Je4lu0mWmpWnhRNudg5WUYodzY05K18388TkteshbwkjWCn
dTSuZsREXGbujjVzbHzOy91kgy62cy22OaZtkM4N5ScE8AQbcwmkPi+47ebEETqSl0uXQ8JKWiHj
ULI3IcSb5bTKfPaqiiAnuKodWpocIkKU4/Oa8iBLCz25eqtl7rY4JCEnCdHjCJVK3bDBq7gp+r6/
KJYW0qOuVY5uMOo0fWlL0mSnDJmxuJSTcPySqyybjkuj7GYeWfPKiqoPziWDnOSNr0O8pFHvGdmZ
eSnUCUOlKt+rvBv0MRsy73ddJb35oBcf3kWqrHjceceyDxXPmywWc44EJEmWZDnYfcKDikdjIM0c
5l4lCHuVFZvc4/AD4aOxyWCHySV91uFNppiPziF899NxJZE7pV6jYYuZQcdtiKvU5hZyCZzx+XXR
WK1PvOJluCuGjsi4oS4vL1oqJpEsGrV2aytsdn1QjMHG5hNPvSZRdkqGdna7rpQQu6ImE9lp0zvf
41hZHPoYIoOutkHAa3M7V5Bud/3s9UVNMBZJ0Bds0TGfrOxOm7Dx0XEmo8LHlmlR3ECQ4uaEzraB
NCecpvNxIjKksVJm1G8L7mn5EQGG21e5s37T8E4VcdFnCko7w8erso+i2xKSOxoP3nZiY+B16KYd
lF+OUS7FeFYEdKm3MmOCxksg7E7goefxIofgTOnqNiqDDDJy1OVXRdVBTKRZ9yEgc1TEdbhclSa/
Lsc+dJtBVQY2TzTVOF7IWKbVzLtiozLXn2GrIUw1RZB9XhTkeidIlFAZAcUwFrGtC3/v84GQEzOh
HBLWcDSnfT+61w71PHE8JxD/mdcnI+kDGk+0vna5Ad/URKY6y2dALGQtmeo3mfSMJ3mQjx+NkK6G
7F2GHKLQoEXsoRSuj5UZcp6Y0ec3Jic52EMuJYtrlaNLz0mNL6KwGfMN3B2qmDZjGGz6so2auNXF
jBI7hHM654341IPrV9u5x+atQRQqpqrshjsd8OYkMHWQ1Fxk56KrjUusXhCP65wN9WbRjFyyOifX
vWppqrpSn5TYh8tHgmA5+MSHM9iX9g2sfHRMozyE+1uB2u20mJMubOa73IT5jffKvvN9bssUlQif
jgSJE9dEHiVOovo2r0bRJdWgZZiIFoV6M42sCzdNXwb1y8i5HvwSkTraBfBiN31eRWeSL17Hc9UC
t9TIbOo3HRT7GzNkvN9YpoohXlQZjpvJyQw8dh/x7eMBuie02H3b+UHlxddJxT9+/Q/kr/Dv94m6
Pz/cDzr++dvFtwnJ9bf2xOUfX/tzLG9PFv4xo7eiH7+MS36Hm/zhxSfE5RN69jEFidAPacsnpPCe
CPz9+18Iy0gcUYQEYYxQIDMiDn2zr4ylhFFKGESSITQ7JXho6Nt8YyzFEXQLOIs4tNP2ROefjCU/
EjyEloEUGOhGaLbh/w1jCXIe8ZUBRuAsBGP7PupjntJkc9ZWKuLHBdpE7NKMMLfxB237DBP6Pbn7
zx/xnxFWIzf1LLaWFXURL4v37wrM5y8zml9GNP8X4sEqj8WXIqj8NDdiWwz9MFxPUDzmb/J5aT//
WH0YA3t2Wfb07mP19VJJV2V8G0GEWV51SEchcBwlkGMhDTWOKelttvvxw763VmD+xw8zYPtyyhu+
nQ2RJJYhyYe49Vx++LF86DI9+zIrLlpEfdiVkedbhzp6gdBE9WsoeEIoaqRt5jQQCx9i7fvu+scP
/M4LSdjpj1+ok2E3iv0DxxqK3dO2cBkU0sYV6ouH+a7594L+ZNn/2LUSxi0fP0CqZQqtIwxoWiOm
Uw6UCk66yuDinFVFiS+Qq1yV9KZv/J5loajfhU0xDtDd/9Hu/s724Kvn62icWOlykera9Nm1AObA
3RBgsMJTGxSReAUNBcJPfvwwtLfTc2+7t+ujzdgJbSpmPNsCez72icRAjRP0uatID6G4h/pBA2Es
gvN2ylG1dbhtZRMHucQa+uY/et/vGXS/Do80qHOvx5pNsN4SswSypM+CTeoni/k94SsX1IJbmKS3
bOu9Ee/D1rdQybry8jDV9099rLosFTdkYNuKKPUQwqj+eROoyiWHiV85ojaYgFQpGNvWVow3aOpp
PEONfZibkys3NNRT2XW4Z1vbBsuyDedgHDa8a1txoPor14MhI5e+LsH1tNSVied8pjHka3W0OWh9
1n2weiAc+bkU6RB0Uwo0I63jnMj800Hi5cq14dIHTWu6IG1aoH2vjIIxpRttbfD5IPli5cmMDCFX
n5lMlxbprQeWbIhnyI6Hn6z/fo8/A22xciTQNKG1wz5LW+Bn9G6C7tS4rSeP1KZXBY0OfMzKgxAK
fPvUBSK11mF73PC2CbdLg+p52yk7zYchWazcRN+OfUZmLdMOGgdvqsEXl43g0Zsf2+J7a7XyE1M1
SzRBCpXiYFbbGrgacp5T3/bvKiar+SdLtfcLz1lk//kjf1FI4Oil6GQ61NSfBHoJL6McDXX845f4
nnjyVHybKQ/V6sJTJ3pgcMJyprfAeHbbw8SvHIYbBfAGMBOfjjVYwNZAGFEXAKl1mPiVu3CKNL72
pUypAYZ2W3s5B7EJvVoOfMAKz1UUMODmYfUjpPvmpEP7htpQimW6OugN9kn4Y/MK7IlBwQxNd1Mo
KMqNuZpV3vvD9OcroAlou8M8IxNpR6hVx3aB6jouKj2Fh0GMryA2K99ziweRQoXe0ROj8QidQEeH
n0Xjved5Zv/zFcp8XuahnsDEfQajBpsyB371SgfLyE9z6JpV2znHvnlfa0k+uCafmgOzHL4CXj3n
mWiXCVxhLevutAhMJqBwqCLIGqWdSmrjxpbLmKiCd3pXzUsuNhw6Ee3rMbTcHbjAK4D6jAdCVkCq
aRG4DVGTSKWoyU/2B9oj5bnlxU/3HxvtrHrcR9BvX4Z2u6BstFuWAcF/3MGUi7/MjW4/dwGd9DFd
ZMNezoTg5gILKcv3ssKM/USV73givsKybErWtZOiaScyQxK+RA8dTID0h/lRtgKaQwOXZZnTNO9m
ecsg/Lw0YaAP83Nsv3sfeeme5E0ZwNhFymqoZBKHpAb+WQ3e/GQbfAcGbAVko4DmxNC4Sq2fMnwi
YRAk/Dh3CCBRwGRJGzfKdTrGC+/y+04vBh+4biuAk6mpwcoDT7nMtAOGEUMX3TsKzbKDPCAMOj1Z
uoUuMNrCB7F1PUNb7oEfW3gbbA6TvkIxz4BxK/t5SQ2MoqRLI8qYD135EyfxnT3LVuDkKCyCGeqs
tMRKJxhmcjaZb/GBm2qFTShEWolUu6QY6sY4LNC7Jqc/y/S+p/oKboh3DZ3rfElz6MlfON+EED/7
ApUH7ptV5CxKmNEhg19g1ExHJ9DaqTYZTEilB5mVrtBMOqAbbQXSbQY9oIkIExsYbjlMd7pCs2zw
IkcBZg0sLpKKOJjiqoDEPkz3FZTLMBjCKTNL2kODe2eiJk9GRpfdj6XvYfOMQ6crvDYZK5YFBVM6
BewBKsFq3FFbdU1qJ2ih/vgZ39k7+yPXj70dGcXYlFU2pQSAex3Zttwi2laHVcj7ocjH0m0Ducq0
8CltKeMnMmJuU/rmQHezH/t8LB1ZXWfAyrs0NzU9U7UWF91cH6j6CrEQSbOqQsSmfVtmKBkYtGAF
jOUUm8MWfgValuWmChZgXrpGzacV9JjOXZbVB4JqBVngR4MRudLCGFk+mddkCmV9yQbJi8P2DVmh
tkJq7PMRz5CzuSWpOnbrI9/8ZON/Z1OSFWhZGVRUymzc9nWBYmIcjqFF5Q5UfQVa0pUUZ+V+KqYJ
bgcMCVgTzdlhZiUrzFbdMgQBNNW+qE4xNPjYyA9VfY1WJjMnCzRuowlIY7yXbg5fmBVaoaHWZbUB
6XMZFdAdqlzMOS4PXPYVWgvKJHRTQ5BO8UOvaL3LVX4g2URWaK3gb2hIlYPwaHE6rUU0QGnE58Ny
g30T5bGjmS0RWe0rmHqw2RTPaMQx6jJ7WIgiK6zqosNNS0K3bcb9YG6hHly5oMNWHa9wapbBdm0x
ua2uChpzym6D0eADha9wGmZsIL4I7Fb0YbMxs7ozDqYMD3KQeAXT3kRzCZmw25Ycusi8hG61G7A4
UPoKp4KUQa6CCFSPHLow0B65ykReH9aiwiuczo7ihoLkdEHwF1xgukpytglsIM1hewavoIr7OdKu
y8fUUw1T0QGBkdVuwvb+sLVfYRWpDMO4gobImpn6NCoN2piq9NvDpOOncHJD1pHcM5faiHxAJX5l
KHl1mOg1Uo0vtfeBTVURvAT3eOuxOJBfwyucRkppgRph03Iq5MYV7E1bZe1hBkUrnDaVCYZIOpcG
ysIsXynOBQxSHbbZ0Qqn0BaeOjPDaYqmnj/B8Pw7zPTZQQuOViiVasoDiNd+P5NvbLxgU/DYG5If
5nrRCqdjzlxR0cGmcCI0fE8t+AGY71nQYZkGWgHV9TWGIyStS2Hef9m0s/hYqC47cNlXIM2k6sWo
BpcyP/gETsOA6tXPOq97Ic8UB/vhgccxKWpgtrQLtE3hfFJ0IU2OLuog694dZtYVRLHFFiakFGzH
AkbqiZ7eC6kONOkKo3BsJCqzonLpwPYjcXK+rXt5dZjeK4zSCc7tKAKyg9K8oc5fMGouDhIdrhDa
TlmWW5LbLUwwBklQZudqCQ/kB8IVQhHqOrEEONjC31y61F7cysHXh7mWcAXRoIA8fWhhTeqiedXm
7S7TxWGePFyhk3aTJzOQ3tt2GY+HCZ9RdlgEDVfA7DyzvO2gtuMaRlXbOW2G7LDOZ7iCpartXDgH
Snf67TK6pBQ3h+2QFSTrqISjcxUYkRbVx2GOXsmFH+Sn4IDhU7RLz+GIE8x3pyEcC+pgWN6WJqmC
MGo3h+hO9+e7H7sTHSg4SRUpDaDEr50Nr3OUHbRJaLjCJHTurAwH0D3vGNuoAQ5fLA41BzlZOOb8
VPGmlDKowKJbJIbsevRB97op2GGVKExEPZVeqwa5EJs67YZGvuo0YSmcKpAHLTqJVsjslkCHmYYz
d1GhWxjFlq8CmqsDF2aFTedt451XdVpxGL9JgDjqb5c6asefyCd7KP53BCLrSRn4G1kwxc8dnEDl
junLHqHGHatq7IedN8zhHYyccbPpWT2354EHqua8E2WvbzEidOfgTOqJoDDlHkdL5qBLAGcjq0vd
sBknuu+9Spa8yJaPbeaV2zUdH9rEsXK+J5rSs7Er7alXxbiDI08TiIBeThGHWtHlTYEgDXxV7fst
bxolO5gAdYIucHWYkiKE6ZqXZVcEywa+bdTF/3B2Jk2S4soW/kWYAUIS2gIRkZFzTVnDBusamkEC
BBIS4te/E3fVHXbr1rPYllmRBCCXy93Pd0haT+7HLcuI5FdvlO7Q313qdtBoJP0z1CHiMe3S5rYe
IMmv3ukUSTplsZOndIt/sXR+J5Lmpp2T5FcBl0Mvh5lUL09kN7pQaXZOJwyL/+/Hcrm///apXIXc
dY2GZjebPM0aPafzYnblKxFMu1Q+c6I5A+Ol2q//+49dLvrf/thVGE5mAWKeo/IEsR87ZNKr465V
8+m2q6f/jghtqNeELESe3JS1VVTvn22f/uk5/W5JXUXhJG66VS6rPDG1dh8sJrJf8rbZ/tr6JLr7
3/f/uz9xFY3jWnCICWZ5MBuRrGrtvEDx5Jal3s+dx8HvDweD37zy6/GWJZXQoDHVHID3lPK40i0p
PEaKD92w52mZQ978h1/0m/d9PejStHwb6kXhoY1pVMqMfUYgum0sAQ3pf7/uCH25mo+jPCWj+GaJ
P0J69f6mN3E90sJJLfMdpapKNjO3Z6EMPU45RBAH1jgV35RI/Qdm8M+NneLarOt4hG4WRuBQEm6+
iJnfVgEiF7jVP69ugpi7Liz9iXNqjzWEKwV0Su1NmSuoQP++uusgHCdr0p46sBiO2oWhykX3h9HV
3302Vws5ZjpRiqu6Slx3H9ekyCZ24zO/WsaBxMpALlhX+54dajEfhy49/e+P5nd3fbV8AwZ6OiNk
XckufeA0epjZ8Icg/ZtLX8+vyCW+zIt3QCBA6XbfQ8V7iij5cNN9X4+1QjjSukAifOxJYw5aLxCU
C5Udb7v61Sq9qLxrGkfdiXdGP5hl+zw34bYZanI9F9Mw3kQuXbuTChDYr8KOd/Gs5Mfbbv1q340C
RF3ZsHSnru+ho2jzx4gv5nDbxS+v+h+zDFsfz6shk6jskHXbMU39J71IqW587Ffrs50uqrFsFNXo
5mepplO/TLdt4v+BoPzjzkMLVsjQIJFSFlyTcR3jEkq5P0Te333pV+vTAQey4yCMRWTcVOxiKTXD
4P1tz/xqhe7oZRtndXda8yGUY6MnqHqXUdzW9YRu49/vVAwhzrikosqzaU8h3K6Xh2mT3W3lAnI9
/7KysR75TEQ1+B0an3fJ1PzhySS/ee7Xky8Z2xPMcDTtKQkRcQ9xN9D+HkPmIfmIgYLp1FFolgs+
u4Ee2Ja2vpytpA6TnpqF47yKeD5Atd+kfw2cpu5U56TjN5V3yHUjXAlLIHOi5tDxbTnS2mIaPpK3
lQL/Qwf650IkPiW7ktYciB/aEkXkj6g8bH94rr95rNd98NXP6CbzYA6BJzt0cXIpubwxPmXpvz83
KlcWkdmZwz6gk+Ft+Dte2ttK6iS7WojRroe5VgToH9otlfAQ0sapvW1uBez4f9/6DhxJ3TkEU67T
72YgH4Y2va2kDpDqv6/dDjixTzpbD128xMWm0/pQ14m8LfGhl6T6H9Fvi+YEvVIbVRgPts25A1dq
PbRGmrG6KUhdT2qNXWdZnrS82paWYbcM/TqWLfh/5Mdtf+Dyrf7jFyxWrrur9XpYp1ZDP5z5Sovs
ptkMcj2rhfMDJZoM6yG5zGp5OqO6nvGbBCnguP37zjV3maktLu5WSGCUyeZiUultXU1Cr774rF3R
wVhHqKn7RJdEAoVRj+r7bQ/96oOfZA7nBFLbg0vbocijiFbzlsW37fbXg1pNHmScRcQeJseBbJBL
86w4sW833fv1oFbmtSYJm+0hEqMpM7k3B6C5bnsw2VV+2C0+mcZJ2QMGf9PXcdjkdxYDV3HbrV+t
1p22frbg5BzGkakSAiB08bP6T53q3xzYr4dhVCLnVE4kP7JaUffarkM3HANL1XLMFo1d8KYfQa4e
Ue0IMA89Ahogn1HlUtqU47ZOxW1Xv3pEuq25tQxXb5qxq3LWg801hZ+3XfwqhZY93kC+p8tBbzqU
3TD3lRnq22INuQpkQmexHShdDk6u7ji0eVpgEH+/LdiQqwwaaABAaUDOO9h2V8fEyE970tMbX+lV
JNvbIdsn1HoOOm95OaitLwGDW258pVeRbOSBW57X+hAN0VL2ux5Bkgu3DTgAnPjvKFxnmVqSnulD
Z+e23OmgyhwKrNu2v+upmDUJKDkvTX7s+3H/uIOo+NbH458kUZdP478UINOrpkFNvE9WzN0cAJ5J
y+QS43Wa/KlG+LurXy1UCMFRrg5CHLMIpXMX/ZjU+PGmhZRerVIJ8mQN5Sc/YhymBtZwb9Y3227m
y22Xv1qniZrItMeLOFI9jCAx9RtrH1mixvy2tXo9FaNNviJx0uIoTFL0Ir1XwGPddu9XCxXzKgDl
pLj0kCEVXvLDOs43foxXyxQ6Q7BJ+CyO+2VCQPokA58KUKTbbvxqmQLv19o9TMB5gBc2Lvo1ZrcN
3ZHrgZiYxjgyDUNWscmf+jF6zMbu3U13fT0OQ9FtbxcygibD1iE5ZVppYBr9sH667fpXS3TUydyr
deLHbEo2SIEyk93PYcj/NHZ3WYz/JQRcj8V0kdQZUE7sOOjI3NnaOaBXedw0h3qYeX1uht23T3av
/x+H6/+cDv7bH71avhwQy9H1s8JJYfPjViaqU6k+SIlVp45tvUlVzNMAoXUxkhl7+9aHZeTnSWnW
DkccrHsJtNYuXTi3dYjqvwjxUp/GOPBJFqQPoBgVOPDo+VGyJNdPztQ+Yectyjh4p8uumqgrYiI6
0hSL5RqHoonh1RVUzFPzl17aYU2KTHJQucguoYqoAg70vKnC7PxSykD67QMmrUBBK6iEOB1qmNBt
ZiwSsUYsK0SAxEneJVoySLgG1CztACzdolbcoOHT+EmnA3LHnvf534Me8M/LOmeuYnmGSd8VT0iC
z+fT7rSHdQOcQMbEjH9NKNrytQDDKU6Am8tZ034du0yKH0OzQqJezGGflqHAUEwfvoS5ze/0PoSt
GDFbYUrvO5PIivtprw87WjbpIUoB5i3rHF+aKB3zgQ5V6nYaP4DIx8Sxo+s+nKZ2nsId1G5jyZl2
7KmP1y6v4o54UraczcjC8iGv8gFz4sU2N2weSwOGbttUVuCIBR4tdVsz4c7mceEFvCbAd5ldd6oz
jrQRsYQN6z3e1tSCIpojsytEEgGhtQ5j+m22A6s8KJr8x9rtgRz1MlH5vC9pzt7aGTz+Z2JrQh73
us1BoFP7iunGo/BrMpnTzviqnnoIQ/G+dNdp3FwTAx8F8CiG/5GNDfG0yzsQczb/fc6HbmrKyaEY
fOZLn4uPycY3E0o1ZgBuNHl0mZZUqxp9BLTCrmbwgsF3dOsh4F1O0zmlKKSlZybHvC0kk+LIZDuW
E9v8sOAAGyLjLpmlMw/xasDaXRCjntnUrP3HbUubMcfnMKXrsSfUbOXUtFmKYeo2qAo1jjYHjJeM
04PYdhSBWhqv21J4bVHML2CVxlNkUNYSQsoL7Ll/l8h8YUfHa7k9jKlPUNWOLUaQdrSZrWsSYEiD
YbYYWoZZpFit31MV5eG4OJ7pD5wOSV61taH9d9RBcrCBliGbXGV6OplnucYN+ygBmBiOfQCgrhJT
PNH7nUapfExakDJ/dqOawNzKlmjKnmcs2vYwauBzz3pI+vlzGwHrA9BSJhtGCz5kQj/H1srke9bX
oCAB7SiG5gQ2maP38dJlEyh3LNAS0rBYx+DHkURAAUGZ+lFb30jQi2aZf6dgQ+rPdsl2kM+6DnsX
k8kUnjzq7zn+8xRlP6Ye9MrzkOoQPso9TpJSt1hJP8Akduyuken+bEXcHON0zoFWXVbODnHe6fb9
LNttf/UgH6cROtHqMnBxGdhnID/ZcfxbonPTPvRsJuE0Tb2qT3MqkuVhncHCL/uMZOlXYLUz8TPx
sn5OJhfdo420/xAqGcC2pU3VxBnIUlu35/4eWki330nByBclukxUWmU8f8dDq8bnpKm75OxBNgsH
YLj67U6EJWYnzjYZf45ZLev37SwaXQKBFGF0sI9BmyrEwMC7cbuhy5OJdxufiWZafYIAtZ5eVhgm
tce4lROv7AYwliw8zZf2GIUxWZ5m4dgPtRl82DWqNP6l3eLlAgCcNn9gdLJLU8XoVrkH2UMHcKyb
VffFFnHXfGxzI7LzoLVmha2jhX1vW9HrshmNtH2Rj0kdQ0Ofke1s1GBsZT1o2pU1Y5oUYFJ6/ZVY
gTuoaNwkmPrbcBdd1Jil6LfIjIdRrM4CxYjw/Tz7rc0OVC/+GxhmngEM0gD9WUIxyZ6QLjW/aixh
XvaqTQcwcT2dgKICxqjDSOGgOlMQue/d2Vu2+I8BGBdgtNvZ8g3xftd+moreYpv2BSrezvzwqyP0
DVLSBRuC9KMQ7xWucnmR2q7LAawjdDoPo08HgL6dHulJiUTIg3MNUaFoEpvvD34zDSqYGwgJ4i6u
A3JEwHvb9mzAB4mKfem66AMIpEtatRlbo8rELhEVD/vevy3xTvo7Z3cvTisoqnU1+7QOjwSAltcY
4OvuA6rIaQBgWikrjhBXNfZeSJxgngOqEPkxkx32O1vXdC6jIWu3x6EBy7Cc9iWxZaYXHlkIGwEq
80WMLyh5b2M5ZMU6Zta+dlvM0zsAsef+efLMdnPhQgYhOOQ3xQy6ZXJOiDD2hZo5Gv9Kuy1Xj0wR
g29sbAfV/iQKuM6+GDKKisXU5J074pdt/YEOMjOfGHCONXDCXU/OGPxmCmT3FOyIA8KRYhUk/6T+
tUNRAOmPaXt6Z6auaU4OLIsO30gOCPc9WLFB34FYRtIGbEnv4oPRgAMVzoYx/YC/mb+5pLXbNwVt
lQQQL22Bd50xpdiUEeJTXW613j70wGWSu1zoPS/oOIr8bnBLHpVBrxYwlGXyW6kjx5MSDYW8BWaO
Ufqy+dB0d9GYZugcdbWM1o/DsE/jfbPF7Y6saNy3H9g1zCgxShzHybtLp4bEJWlnvj/tscgGg0i8
h/qc93j1mMcGQDU8egTk+QUiUbOcY9sKe7dZJuhl595a0xYNHqMxBQCpKo8LT5p9bcq58yG8I8Bk
iwJAjpwdeQaQGur0xPfLS2yTfP5rX4zO+kJZYDPPISPx9pzh62+/9GaDlBo/kkz1i0Rp3L/PgfYc
7/e0X7ZqJCu1d9j/I93g4aaDA/2Nc98gebLTjpe5NO7ovIyGTzwJdnh1eGbuHvjNNXnpXdeChdu3
k/myaZ7Sr0MKQjfIbkD1jRpPiqjm54jR4vgV4q7sAtFmQn6b1SxTnK9AeCTl0Kc9vxu4NQH5Wxvn
8B6YozVgK1Qbtg9ke5isZhF14AoCfjiFIpc8+g7xVQDaHJt6f97XWX7kK77vg4y9YmAi7+i/DHzM
PtMUcxElCXndlziLZhwsn4mvp1RxylwBhu0wP+t2blOw2zHletSiV9MTGbSPVMEM3/7qATndjjTp
MveSjPGCMXX0WcXHLB99e3SgXi6vc9qSL7mBGLoyWY1SQN5Flj2HUdf8GC+9T1/QfyLjeyW52R9A
7J8nBMwMawN2ChhUy08Ss8bLUz0oAeAmvCOa14DJlwjk8m5w783uZzcXiiSpLwEsrGUJi7ZOv0iD
GlPRDo2aDyQARa6Ow+wTwBbJOFZLXKd4E12rkqds1RfgGTOX5CdPzdg2YJ47mlbDOsfJCnDnFj73
uZITLfYBsPqPmkaGvDWGTY/LuCLjKltQjsukbx0PJaK7K7hnxH4GiD5sdw3zGvs932Kk6UTpQdsi
kCyy5w63EL9bp9FywJ6B+ZOhXUfQG7HUv9J48e6YcqkSCHgXs90nWUfyiihMYl74vPtRYDPyFhT7
ujfPK0anxFjCvoKrR2nqALL6hRO2Lzt5MHku40MOofeGbRQpR7XsGcK+Vy5qzpKN1H5cVZ249+Oy
JiXK0nP6LSiAk8vat9kd0jXwnmSbg3cP3vCy9e1dC6plOWYqlNhsSbnvVuhiAjOAVQA1ApeNfOCz
Hzh5aHKF0jkT/WzKNklZg9FmnRagT/fsPvdN+Jk1Yu2fUiyd4bT3ZhcwqkiX19hjEhpHIGIfG5an
O3KnJFteXaTVCWxXXjLRyCeU0KO1BHaLQLTDaPsUljz9NPmoOci0Z7IYhs0+OKnES+MhNKskPuOS
bqsv07bu7jKYzD0CdRnum2RT30Lj+g+g3y5lF7N3ii7DJ9qLURRNrA3GTlYl5VxscSc8nCmQ7YZj
AAUl3DGXNm8s2fS97UMuKnzO8HzY1307gvRO7wPGF7NPPsr5h0Z5YJWr1I48uqsH7rwqany5OcC7
oY1/dhZOD58o/KFC4bphyzHKmTjYAXRxtIWzCtseyyJfkqABoJtnA5Lz1pGprxrmkujeJVk7ld0C
AM/90ia1eDbRZuzRgYMev+1MpQw+DpmzD2umafMNmesAPLoF5/xOd7rLHvvNKWDKmtGpwgOjkL+R
Ven4ZSbrxb5h0WE8KWZYe4aHg1BfoxbIvb6koQMCODZgHBcr7ZCKCrvyrlwUchRf1CQiRBWBhrX7
seWUzI9um9z+HewGj3SotQAaj2gQsYnqAvxe2h9mjAempyVXXf9uS3D2P0xjRoajhXAornCiafh5
vozfHWY+pORlbdOePmB+lgCgLzYqzgk4rNvfXT3Vw8tqwHuNyyAa196b2QC/W3RgX6AjtYMeHN7h
aMxTnIIxsrk/GKMM4kI7cp886QFL8oPEYdV/lVSKcwY7axyQB8+/JobI6NuAnhaOydtEAfNBEbot
8XUgWSrq1SG6A2G9VW5olvwz8wgAb7lHbP9izCzSvqJ8jrBf1SON3Afm935rCmDnOSmsrRf4YNQg
pD6bPd/C31ndC/Vz6YZ2POQ9iDjvg2o3cehjOi2vQCFSuUH6SIw+iS5Kp1eGVYaIGJNlzhGe2o2j
WNiO89jd9SRu/R2RrQSnNNsXpACFYow1UEtNOH8g4+thoeD0JReB2tn6d71dlsafhGzk8qZMNLnj
1EdWnI2BHwre2C78Us2p2tw3KegWfWetFOabhU2LO+omHqJSyDV56OamZuWM3qMFsb3PGrwS3omy
Maiyl4t2M5LSmUH79LbusII8AR9VP05NOp98veXvZ5IGi+yA7rt+CUqpYgF2qnBx1qwEGI68n47B
5zSUDUhd63knBgc0WFDwwlg/XTDPq/XmHU88b/92UADnh13GcVuBcYd9tQDrNrJ3NdLsx07BBucy
qjiQ+7oH+utBN2H6DI60XCpibZYA/duhy/xmgKGPkKWGGOzoHd/1CXlAwu8ttoD+L+9Jd8IRIBFf
YRgAaE5JAZrt3oPZ0LZQTiQD61Ygsj0lZY6oGnCai6godt4m3XPe+3gvFyz4TzKhsDeoO/DjAW1e
7ydA8dsn1CsIfc3Hjcl77xbxHZWYL0g9bMqgPGYYAZ8gpU7fj2lTfxvStO+qZkBQ7PpFPlkbIzPb
Q8T9WfG8LeHcA10uJujju44vRD3Nlhj1BHMB87BqPfV/AW1of0WzNKD0rxFeY7bxN7lml+aOzLG3
b5l/Y8glbNXsM3J1zDXZrYCZw3BcwUllRa99g9wAYwsOTJh8Q70WkdCgvmP7Z1DZkbqPgAsPFd/U
Ak77zoEkxgT6GaV0YR7JnM/RK+EY4sNQEB8bd3asaazCS1lDbAo+1T1gwTHJe37oc9a9a2YgVA8J
hALz35tLJaxmWlSuvtXok8aHheYmg11IGlJ8ml36YelwHjmFsYeXQo8Aqgu3LoC9NOna/sjpYNI3
4tfWlWEwCU47PFNuK3qXq+hr1yX19/ySmtzl25rqT4HpX1YqC6A6zoQJktkhk+sdqOddXgrQkn9N
FEsWjiNRXkI9G2cHJeCgdSn+Sbgj8S3kh15ldYajDNijxy0FJvuLbiLR4PGJGpXBSAzwIDK63ZsK
Scng7ymbph8KdgYJ4lzW9uObgfl5X6ZL68ldb7PwE0fnZn9YVFr/Glq1CwpyZXDp49DCRORTVMeM
/kqgLKU/cbRsURnpG/oopkUidsRtKNMmmf3rImquq7FDbylrWBO/dhGcNSqG1CN+oD7E81G4haXV
ZveYHBxzxhVqWLcP2caS7LNehHsXRZn5nNc8+YR2u91PUw29xV004WAMg6rNHeAjJjsEbKc/45nL
hzGRGGtjPdCRYLln03lqhZhLqsfBF7CnkV/2Afg2OL2gbaQzzx6WTUevnPntiYm9zY9TPaGyqmjY
TjPUl6dEq/h8weIj5o3EwLamoeEFDgVaHZ2L4KBE57W2H/w6Uf/NCIXDmQk+a7+gNEx4wVzAc0h9
3yMsCJLAuoJusCpB7ch+ajeGJJGglNA0yDJ6Gp0wQr5H1YIxeHqgMBsjXzzAoJDzchg4nFId6zfT
J718n+bTYMsNQsX3HW6kIJ1L9FoibAfriwW1MfKiZcvh7KFxO5+mqfbTsZ9hO1CmGdf++2XW9TyN
ahgeNs53hb8hI/NeJplXL6ThHglb6Mgxz3U03WGEkvt3KEWPB4SJcTwulPamSlsHg5o8A+DsMPkY
QcTy6f5CPp0+15pOGsdtj6FlF4J9b6K2d+VI10TdX+xg9lOOU/jPiIIuAOi9yh+afdqwfOocj0P6
+CBFBpL8bP09gddXsbTd+BB0S99jenmGQqBGUCCSwN4q4/WXaMc4+REoexo+oc60OWxEBiY0Nl+a
lEMqDv+bpjJq1eN5RIei+9busxlKvClPH3LZIjNHxFRuKIFw1+aQzN0mnmIX57wUnun1vE3ZDI4r
8JJAfNWO5V0R0Q7z2V6QyyKMetc0gBDNODEh+Miq343wZwtRhoADy2YVljH6Xb9W7J31WS82biqX
wQECk5hDmiVvU4YMrXJewMqGZ45B62NZkG8dS8lUxQ7OJV8UChpZMYxr236Ktx3Ro4kiltwzngy0
HESq0mpCNcyV0+hQ2ipaFram6qHjil8yPS/5O+hmO1cEJuDwA9syOhUh3TNkMEIn9ke0QHxYUEg9
xDtIvh0/wQ/D8x8MP8p/NkhQ2SM1ieJlprhMX1XjY18ojUNB25lheB8iSuUx7U08hIK2o3YoYLbj
Dj8KZVFywEe9ISkE/rOewWwUsNlrp7jbz0kWb+OT0KjTFkwTeOLhQLn8iinp2ud0r0eMgtSxHO/W
3EXpKyRqcH4pAUvYPfo/Y9Bw74HP3hHDRXoo0VWh6/fRDyYCR2i3+TlSKKd8gYPT5Q0xHHyqZBG6
h+4PB7DheUX9UJbQV1gDY5lcJ+lDzFKKwyW10XjXYc7CffdpEKaC501tTx7x2lcL1VoeFCH5XKUQ
blsAfpchtEecBpV4qGFRM2H4Ul0oGoCKTFXfdmK7r+FJlpfQiTSCVmTsYyyorh7Qz0YrdGrumdvI
jpzF6uwORYIJ3foZuV2BOmwiC2jz9r6a8RmoY7aB1P+Ld1SqCGeHBO4xALbyaQZveFDQc0l0yCw2
0wF5YlZGahEnluo0bGeZ5CR/WxcInh89jvabxg/vsj5DDrKR6YXyTm2fI/waAauixJJpPaI+iHVf
unx32fN6OUE/1NEkNyRfmJfdiz7UTfMCrweDwwrs1hgWeCZRs+Ilei0Up9XYDGL80QWcrjFOFfgQ
/1qsi2YkA5ziwASDGvSTIOqeYMAlpjV/oQgeDVLFvN9/yhbdiG997yd5zJpsjDyeriYjmIJs6d5l
SPexllPBM3rUSI3mX63OqM8Lm4gsPHuerfnHBPW5Dipp1P/td7Fkq3zT0TpFr1ODhs87dzmomhL7
rEpL7ubJKMjm4ON4bgf0vfCRZJocF46DD4M5FX7Jg4aFGvVweOwnGOnAyox3vIopnPEevEYn6RHZ
dc4ekRZl5sOoernc84b46RytYH5+I3FcxyW75GzHdRqiFa5uqQcgOqZr/S5azdohxgHfUwpkxuMh
rEO+PHfGQugywL/WfdwVpsjKPDZo8sAjZewP3dJE9kfOjK4/Em8Q/GHZcOjdfh/twFAiZVVTq85e
NyQgnwKqsUz4Zte7MI2C3C2osvuTkiC1v6GqSOl9J9EJLHU8YADgAOlmvOQVvs0dta1LRS06zkua
wqOHDX0E14r9iWkTMvQaaVvbY5xgtHo+dlGCfg8b0eIJMH5Y1xzeOJum1dJymt3ZbRX7nYZXWjyW
cUj9KlDTa4AUmVaR9I80WYx5owaOYb94k63DIxLbjh8VbVfxwXu0ZirV5H0DdSKGU1+7EZZiD3Wj
RvnB53gwDyHNpbmPVyjPnxzuNQWZM+z0tV/50Nxv/SLkJxz0utqV8Ypsea76KR9Qts5SfGBxCQ6s
0lHJYgJ3xAp9QJ6Lo8RocBGWmX8F7TM2SSngUTgOhwGtILOekYAteLCW93p5xT49ovCMYRy00pC7
ifABzoIrxFWCtnL/hO5JvR0dVvJR7Dt/xCGaRTAgqwUSOxavKIxc2nh5eop7xvRJ9nymj7uaIHKF
Jctkv/puFRlq+atx6dE2egttkXhGOXqcKYau4tnkrmQobMD6xWV5+jqZLTUpHLuWNEFNY6OAlObL
LlxfisF7WYUBfkwouRj2DOOYbDxngu3+bh71SqrGBT0+wnkOvn0UwCP2NIWFr0c4xsBJKjJJEh3R
o7RdpfJG4NipZ6ORIZGhI39tHDTUh3pv+u09v5TjUXtv62X/SUZKmu9aTrE6xwRSx3OMqu/8BIH2
Yj+qekiR24w02x6TLDLh7zDTXj+G0EQGBb4tzctdIB2BeQtieoFWssGw32yzJ1jwGV/aAL7WecEt
9NW6p6ksMRvP0DOHbx4mGl1+FBgmfYblYpp9ir1szNNi92S856DDwCgKv7CG1kHYAMKp4XCDQZkv
IlVP80ibQhqcZ0oz4msfDsisJTZIBNLLMR9esP5FRIuDG1sUJQsWSw5ThFJrenmCQqNchUxioeLF
cKciKLs73v1cL/vjTw5sIKrgM23O8wS/kSJGvFMfyLKkFmuvocNsYatithF2SgQ8Bd7GXVyRlEYY
ryHNXD+nLbf+iDBqt7NTY+d+2X7T2+O084F+XraVZTi8zP16HwLft885H/6PuvNYjhxLs/SrtNW6
kX0BXKi2rloArqhlMMQGxowgoTVwIZ5+Ps/K6U6iUszAZjNmtcgoknB3OK76/3O+U6s7ZZMXeuqK
IfQJTwwbn91odC6W15NizaWBee/Os+dcdjFOg1saJUVDOdAaF0pbTUbVyoLvJK3+FeNqQ1aSlhjj
frKh4rPDbuJHZBI6OyIFu/AxRdnIuuiExTTsPOWG3otTCw9xbynoZ6kjGVRN1fsJfj/pVy46AjOg
990ObxSSIoq3FGwEoe6EqiSab/dsX4nHY5btqSHmFW4P31Ad587DhD0UQlQ5STv+isN6Hlp/GOeS
3UmhiF1Jg7Eh1419qLAnS9+1ZoyUY/fvXdt7eGFBjdOpMvtAoAjqfM3tmzAYo8X8ZPLX2pUa46i+
8OJz7Tfi+D3V5zlThneV0bV7qgXLgK6VrNKLfw+HSUxzJ/NTn7fTtCNlgoy7ZY6tOxpW5bCzQ8zf
2xRMa0YL8UVlQYZyvhfel1Q+22qbpOsXl8pvJOpWbiraNVzXTB5dihaJtdFCs2azVFNueGHiOAeW
SUERyVPipmO2/iuC7B/ENtAy+KiOpBRm9CjS6ExojL+G0LH+qhi1KjlVXVtTcDJUKv2SeA7jfuoo
3XLASjURVNrE9/TnEqqzquj31EYrYRmJKPCGtdY5VEC/8h3o5OkG8WATsF+j/Ugvzr3481f6IzHV
SgvaNoRWStO0DwABGuepn6tw2NUR+9zdyMo0BCKKtZxd6TSX2zzFa9hLij6M1cSwDjbRa/TI9XJP
3Ow2Ag7mjY9fXw34pnNiz0I5UvyctfrL6NbhNuuIWMlD2aY3RR2F1mH2Yg4M7XyRkGy68eIrhVmv
E1hbDbZ1oAa9p5FKyqdO5fHPv+Y/ELaukS/hpJKeNET7EAmNqNpWhb4es/pvu/r5VX8z2o2sNlEH
cV+MpbB9pyd2sVuqpz+/+B88ocL8eHG71YuxnlIel9jxjB8dNaUxEPZstIFOVErtE7sbFyd8JVa9
iWJjrokwhAmM5EZX1gFqmPVZNm13m+qUV//8A/0yuf7O6F7zYJx0NikLRfJQuF5MBdorZwLRSeke
32a9t18kO2/+n1LqpX0OJ3tOl+RZ50mzTmGXEB7qtVG8B2L0Y1ImhEO/d9iS/cW7+/0nxVp/dtRt
2YTchCh6VvbnZe6NYzoQvfrnn/2Prr6a2OhqTyUZ4f2x08i6Mcrs5IXeJgk0q/jHByVDrWI5utD2
1nkl14T9SnjlNk+aXKNwIsounN4B1MWJTWGko5fteUQqb7ktNDA+vnW3Uw5ACqXtG/upJfyUtJVt
F17NWDGTuqRx1mOYJW1opBHk0x9/3nbx1Yw1AnuZ2SFRJovr05gTPtOYab/pSZHrhLN2GESm5Vzc
za17c6i/J3LeZq+Q53S2385XnrSoP7scg1vOhhbXnga19dqr6Uof2Yyak07ZyjDF9eBGuHApaW+8
K8bHdx53UuXQHXlQwOH4i0g/5Xb8F1SR86f/12lJequxOXmDHFHq9cfJnPGJouKzKxb+RU82bQql
txqg9UhyJZlC/ZHCySvBk58HKGGbHsV1dJnC5NLaJvdloACzawa6AqZrOH+xSfqDO7OmMbX0TqCz
T7zxabofKnGJiGfjCF1TjdLCwXIem93RzcybnPi9PQnzxrY7vmYaDVFLZw1N4VHU+YPU8iBt402e
brlmGrWWVs6RWXRHw7CMYCx0lmOZvm/7OlcDdIav37lF35GHY3+N0LwkjvUX24k/+i5X43Nqe9Aw
htYeZz2nYl05zaEs0m1BPtRMPo5PzrkURkmboo8jll25VLeO2W0jVEl3NUCH2uiyWB/bY0VaU+5z
AtauNCXmx203fTU8R81kVpQD36iafyCQfZg69+dNl14Di3oWnri2EbWTKPw4YTcRRbHtOVwTilTo
ZjZt0Pa4qCbeq5EjhZaX37e979XymSySgNkpIyU6JseVwnHh/hWE8WzM+p3Zdk0oGjXo6Kp2WlKg
lTX4rWOnN41dkw6eGsMcbHv/K1eYlZVTiWCtPeaJ+S2P5Wet3sYuIIb045M+Ecl3TtdtGf+qO6mu
1X1dyW3BFXJNJ4qMGGiBafDGpf65UFrpS61+2XZTVmM0npoaHk/cHS0jkeN+MYeZ8zzatGy37QVW
41TGUeQObs4jOWkPSWE807PYBFaSzmqMItcnzZ260DGcvYdeJHehaW8y+CE2/fiF5u6M9kvN7dGk
pnrUXKN/0KMx2WTGlWtGkeEoYamEJzEUy3yukR/p2G4Dicl1fFcx0QZGMN0eS4WxgjLdoRmjbQci
MoA/3heMGLAuPG450+OVmo2r3JqeNz0o69Aub4zQEjURuqAwKn1nma+8FtLitouvBqjHU0L5O2uP
eDTu0Xtct6Lf+L5Xa2hLvzu0R605Uof6nOjtQ541mw5x0l4NznCSRRbVaXu0uTO+B8AGd1jhbpsP
1+FZvZk2GkHiDSkGcRPA0XsYNG/bFnQdmSkE56zSEs0xSkzkJbjV1H4Qmr3txqzRRGnqEaKWzowb
by4Cd7DtxzwRy7ZvdA0mUqllh0TDNcdz7yfQO3nLSrqNqiTXaKJBK93Kmioel8qT6FVRcWVI+l1P
ZZugcOTdfByjpEkKL5pK7n0Uj6iRQUkfw1CC+9s0ltZIlzmjQdkWYX10tQ5LhRrr4n3wkBlsG6vW
aqzqhSHkSB/h2MZztysiO6VzFFuHbe9+NVwdZ5rQ2Yj6OOS2QemMGFST0+/G974asX1OUixdzvrY
SSfq8RYZ2St69/KvyFbne/A7G6U11QW1KQoiTBjYORGzJX3xacr1bWuetV5OjWosNGfgvpdufZo7
0R1G2uGnTfd9DXVRpjLnOh/rYxpay2dRhdEJ81udbbvxa6qLyTyJGYqv1aNL1R2cwTWlj87Ebja+
wGr3i0MpqxDucOfNbrxoW/dT3OTb6vRyHcDlZIVBk7ytj47sn5Koexiz/mnbfV/teqNwHs08j5qj
A1e0rEasolKaG2/Kaqg2AORdZH/10aTR+M0BsX8aso28Vd7Vx4msP8v6F9Oq0NTjubEJgvI1VLjb
prE1b6ydNcgZOVdH/j/4ll5fZuVfZXr9sgX9nXG65o2hlCNszjWq47lFjH+hKFMmGyeZsiAq8Gec
inoen4aiyy/MztTsYx/HjfVM4LvT3FP/69onzynsU0ZKR3VKs1LSSoCpEt5GU+OiLltk2rSfxsbA
5SHmpsxeqzjWGhQMCv+ubk3xAI0MC/Uu16mSBfZo0NpGKOGmR8OZYnkRVuk4B7qgmvBFI+dyPuhm
2jl0mCeuOeZJvxyixos7lBXGMhyQRU/LrlOFWX6bHNq19720tfTnTrea5ggWx1PHduLz7up+sVDd
K8sFQGfAKrNnJxpOEYA/79p2y3MjrVmMJ8P1cOohIbmoE+xIR8yRWJbHIldyp1oZWXt6zJISdh4r
GUS4hCr2s543B26bICctsOPrV2OJ7v8Cu1Mvjwt3ewwsM1MXC8zz27ZE9b6TQilUWCHk4adcx0S+
bReyzoKiOYq8c/Gqo0exzbeM9Bpt8bYMZyRsHx9+wUezkNxVqPvrsNhVYkyPUyPQQ2+bF1azfTHJ
wc4GszpiDgKRUmi+EZnetnlhDa0zZTizC87rI0iAt1BmT6GTbLzp7sf7oghVoOvN+0YFdkRifBla
+rbK5ppMZSlCpnTKX0fD8yYf3Tv26lzf1nWU68C2VkQm3nW9PkZGiok6a96BU23bsf5Czv9NzzFV
WNhLR1RHpBr1LWHo9OfNvti2dJurWT62EzGUht0dozaT17j9UlJ2h/7rpgdxTaZqi0gpVavqmLnR
8NK6zUInonT7jY/i6jnXy0RfNJMv1Y4Ka9pjZhwW39GsbBtVR64RTz0eylCL++pIo+p9rOUlTsht
AcRyDXiqh7FVDUyUYyw8UtV6TKZ5YHqp8b7p3hurTY2ymsVUg1Ef88ZDh4xCFvU41Q5jG44UOeDH
0TrWZa6jTmeDIHQEfs6IBjNJtgHZpbHa29TOGKZLxBJOjwbOG84ZDMyjOG67OavHfhQz2vmkrI4A
/fJL21QWdvmmtbdRQ6Wx2t50aRkR61Uxk5EacRmXpvjGmXbeVgo2jI93HlR9sxQd+1VKWdNFKMPh
SPSCs9t2b1ark2Hmg5ecJ/g0KSIklA02m77YBgiXxnrMtvo0TJyTj2AqzDcsz8vbUgw4PDa9+X9h
PhmIy+MU3pBlO0q7yLxSD0Q44nr48+v/gWpKrmPQZmGEoZ275XHJ8a4811miqgAXllHvxq7SnslH
v9U0L0937OIynH0eh9FDjEug2vbtr7FQ2N1QxabsP1GHYlDWijTCZoPzYBuRW67j0pD6Yh5qzjNT
iPLxqkii1DnOzdyLjV/SamwvYmglWt3yaJp6kvnTiF/VTzNCPLYtDGtVnt0tRVsavMA8GJhsl+Ez
Wbbf//wJOE8Rv7P9X+vy8r6Ye29YynOaD6L5yHzHtbv1ja9GdtQsetdlTgEKQx5yI7s0jG5bCUBf
DetC00Q0uj3Bz1KdY59QTBOr/LjtpqxGdR/nbQSiozxCRER3G4PsKKxk41K5FtIBBKrKkm/0mLRY
a4t0NL+3GsvNpve+FtJ1qSwrWeqkVhXRraOWK3Az27oYax0drJBGEjlUHtGbx5d63rp+lMC52/bG
1wtwZieuysziaGYuCDgcQs1ljKZ8W3KGXGvppDdVpl2K4uhYZRo0kFPgSM3bhug6QK2tyygKvaQ8
ejIerzuYVYHTp+rhz2/NeSb5nUG61tJ5YzYr9JaUFxbZsGsWXeTtc6FX1R6ffFVu2mOZa+2OMUVh
WPctcIbW+ZmD+k3hxJ///BP8/jRjrqU7Uglag4STH9HnhanfdIN6Qwe/rZNkeqsNSsJeucR3RGpY
7YZUdzr3orCtYdOQMr3VNFYZ6TAtLW8+RFS7t3SjhtcybZsOzLV+ByeGM1sdxQ597PUZ7y3N3yAt
y1RtOiyaa/2Oq8awZhuRH3XshDs3EuK+Ikp801xJAfrj7m22E07kY3PmskdTdZkKXdwaBo6qf777
//g+/Wf0Vt3/8zHv/vFf/Pt7VeNijOJ+9c9/PFcF//uv89/89+98/It/HN+q29firVv/0oe/4bq/
vu7utX/98I89hqN+fhje2vnxrRvy/pfr8w7Pv/l/+sN/e/vlKs9z/fb3v73+KJJyh5urTb73f/v1
Rxc//v433TbOu53/+O0r/Prj80f4+9+uXtuSV81ef+ev3l67/u9/c9yfLMuwXeHZnoEy6qwtGd9+
+Yn8CSiThb9SF8JCq89ILMk9jXld9ydpkSoh0LnojuOcT8ldNfzyI/0niH265/ETyX/Q7/3f7+7D
N/Q/39i/lUNxXyVl3/39b+ev/n+mK0faFi5OyDem7XGlf3k07M7SalTF/R7HFz7I+Q4b/bvulgeF
wVYL+wdVZe+N7P+qHeP+omL48Mow4MAH6y6udovPshqxUWyZi73kw94OvZayjiN8vHsScKGl9OjC
EBQlsZ9Im2iNRFsep66e8otcxcttonf1u7S8eQK9CQ3TL0HIf6ncubpKDWlAckqwEO2iyPJS3JCz
ey/zBszNIFR8MK3QCKC0VtT3lHOpRT3SbWBGC8jOkAi5OSIYwW7v6CDbO9s0v6ciKndDBnUZk3nQ
azF0j6Z8nAtOKH0k9rZmiCsYT8KXU5s+olAE8DShHwbhp+n4d/Xs1iEn2fGHKR1vYSQ8R57L64Xz
1KEItIuH2ar2WZ1ep9RMb7KaWzF5i74E4SRgdSYZbkfYdUkWFFWjvpu2Jj/1Tgensxv06C5xvPba
KrEn68kc+gZwiwJ08wzyCLoLQKQ0eklG3XuknDvtwyWudzh0mMuM4QHah9yFOEK/4JY2oyBrpQZY
LcNMbyrNvRsxMb2Hk0EJq6wQRwdR2ns/+nrsjD1aZs2PWk98msTS8Z/gDO0dKdnxYwdEJEdmPWe4
pIwo5biQzSOedDe+Qrw5Xo2I3K4NvP+BqVn27ZQU8g6PchLvjWy27hstAz0kO3GddNMQDPVU3k/R
GA3ndMW+9JfG6bFkFzCD6josj5UcpmuVuj3nnpCpuU29Q0rN+aqcVP2pKV0Hr3vdadEOdEf1YsAE
BA2kuZAkMkxlZw2vV91HVAJTOhpZgSl5Hvpwp8qmCGRXe72vIFaebCGSOqhisbxAoiGyBBxG1PeY
R3SIGzVKjzt+b2x8Yyz1N0tzLLGPBlXuOe5797E94lwUAKGsYDgf/S0dRhUmQurxblml6hgpAbK2
E4Z5lATE1buKTtSLNStn2S8pcao7W5WhH0696/rQ9qj9VU49X4RF55xRSVZ9Mwxx/60pDR6krBFf
IlHFb2Hv1N+5M8ljl5XeHTk8QOSaOZ/LfSKH+AtWJcQRyZBE+MpLel220NW9bQy8ymLE+onQN68P
5tyR3yhKdZf2ktpTECKZDf1EpXG5i0193uNlMQ5pl89PRrWYj6XuUhgbdaNfdmlxdiNjeJy+N4Vj
s3mMxvpBhbr3rXOr+HObcPf20m2rGy/PM8AHXmS/KJZb3xkGfcJal0yvRdV3n2CZ5AYK99Z+bZK0
Kf3a0bKdrre2Fdh52oqg0Rv9TesS/QmEVvGirDR8sCfT+YKf21B+bOZgNI3RFM8R5X7c6LrK8OqX
VvFEj0/uu3mwRz9qorrwQ/hW3a4zh8I8JLHbp9z3XNN39kQcXRTDINrHwnBZuUGWwClbdJB2rjjh
7FPqGGdx+whmrIEKFon8askyEgWrOWQW4dSFBqPIR+1uBkFfwFx3sxfA2pg8hKjSs1/Zqb4LgRN4
Z1tmcVqas/NR11IHQpVChDtgqVI+sGk80XXqpvcarMR7o3cseBWe5WTBUurjQ1K55gtfqeVXREZB
qXFrex9yUHgC4hPvJLyOvWVaxUOuJ+l+qTvb9mt7ar6gaq9gTjINfR2FtL8xmfONulDwYr9z9NIK
pFtoXtAoIMzYWmu8k5pbwAlkkPdmAEFsvtDq/nKI7LnkwJB6YNxUybSgQElWu0xb1C20k/ElB1e3
BIvMYcCEyjPqkzA842vSd8oKosGy6r3QNdjaEE7SGzDpwz3ewPqTO08WPtBQOe4+HEv5ZSyW+kcT
LW2+K+KBKT0RHr2sHuTdEtR5vFh+5LZzdKGHmuH4aMqz26IsRHxfcV6N9+i3zMsKwE187HKz9y5n
7OERqCOd0dVWRQJOskm11zFspzCYo5ConpL41ENXdpDQR6yqB2kC6t5B1oFwDBBPkwEPTqt2DUZ+
OA2VVkDOHAWy/rDCtgm7tuNXdMuK/al1h2vAiihRwH5eehBYgtpwwxuepPYbJSb9Rsta52VI2+KS
OMrsaknxL7PO2fnJjmdW0Kwc5s9QwZn0gFaOt7IHE7QvMmZqQB0Q6+DMNY1vWtL5UZW2/TSdzbOJ
FITyjbXIaoac077Pg4of0H7XcZCUKfEswhtv3WLUD3xQhRW2Kj6XVdReRpwGEwKpWXYisjMz3y6X
q8Ig/AwFQHcFZ9Lcm7zzVwiet8MYh9RuhTX7C9uvnzF95bcUFLtxj2UcDkNGOlYSsD11xCmMZtqT
2eCGryKancYfbILKrit7zuGJ2Cr+LEAp8kWf2WWBixoDTJ3OZ5vCeP4C591+ZvqtsYQb9jHC/PkV
ga9+bRvRlATAB/KvcHE8QAXd4tjg5+wlClTq4EI3gD54fjfDAA5sDNHfxsHq76WjqdtwCo174XTW
mzmDuXPDZPlkMZC+e7YWyqAXdnKYqvxogG6pA7fqQwjWed/+WBIFcddqOsfCvw6b5fylGQ+JbIan
qtKHi0EYWX7dKOV8tQCQvC8ZoeeBHjcKf3mewa4b0hjSq0/biqjbZZKqgQYdul9mvbZfWV2SB1vX
44lpC5Ty5BsDYMZd1ddaLzjRZc4d5NiqCaRa5AR/CvBYoJmt3AFOs3aTmXcMAiiwU6elr+CJw9tK
VZ9V0cY7ksynXZzqQO+KDvwGG4NmCYZec9TVHEv7yV7Mc/TZbEHCLEKZHuoYbcmu4E7oRTi3+wH3
NgRXw/3eGL15Vca2a/mTo0dtEFZed2oArVwPUsfiHzafssmUP7uZ4eUnR/CY7T2jAz+lG2wSfDk4
/btLw7jxm8EBtC2hLT9CDIjCw4A25EzrjMJuF09Dyug0B8pDUMFQ0mLWGXSIzWmGTGqYtOpqQFv7
eSQSUPcLvSzZCOWSRV+w7LW5gI7mLnSZfRZ4/b3NwrBins6jLwnt4CXQBjndwZLujJ2At76Pkzkq
oL85unmdTcV8mTSJ9nOYtGAYEktSe8xaVwQ1oNNv53wyEA1Don2LNLuyA/Ts6Sv0UWYBzyjgB9Ns
0p/Qz0h5ihQoMBaqZfw0gu9hMQaR2V3MQM49n0dgDIMsTefoZgaW8yhgIruHfITC4icAydtgMMvm
orcN50cR4u+bZBi4Xpbv2qb2ArPX7YOlZPx5xNbvW9rCjq0lEtXPiq4C9gYkFS48rkYEMUsK6kP7
PutR/VVYQdmDkqWxfkar0vWJerc4yESbfVDAkOuXmherI+MOjGfE9GDFu8JUArTPTJD1VJ7gs0yp
P6eufEhrTduPtOsOWLfzveOFkiVXhfdAdKDoIMNZDojFvsNS1z/zJJrvQAfSfQtqhBFWOd69M7Tt
dRpPMDrmNHceF31Oqj0YsPhJoxt7Ywwj949B8QIzjekKrAx1VbdL58+hdLtnPOex2CWLNc07eJUd
ymuove+wp4bvMlaljRW+i4ugMkPRBQWnm3cTi1kbLFocP8t6BmFadYa8GTuYH4kBlSlAcT0BOU3G
Mt7pwzy+J5oz7eqlKZ7GhUnFr0sSx3ZQYByMqeQMsqns+8k4DeCuAYBgGryUPIhsenOI/uPMSiuy
OK6ACM1mzDJWNvkttt+h2GUAu8SF1ebtPtLt5KnOGu2xmkkWWBz4ZkvhLC5yidbZj4Y7BpWXmmgN
mmEUQKJs7TLLQ2iU04wRlIfY9p6rUJFtaIYzO0EWyrzZRa3KieXQ8eyBDrZjaCjkMnc7Tc7cWkdW
n3R6N4caypS9H7JaXE3LFKs9rG6vCyKryz9DDfS6SyAs8VvmRG3sky3BrqgkV76AHARNBwypUb2I
wcyfx064P4wiqk4Qiaf6YoA48qXkZAw6EKHQayqrSBw4xlp345zBazC1EmixEQn9CgQl20MPz2fL
XXZdE/hTKJkcpA6rTFZV89C6I+CsvuAx9NtkYYM9wAwLOtmKe8NJGv0qd6HnHCADi2enbE0fQO9b
ueST4wNCjIHG6U5o+6rQ0uhk2RGoqBaCVdUTngBtE97hZQKS7JIwTR44wF3ZRZ9a7X1nRujV4J+R
24BrbvLVVKfHxJDiYnQjqw60Kv1hO51ofdNJgAB5rfVgp+WV7i5gmpsKSD0w+inOPsWLXRCroNt7
aFvHEsDBMam0fmeQOemPhn3XMQDuEi1097Pd14GTS8G5ge1HWxEf4M9On0GqWjhYLEm6i4ecSAk1
igPkiORYNnr5MEoozMWMg7LX2TWaBULzkJeZZX5dlXqy14BL+s5M8MA8pfYdlcvuQKvzNLCwAbcf
91GXjfel3YoXAY2LrDSRgtZpu89lqIagTwz7Udmuu4cYNR+scrpzYm0ad4Y12CfAXd5F6NB3ZH9i
RIoZyhM7L2ySK13PSHVrE3fZixbyfexW3uWi2lEGVeiFQHPd8s3tnCNCp+69nuPsPlKg4HtVetAh
lXvpxIb5BcVc9MNlAaUmXHM4y2Ff9HIQDfkQYWztuWKm3S82UdvBBJGDHW/c1c8FkLGTQQgCyBBY
Ic9mEWtXeVgOvkJzenLsWH2qQWN8CwexAMMVs/auBqfsvpkZxyA2AAkEmTJ0xXJs02x0mUmNadcn
4CBxwNf5D03v2+sZGyhp57HHApZOumA3UM/ZeACCSLQBfOQHT5duegDKPZBZPirOOKI2vWBI9Crk
mMlOYZed18zarROLxCtkw747kpOyY4/UXVIbZ9rpeWtfyTtbFKDJJBS7adJ4KCgML9bJKjgmACE1
iWgxqk5m8IAHc/DNUre/9dBb32orMUIoPl5GCbNzvQtPeZN3QtLQRYFZxmyiUQ/aby5U+11CJeeq
G7vxdk6nxQkggrIxHQjP+k5lvq98CUISi4esTv1gmo+yF6oga0MwJYauPe4iiDYzSJeO7I2koD57
TJKQw3mal8oADmhgEW3r+gSdnN1T78IUOACS6L/38+L2/2yI/L+ufN4k39uqq977denzQ7X0/6f6
qEmmzJ/VR0+v7fxafqyO/vNvfq2OOj+RGiGE41i6hCkpKXT+d3WU2h4FFZ2X4PEVvM6v1VFT/OR6
hg259JfSqOnQhPm1Omo4P9mUzz2P2qLwzj/5vyiOWr+4535bpNR1g6IeB2VTCtdz1qK8TDdiIwO6
f0zPxTBHwAE9FEtZHMolTb9Edj985QyaX5CgSOqm14SGb03S3AsovKdWGd4FQKr+yZNcY6ec1Hup
0BJ/oTrk3C6LkJ8SK+xuRkOYF4TqpT9XiWbeEvE2AVFso5NdcAiCOeYlMzWNXv7IpsUY/K4Z+ls7
F8azdFL2xIlWlO/zXBs34HjyZyPXR8onwrgsqcrcd42Z7YZZlbseAd1FVLMPs+swfcFx1122mhu+
iDrmSA17N6HlTgKnB0oSit8eiJvrp2lP+cFhpbOwdwZmaupkL7lMK5FFd6gkpubWS0x6pV1S7SRx
TTtimrK96U7FU9JTulTg1m8HHWC3F5IJFFu1Pye2uKbcW9+YKE0vJyCsB6uI1a00lDwoaF9Pqhf9
TdVHC6lIdnnbGLK7iPJO3ztdox7zMu4vFFEsUA8F26vBuqUTnN+CQVXHZhq8r8TawEzXSnUZOYYk
2KjJ7vLcbE/W+UyHPvq89+6XV6+ACWAmaX2oSKUBu9nOfr84+T5se+uSZd/4FGb1e1n2QNTKvm2S
YCqy8avop+ilV9H4ZSYM59kLh/BNXyTsXOkutfLZOxRlgHzDSS7QTxTdITFj8bXwOAag4U0TWlSL
M33DeTLKQxbK5L50VXidUD+58rR42oOxcmeA0Yub7KCzebu5zUkf4BkBXKtR067OhI7y2lVD8a5T
BzmFSjewaVW6BV6uKq/NAsVrOFnNUz7zvcimEEGXOO+s0eXDgs7sUpts84bzTLQrtLL/zNod7Zm7
h8+OSpMXYPNQPdlDGnZaX6VqNN61iQWkECkbqHQ4x3Gl0Tw9QDn+EcfuN8tywpu6XVq+dCe8MiBr
7Iax5KjbpxVhOmFvkm3lOLV1o9SQPsaVq7Pf7ubLqVmcuwKOf6Vln4hv0WN/dCJ1rRqjfG2B9Zxm
Q44nmJDxdTvX2YWV5nvO8eGp0jrAvOfD/gO7repu7EeA8ZCgCOmOra+x2druPluU9gWIY/IS1Xl2
UWbj+K3wbEEZB5JwHBfmroLhf0XHs9sBnt9ltvWQTHrzCG8JNPiQq9cUTtCLNZnxsa0G82ut6ogQ
CI6bpA2A0iXQKzFvZAFOc8ev1rdRR7SLT7BPdGXGEEMXp63vrCnp7hO3rj+HnmV3RCiIgS2EocEF
KOrskFI4DzlxpUFYSP0x0oB20eYozDvDtCb4fb9ARyGsGaiddcDPReJcssuad+Btqxu4Xg04rtS4
IyWoAy3OabePe0iPyjkff53USgKbnB3qSVGi9mHe628hNJ83155hp9pWc0NLamp3I5ovPbAMle+B
0tbNruxw7AajLcZPSQvZ/EhHSeQB0NnM2bH7YTs3E29EwQs6fGN6TbwbSmXdGKUz7KvcFIchbJgH
K6cX1q6WbMgDmp6w7ikOJYfF0dzb3tWbxW+Zir86kqM+pW4Kh7vMItjE5xxDco3KRw5NbUL14LIl
j+66T6bqi4k3FChpGg0Pk6bKHx1hPlSoy8j4Jltrsvyy7uKvE4VQ6TMhcj51ytRRRCUbbHoghoH2
jTXT/aQLw7rNGn380rDvKS+BiZo2m/6KQuYoLNQsuLn0AMWa9nNUTRxDoOM4X4bYKti8cli4F/Xg
3pjVfJ60xxCKP8fcPCEhppwOAw7w4egagnZRaXjaVztGgOxn1aRN/qx3E7Rk+hqwwBODk7MptOZ2
zFP819PUm9M+MggBDTq0KNjsSxcoIrin6imhLQCCz11gY88UJH8WsAVTf8DLFl8lZG30T3UstCtQ
xzDBycdo984QRzMUumJ+EhHNp0Aa2fAVpiVV9ILDKj674X+xdybLjSNptn4ipDlmYAsCnEWK1KwN
TAqFMAOOeXj6/pjV3TcyqrvSanE31+4mK7MsFCJBwuF+/nPONxpJQHkjmhwUu1uxqBlmXojrnaOX
bg6ehlC/56Bt7ahYQplu0ei/G8UqX3r2QRvOynNOJbIJ2YVhfH6l4DJ86Ue3vaNw+7smNPFhJu7V
QGCuvMWMDNub8spaUyDo7nuzn95nZwBiRjOs9c5uHEpXxCBpJ6zIZvBg54h66mBf6R1YnHsMkKSZ
mfypNdp6M9Iv6PIGGjvuNqApYO9Y9myNK+Sd9ElJ9ekAwyN6FkZSIizmRutLBrX0BXGA+8nckr2t
O04dqLBYBHE8mgivNGBxLlABKcDaNneKknPfN9wIrxLd63HurOwAkUNTbloSX0AKtat5s4ThsAnV
SH2iaDS+yxAOIqRvQWl6aZXpq2kPvGY7d4o9Qy+j9MFLIRq2Mcdk7KL1C+jhwtgl9BtJrH8QqfDt
ItatGtGiM5GBeFP0XL1V87S8QHOI8q9aGaCuTDBzTqVyc5t2oZq/pGXeH1hD1Q+hdvPLKBxnB8YO
wSy0l5S1l+kPMJScvTpf7v7N5ecvLZRlWE2ZO2LMMZU3dIjpoM2OeCrKjoce+J9NmJTuc0Qs+0lI
l0YMfYpaf6Tn0o87vbijMDVsvCrkyrLodmcqxNXBc4FYPA+DMXf+AlvjXckqqvyYe2M/AZX+YDJw
GTxWReWzrNm3I/n+ya13b4q6FjpsFdy+yz+SWC5yowxD2gRpN2O1T5OKIHSqFeK1o1L2oSoFfaYx
04oXdQwpJ2zm0b4yb42jtT3C/20G4EJel1XZvRurCyeG0LqdUiNzPMBVhwGSpvFl7OJk9FoKRP1m
THw1XfJPPisQxcvkyOex7XgKDB3Pd5S6a9bE8A+YpRYNwySVGySTZXVRqHUGMFUr4lmmmc5MswcD
z2Ab+X0KbTvadglloEc70poZgJUVdT5n0O4salQknooIoSsti8PX0GIkTn0KB5wk56pGSiSf+3ay
Lt2YuH7OWa/zUlyD92pewIhiTstoyTHaK5WW8jpS+8h7FkJb0wXmcMdHEC6TeLaOqSv0m0wMgMEL
zdneKmmvrlVEavDvQ5YE6SKo0rbVmEEQ49azpZpUkUZOqX0sql09K7XLTEq1WnGymokr4pLhOAox
cYWkIZOtOkXOR5bk+g8IHLysyE27Z1edRq5vPMe+Tebxh8N+dmthD35ORII9lAEYi1+nnTJ4Znf0
9aBJK2a+bNIRphdPWpltCkstEq9IwX9uqrR1j6E7OYeJ2mZ3tWhYvvwkidv3Mc+Q0PKy1b9z6RIs
6VN9b4ZK9Ll02gzOAkbOUZt0FAVd7OYl5zH/50no/x8a/8ZUgzsLs8f/7qnxkvij+dVP848f+MeB
0XH+QMA2qVzWBAvBLwdGR/+DLiKbcyEbId1Ub1Hl/zwwcio0NWFzjFQ5N2rQzf7PgdH4g5+AxEAD
tKlTYub+OydGx7rZ2H49MWqsmLqqqoZpUsMkzN9sLfVg5Qidhb6RoWo8ppGxcPaKyz0cgNYf0qnf
DHXxFmfF5CG1O2+JXRQYIcy+Zh8B8nVTouNR2G5kL2kcJyeGDNad6pbQd6mujBlJAZQAXtJY1ou2
jPTkjhQwH0O+zCSbu7rEgT7zWAQO+eLqVvW9sN16iWnnx32ra93ZspXpXjgRzIRWKCuDkeSax4C2
nzivXhnD1QejLas9mxFaJNyy20WAFiZf1RT9RbEWzTjIrk0Pae7qKC+OUT5mSbiIXZYYykGk/KKV
aaRDuYqtwQJuWoRPU5VS9moq5sFyq+GdTkoe6qkCYWJV23PyzGhBPLHMjO661yP+br2aANvlKY2K
Ub5oX24UQp4B91vtm5Z2e5Nk4OkGk8PFTXX3URQpOIaGKRI5PruAF2bpzUWRsBK9ok/mC4TMdD2A
ZrsrHSMbEND7OKOh1iz6c9TN/TfUYeUK/ycEnJKE44dUwZyyIwzZIrbKXJ/iKWNkWQuQtuvQNhQL
8tCQXdplnncWiMh1P7Px90rWaCCPGUja3q6O8FrNXaqq0eIXBhSDAg1gq/Vmw4xN/467nJmmFZv0
eZe50WxTJat7r3JF76ymTvDpxr2rZR4V4Mk73MJsR60sLLlOyDXzd/vBrIS9pqOr+Zq7PEm4GkQz
ejY3P2Smjm8qKvRekWl0MOO2uljOrD2NRtncgS9KzVU8C1uBay5SJaCorSy8zEijdmWnlvnnyH6b
Z5N7BtErqUXLymhlVkaxR0uwoWanQE/A2VwW9r8HPVXGQLV6851TfP5YwDt7MARO2y3eTHFJFqXn
vKvRiuil5uSehIUkLS0B3dfOnO7ObBz9aNa2tmPKr/HQCSvmoe2iFV45ckmpM8+Kraq46SWJ+lH3
Mqwkx3BsHwqxhO9uU2Z7JTOMN7sprIOtzPmWx6fGZapU99T0XCjPtEunhbBZm9WqpD6a57Gb4mSg
Psle1mqIndxz2kXftUPLcw9hVAuSeWiuSmUxeZrTQIyJ4puyfpeyCMEUVIVfU63/XBucjBq32oup
V8iLh5Vvzsa5y+A92ib4dbeLvbAxXsI4CYpea9dVZTfUzNnxEeVp/AKa8ENVmvpUYMqoG/ntJm24
CnXIB+xwMDm1q24xxnNRY2EypQELD5eZrlnrKsH+cQ7Ngm89etlkrUe6tku/LlpGjsaEmFG1ywYL
h915RtpzaALPPAp9ZEEoYt13l6444t/DEcKE76mk2fxOEaBGQaVgZzZoTr90VhiyIwTZhiFIKDHm
GGVy3pnpZSXaaqcMfF2j+AfuIgExjMzXFFQAZN29w/An3ug9F8ezzVyB1OaMvEh+yGQIQZ1EyJ0w
9sqRUx1cjtGxsy/UJHRsFcQTG1+Tr0U3MUM2jY0YDBGgDIMLbeyFtgghNkVk8LyP2GM/2VxaRtJ0
q4/MWdZ0oReNn8Vgs4kdR3WAi6FfM6hY7uidFg9O2izvHDixGGpJM2BZ0KqdDhb5PsRwsQb2lHzL
ZAw7eBAAHb2lEySKGcgFia6ME9YoYN4lmbc3iQi1rTOLg86wZMl2DhNwC3BBmXe3NrqcJSxoKm6y
pXeleTW0xuTrMEPwCmnILmTVBblRDg8iV5tXBSr43i7qGeBFatubtq877oeovU/BbGO8kEb/SScH
FdCauyWydlAzTBHwVvPXRovaQxSRnF8y5aGXQ7ZLOSZeqdmPzmzGlrOmZMXGKUv9vi6PMul2xTDM
96JLEl+z9eHJdfVhTXF3CZN4suvdkknlxBhcyIPOt+k8gmlgxMoKz6nQVfcgbd5C1+3eMGFlz3XS
V3dc5uxSZIvxzmyYCHdNXY5c1TS9nyNgyscY9mvKhG5p/bTv9ICQiLtqMYnexYiriz+GfRIYbn/I
58VYxQvJQk8hJtEwrrltJPnoljHL1/lSLA8h2zUMBCAXXxyO6sEs6XEuYkPf2+x5LQ52i1y1Vpp+
AWjud+rQ8yEVkGUechBm6/72u22Em/sOL9X6drzcapgpfqhjPG8s2oNk4BTazAAjZ6yTqxNGPwNL
z9Fuo6pmTJFvhpHHvWxqkCTM0XFPjldObjfNS4lIckKG3LnLHIE2j+UqCcP8RSE3+tRh/j0uOp4P
T7VrbS+NsO5XN812Fwn9q51F5gtY0J9m7NRZsFSpfAKuCG/bYOtR+i5z3OMknfRO46Dt3GyD8GCK
D3BkCV/jLD2lRhOddcmokcleGFGQPwJCBTeAWQboqa4Ec8SBxKYQr9uNdbI8VniuNG+qYK+LtrGe
qZ0fnqZU/YI/Xi2bJMTnCTJLP9tuG/2kKz9al9bNkTmzVfYovDYMQj7uFADv1Z7Txh4fbZaaj3Ai
UrMqKfiG9Z4J+AwIUfLJRjz4Ca81w59Q3fxaCfQo2u/f4lTTrG2T1vq5qyU19iyiU0TDPoOrdL9I
c3h1w+gTWAeeTMs50DmaBoVGMh935ZaR5QPzNkxbaTXuZyr5OZzXnqBzn36fcdmVqZw1QIPcJFuU
HPNAd671gC8thKbQ08tbut3OiVM2HeaStZ9AgU/VrPNBUY6802il39QpD1NQNErq4z3K/dLUxgtD
qZb9HrYIBEV3LXmmPIFnztfq0lQrMNbNPR7K6SmDuebDgTe9jLn7Sra5EdiVqTw6kx1MxoydAU/h
ZWzhLzfYXiGOJOmLOoNIH+CiYXko5RfIy2wzZtCtI7ZbW4CD7ivIh/kcqlb1NbTatB7bZeRYB5Tu
oTGSetunHRsTrd0yX4yPcdXPa8DJ9btbgmKc1Mr6RkQEeR6aZ6k1yaFQeNyXWq1+4g0f6IhJHQ3K
8dDqTI0HJTnkADgMdpLZ9B2GYjwuKHCJPxUKEFqrYSEZp+oT/LEW4CQGQkWd2GYsxuTemtlHgSl3
13anZusltbGuhq6yIVyBExJzIn6l6auwFtRSWZ8Ym3RbVcjWn1WF7UCHlQY1JzvWHeacuR+PbDoT
P3VL44w1Mt+GkmUd/dpYSz3b0JZxnDv6ncGwSRULbBS1a9ykN0h3lNjXCvS4jkVYqOu4Vg6sidDn
tDyNH/GtZjmOzalMVmLsU7YRbr1gagPxQFJYuToCy80bXj/H3g9hOwFZly6ffZUb32yyqn6DdVN9
5iFVb6YRtdVGD6v3S1Gz92uczP0aekdV10vD06g1hvHBzU0b2b9f7kSr3GVqal7ZTM57svKxp4s2
I72UuOzmwCV6DpOEGROY2jIcb0z9EU0u2hZt17KldEN/7NKDbkrrxIqAzb+OiqMVaZTyFpGevFLq
rh+1QkEBYZ+5nJqOBilPCkArGDHRTSAFH7lfzZ69F6DEpp6HS6aAh8Y1YDl3BvNpgVe0XDQYUYbw
IWOqjT+pZf6wYO+rAwn/5q3M4uKot7fBC41M5kmv2KHgT0YHYbNaaF4cWdV9hl/dWrVFi58CAE2y
rLIa02YQLQJdMwsldj9qOg+MdbHhxsJQGO2wxaBZc1dleXEaAALlUOEx+gyWfSFHQznNZGMoXKVY
PL+Arqmf0U2etdzMfutjPHeO40IDsqwkq1YQkbMY0RhQBPQtR3eB3Eylr1R4CjHOj84juGi4q02G
MDPRJuvZ3Y2NXpuQOt3ctyrZEJuIXRUlmgJHVq0P6uE77FyAqWLHiDf5jVoyJbRda9G9VpvftTpE
27CslN2UhsQkC2XHOG5rmMlpqSCbDZYsfCz83YMYGyjxAksGlknIKAKOdW5kG+V2xLDtYsuFWFag
6MqKvSGvZG+Z5beYuSRJpGw166Y5Z2y4OSLfQO8uRds4r91mzFdANB47CI3YDKMnhW0HPtRhXDdp
h5VDKzGrImlrbe0XQtnqCWBqDiOfSoj6aKYEomhnWVDEPVBY712lHSLB0YziGSgEvW35y1jPiNyM
7GgnWgI8pHg4rHDxw4TBi14OHR2gPa9zIOFquSMdInmzxmIPfRbX91D76KZbaI6xT3LyvPR2dj/q
Bdk6rPh33HvGRqJR+jx6VIx+MzYdzk36PgUDfg2lk20MnDerqMYqWIueEZSRYDdQZKmvCbZnbEqV
edhMiFgXzGYq5rg8m/WV4vbOTZjFg2HNfZqs+pzr6zS5vckmBe6dbgxbQ7HD517V+ldS+AjpcZxz
YEk7KzlM7Y1RuGjDcMlFWgBQjKT7jAA9fXR6FB5aGD+M6jAps6ExX7HE91HQKeRWVurNK78Xuppc
LRlNRUAWBXDTJCaPB4d4iWCLPBDakKOnNIYlNkqWt3sG5h17UAciKtAq+WJQAaUzEdiIznkEUW8e
WGDgNSfS2U45CHeJSa+2RivoEDEx7bgBIvjwU5uJ1LI7Fc4JZ6uz5YzFgAFTSf6GFcwC5TPXZA+a
cHjnzkpWiSkZRBdFjPw2WZsJsD1l8RzhNLCO+3TRmFw5qASeA5U1SLRGHlRC3pJVSIzPEWy1typ3
k03CSB2rst3aTw4bFwPHYJFTn5Lq2f+dsNr/c5YNG+VWuxkZ/ncBbgMjt/n4SxDuv3/qP20bxh+G
jdHCsExdx51wS2/9w7ZhOX/glxDsWlXNIKdyM3T8lwpn/GGrmqlj29Ccmz7HD/2XbUP8oaq27tDb
oWmIdOTn/w3fBr/iLxocUTuYYIL8HDYQVJDfsuGuRtd3i0Ev6MyYGciCRPMSs/z9DcMCPfG3X+NY
hobg6NoWVdz6b7+mZeOZjlFpwUrNhvdBKM4aWizVCGTnhk0E0+lvYtd/Vj38Ki4K17Esk+24EJhb
1Jv15i/t+mCxeL6GVmCrk0vioxB5vOoBg4O0sPXSB02fPDi9nW670Lni6gQrCBFmeS9nXd2I2k33
8MT1vVoPWkANV7p353y8A/21HNUpk3/TF/EbhsM2bq+Xjxwt1HSFLX5vMk45Es7jhGBFNUnxNQ5z
tkK14p+0ZEBvx5DIyMHGJ5k41VeDYPDVT874PEc07Jh9ZXxHLNVPJWzPPeCe6vuXL/X9P67br9lH
7Z+/J7y8m2aswuHhO/mbVgtnSMgUtTToVWncUcefTSxkle7b7Rgf8KXZsPVUWR3y2+hVUGew7SKU
DV6zs40nw37RcHuf5ynGhkjzdqxcpgjdkPl9D9PcAvjxplPYuxlCg41/pVWfPWnATTHX8vqv38uf
jYe/fzXYcBAw1XXD4X//+tVwkgVTeK+bgezz+Dgjp61GQgKRzwEx3o9N0pMe1IUZKFU7fpXWWIVA
gUtGZWXRmdvJcpVLz4z5zTIGPMGqWh6LTDFfJzbnbWve2Q1NcKWdDLhHleiMpX7YdbTEBU2Uvkmz
ZgIVmq+u2emnjsa3kigpu61hK2c8R1mTWyfcMPURENciPY1hKowSwM3ruMBUze7FxoDqwAyDqXbX
SBF/ORZbP0/tdXkwrRrFJi04xsasRoemECOja01xO79apvRvysD+vHF/u5YcSk2DcYCu6kwH/not
pc2OwGxnM1BDvThXIFHxPY7i6BDzAsb9raTjdO7nhABmgQW42GI8Gr+tOm8+IcB2d1TrggTB02Hv
Rsa3vq3UIyHV0lZX7JjkfRVX9HqjMU4HEmbzl9uPKlpNWB3cfFJeVfonj3KBsL1igic8EqnT0cn6
dN31lvibL86fzST/9GZxtumaY+hQXG43yS9tX9IRcgCRaAXUrw6nqNDgz3FpjR2jyuZemS13XWOT
A5mUL5emdvCySJMpOaxMucXv5Dwhcc8/OaWKv+k7+R/WV+e2hNzmM5Zwfu9wziMCFbk5muhDGgPv
pvpGONoRZpp8exr+rX7bP5cqx0DbQJ/UHdANpL5/vQwVzwfMVp0Z0NNkvwoO7be7OP2bKpS/tkP8
82/57S7NnTSx2huAmpBT8pOi9+o49yVDYqMr5/W/XhJ+j3Zz5RzEOvf2RMXV8nufFV/JVEpOGAGY
R+2gK8XytVi1dTQaXVy1qWXZpcETWZbJWHlPsKPx//UL+B+WV5f2etd2WP9Bwfx+SZURpTw2zSDv
7OFZHWvE8HCx/+Yp/Get2K9fYNNR2TiQIWcJZ/pmk6//9ZOjEkN15jy1yNg2V9lq0aoQM1VSw2Wi
qsBNzlOpr/Rp/JpoqOzjXDkvKrFVnicONi0gum7fo65j1LiAcsXiQKAXF+e11SQk2hnvh0yYlok+
3kmDfS+ukKXxi7H+idSx+teX7PfvB2l88ybe2Ybq3vZVv5Vk4B5k/mMRz8AtQMlTj/3SmofIX6xK
+ZtP53b1/3LZXMGzmSrI2zwUj+3tpfxy38dLqOU2Hd0BLppoH84oYbZYhkPUlPlaZ4y05VK7f/NL
2Qr+fldbAs8qlQO3ldU22Z799feOnPG1Ag9GgI/r0eTUHejEMTduOI2vel2RTlWn9qpEya6Jxjfb
LdObQUP7SLE+4VWID+x90B4cm1SKdd9KeWNvUq+dUHibd6W85Y7eQq19qwZ1k4ix8tBfsSYRe/Lq
HGO5PU47MxuwgBCuuHetEWka5oebzFhcMRMQaBGzWDdqaN45FQaDqBFHqSn52p5Gklkh5h5dFpe+
ZhpbkhHmBrrORG1Z9HeZ4TxAYO3PC4wsuXyVJOPP5VLgHDXN6JW+rv6s1Km2HtM28slSETqr4fs2
rZ2CkqD8hv/O07cZGe5mwqdax53a4UvL3YZIuIGpq+h0421KNPiponiUcrhvnE3P+0zSSP0RQgII
THDduILhHuPXSRavy81mbdZZFpSJKzn4kZjV5qY4EWTN7tXJChG70roL1NTgmdv02s+Wip+7goPY
OsG3xDk9I2HmqkMYLCMGNT/kKfWO9jgGSUsbClhqsrXWA8dAIiI1NFmvpNwfrDPd7QeQnsaFyHON
0o5woovAraZtBbR8g0N0G1qPPWPWmZBCN2vuNyXDx2zsHzmt/0zZXT4nGkNqklpF4DrDSxHX+7aY
2nXLqOcuRJ18rtNUvwxZYzreLKuCvytndOwurufq9aVwyXtFqD5DZkNAlg0NXX2k5F7mTNYKXWs4
N4SUNuqSm/dMj4ov5ND23DcORqEwjr4xobkbJkztVtSOvLS5o76WtcxfxkTfMO2ounWSTs59VRXy
wjm8b7wJgRUjnVbPfpsO81MeLd2FHFX/JLXUXdVg4B+VmN5zid/1pMg62i5To1wxriUnCvrjVSo0
4aukRPjNljyFTFCDbJxE0CPXfyih2uwqqzJPnKVrgpl1t13SoruQ3vlsBnv+TG/vEMeisuGUfi8i
Cm2rR4F1YeWgEdfhfBcqdrtJRTruKjWrfoShGj9Wgq9krfcJG3CsuQwe1L1i54vfdTUuLXdBC50i
82LXY4xNslp8IWd1BY+4/CZhM60V7Fz7QjbFuTSdn/QQv5VQYfEtqFTPeg0VAS+c7isU6BGv4uzm
7OkYHfRtvOzIYpUexveXRrYv0kVtxRShNp95pXbPETiabeHWBQ25cxVQ+0CPRzG2x6ZooFu7jbVN
GyrpcLRHgUn56koVVvlsNKVyl/CqcPeF/OGsvLLCTtuaXMpO7XQr4E9F1BiPx7AdfupmdAC0jgCZ
unAJS/LFqzSJ+QNKFD8Mk+sEwzQoRKMc5xy2oOlp+XAeIJ18to5ZXfNmtM6wyqXHPbj4hp4Mu7ww
7xcp9EsfF3wmaIH0JbRjv8dIOHJTdfE6dscRT6mOsFLJo53i6Mp0i7HmTILQpLPjqcNCzP8nl4MQ
NW+wqtvVTE3W2jTamQdEXVA7HacfbV/2xwHb2ok0W34x52pk2qkUgUISwY/zdIP//K2O8aNThl/6
hpJjPRHMSQeX3A/lfifEWWY5yqT90CHRYSutU5/uZoKRWVTfawqd0xTaZrO1xl/+rIc1hn5sGw0m
ydJX7exM2ri/UhZ+UIuByU7LEDF9DLOs5B3L7KKLSV3lc6J9iWXKr3JI2ek7IyJe2mq24zVLmfpT
Y50bDVhqKeNlW0/6gxpOK7M0NGytIR0sdr8pF9kHYBU+y6E+xKrpI4d+lgmzg6QcjM0oLW3TKOKh
yqTfxtNwV5oY7MceOwqsYtm+dkuh+rKm9fk94nhGbCosbCbEc8fpemkOndpFK63Qg6nNolO/YEDt
tFFdxaO+QK6vpsxT6oaCkgRLInpnaawtPKfIpeGebUeFAS3NDpWuDPeKykg4EWXJ2KWSe6zf1dWw
6kucUXGB9qV8JEZTfSyNyDYqDcfPIU4VVDkjOSZho7/yqqug7TMTS1BCi9bkLJvYkvGHSx/EnnRb
7xG0b68Nyhz3hXS3A/D3FUo5x8F8dnzGlcVO6ti/tdms/azJxB0V+v26q1m806S5NOp3FqMjeBbz
gEens8tVS/LsXhvz+WqR8j8w+50P9mKnB5T1OTDyLnwpF3d+7fNMMkHI1esUUeANNZxnITDujdF0
yTtDO6oXjLZeD7Vjv8pIkG6LsUukesTjNmb+bGWxP2V6dI+y0+Gz6KvjGM3moRta8xjqvRnEuOIf
NQwjF9rE9V3Tjs7RcKM+EG4a3Q2Fw7+17nCq7fRLFnX6iPVIrG5JOupL6qDu20+nMOM1JbIO7u/m
trq4caxiAZfs+ykAmHct2R1dafayP5sCp0ZrlWfKy2sPxrvTrZgLh4HSO/adXlvVtVsS84vSweLV
1qjCUBTjeQ4N06cfhscfxpANUbzGJU3SpRthuPhzDavYd1ltsYYZzdqw4ZknIsVxg/fjQSGCTfXP
krvDmoREvKt1W64FwHTmznXlL0bBFz/sGmL1U2kZuzQamGU64sUxOvve4ec9Iu3KpXTT/G5J6i8c
LITds0ZnB5w35UPZ9Cdy41u7Nb5L59bcsET3ZuZa/jQPmU/9RbobiGc/RkQlVjX9Bh5y1F0byWCI
QtokmnDdhMUI61KdYYIpjNJoFurPXddGTxwxLWK8eaKuMZFYsWcTjT4Zuhs+242tXouiE3daN8q9
jkXhbpqm9otSXEK/AMbix7HkxSjCoFdhEu4PJ8E2lyUUkmgxP6eGjuI3VkmIIWHTtw7NVB881oX5
Q3Nb+1gQpqeDiKq9gPhAeZWlXe7iOh1+5vhNeo+kszxE+Ik3bSV1Ki7URH3C3lWvUpzNjl+ZPK/h
KFWVV1ih2BgU3fCo7Ovw0ZBqz4ef4y5rxyKimVQ3gcSFtSWhWGuLR/w/f65Md3rFlZJHftMyMfBk
HIdhAOI1ZpZZpe4pA2y+1jJl9HUOQ6ROQsV8i2oeQbYM8zeLJMLGNRWyCdkIkGMcC5cynFry4gWD
XfYzqR4MUqlbL6+V5TxlCJR+17TyTLC1vUuH9MrA9JNU2EtfGP06jmdt30TQMfp+ee0XBjkUldYr
UrDNtteXKtCKm+fp9rghp4SbxW2W+iYRwZ0vrNqnk6c/avQmrOOwj9c2vHty2zYEEpgtwO3jcR0y
wEmL3MU/1SaeylCmoDajTA8EheRzOS2HPvxaDPvqjNpj4wwfah3vnDl6N7P2NdaoNijIuFzqQTjb
VpT2yhCFfcwHJ+v8vEpuZfUqdvtqWdxTIWSD/cldtkWu9GR1c419kmOWd65JzE5pM3qAiHi0niG1
/pSVCcPplv4xWhVKh8YPQvL3dWhGl9ydHsKp0IkWl+XbtIil8hpMUVukpfHnkIbdA2H5ejNPFTM3
Ke1tqczRrRohm7/6Hlc6/RqhFxkWoelSh7VBdoSSmaZi6piO20GoTD0rzM6N2jsBGTlis5G718tM
XqwMwcVT6Tz2hzaRO9oux2fmejx0HGfQCfTd8t9WtXBmFVTheX1oJd/8TBnk5GCkT3LC4sFqNbFB
wLkltz86dGFj3TvbTFHosEFqDRrNLY6UOiiml1iVvWaabW8wdncsuUalr1T6CahycZ0HZaJKC3vW
jUOyzNUbB3ZxQKKoNo2judzcvbtRMJd7Rrhc1HRcDW5RfnWIjutJ7wQhDkEdmD6G24yOhnvIiX0w
2ZC9vIkgyE5nunYnYp1WSTE12V0e1+GZ/qsyMGOagCqVNrI+JOSW6IZ6KCLnKR/EXqN64nPpo2Qj
4jp+MAalelhMKsV7STtgUrCctiS4Lq6riffYzN1rn2nanWaL0OOvjH7clsJ3igPih54sE8UMasbs
ODU1qpJgU0F27h7tjMGt33fJDxaW/BQP4/REVzcp+MTOqrVat+X7OFOdQX4528aRsxzzLolO6hLV
l6GhTRFXjr6TEYnMRAUpUSla9JLIPsRAQW+cxAZzGC0HKwUbtpeCoCTxpt7NN+x5JK5KkJb4i4hJ
14M9ELHp4+SMMjg8ZwbK4KTMxb5yhxZiSTW2F9HGNnLK0szbkv3awco76+eo1lrtLWmZXIAFyUsN
fqOMPWXUtJ1pcz6Oc06T26xBlPXKZMzXeFfKbVyO6UvbFs1bnRpCDXTB4MCr6oVeADbn6VOvmq6v
ObMaGIXStB5OZQ42TlSIYx0P8UmxRBmoZiW3Q9gMnqKrkmNg3NzzmEzXjY5lnrukjrCZOvOzQrfK
k5JASnVyB5CsXAjn12V3yuzpYoeOzZd/yPqt5C0oHjn18pv/NKzVaNDpFWSzY48eRU7MOkgOmFeF
+JpvNym7kFDLjFWNF4jqCRXBVGD0wVGQ1D9yGU7BsAzaWaXEhuM9G55TiI/sw4zD9K00lbIJQtXs
hlVVGmNyJY3a0V9PUNNXlrmvD5VBAUoTzVfeKBK6bCaFQxX+bh7q/8Heme3IjaRZ+lXmAYYJ0rjf
On0N9/DYFSHdECEpxH01I43k0/dHVWZCldVVPQX0XExjbhKViYrN3Wn2L+d8Zz5MvlcdC9sw7U9V
HMsfo8hLWmsmh/WNcCrPiWgMcJCE+F3FZoktf97ixOyxFybgbu7QK6jgbLGiXyVO7ttQTdURJYn9
WC52eMyMjL15NTYK2aXX5Q1PO0kwO/pMjS5KdxwFyzKwHy2yMN1XNcQ41YwUt3A+2t0s+1lcGO/F
MIwyl0VV0OTLxtUdYgNEsLeFHcoX7GF5pA0Eirrz6dOMYPqxtOFSMQZ29A2mwuqra7WrKLDkipy5
YeEW6NG+VH61vIrakT9S5kC35uIa3/nTu89DjHJpE0CqveEq5BjgvXHq3TxUQX91g2S+ygYGGQCe
pdyP7mhemIYlnOcjNLTtaJcZq+emvcvG0Lw2ppsDHpO0i77ugq953hdM1zm4Xzs8xcUusPU5V4Af
Iq0NrFyh9trPEv8JBhgnfmOlxHM1lhmNXtY81eSaXuLeTYq9EdhfS8EASss0cpTD8oR5Jl7v5aYo
NH5NJD3UM4uRPGazXz5Pw6T2ttkm5zYNrDs01PjN8n7oQTsiXNjP9aLwcXdi1xpZr9CjNf2rjVD3
mHN9fUpAEilO+JQMMngJeK+XnKQdyqWd1o068qgmCNkG676VuQESsFB1gEvAiI1ITQqu4TTNsdy6
4IUiZxqXW4TlNAZ0w1+F2wUnpqvJWYzTh7TGj15ixaIF2JR5Zp1sLJ3boLFBk2mO0IaUgE99myQ3
QdiGlxwN1McIji7bLE02X5lscTNUFNaYwYU/bDrHYgzaZxKfU2t8yBBeLW46+4cUrpbf1h+BmtjT
KnwkDQhehidG4uiWMaO1xyVqzhvTJgu0tUY7cmL+OBB4tODLJ7fvR/aBi/6aocYoojFAvokL6n5M
lXuLH2vv8mfFWyQnkokOdqnzCHjqBOBDYbGeP5t8F28jDNfBAOsXB0/NEwibJJi2/Yy8d2AOlxww
eaMMDzQeKt9+k/zpNwHX8Ib5ojqx42p2TJfsT9xOkWOkWFDzeHavBnakiFoGCR30rW1nLbcpxvhz
iLQNK3PXfp/LiXFbNRgHgFtjZEw5/qhOK7TbNQDOJhh4DgzLPUlK2mSDMEzojZq4klUhpoPXL8ah
MSXSxx4V+iYZRHuVwqj3ptP7p8YHY7PhpLOeWgTw3xhlAE3ReYA7wsinE+z2xyru03tLMBcMDVnS
Aw72bRxDVMn5HM7e3CRREDTzkXdcaQxQDkvXQPOJTcNzM4ZvhBP7n/CeeTfF3BPFGywWo9lq2rrc
vTdDjj0cf7kHUCDr3kbLy88VWvOI4qDdCSgxEUla0DrCUN9OOkDwrkxj3oV2yraupr968DHX7lGd
jOfeD7NvSb9wAZcx5laXNVqRJfULIOjiOUmG5dEwEv8T+/qGliiLK8Kuhs7eIeRqotLLLXvr1Cr4
FBgZlv22FE9qrkP62QzBjqPak7VIid7PDqJe93m0qlfryMHcuwmdqcoOmloSJTlsRdyjpo7Qdcfp
ljSUhHJrHr9wjKK19gwXfmjYaEp7iDggOsG/LtEsu7baY58fHhX20GNJeQ+EifGIpu0SWbIJXU0s
bTnn165p4pugq9B5NYAItXa9y+TU3VEXVr0nlibfuqOkB5JQZvs4b+8xMd/LyrZfrCne1L34kjXe
e1giEXUbb8o2VHwdcifUSqDYvEjN5a03xO6RXEbzsW1c1Iu1HdxUsy5vM1k812koUHONKQozYT35
veM8D0UTn9A6LzujG59igRIoIG70EUWmeRxKt7hO3KRwiuqdTPLhMTaWBK5bVR2k6r29qJgyM9C1
b3XtIGv0WrUfZFNvWIZ8JsbRPJtJaRymuDqNZe8fBnROWyyePxTdyvcZ8Z/dGlNErBBMMBdQwrja
I7O2OpmiKXcdHo6Dn8LgKXGxN3zCbbhV9pI+Y0HYL+xjbYwoJ4td186c5TcHj/c5Aet2FwwKQT15
Qib4SU7SmvkTii9z2DeFacDwUSLYCfeucztaMVVAL+xdOexz1Fk4PVktA5fsynMAi2ppjV2Y19cx
M4YV1vB9CIzkMBiTdZprXBwqKL2HweyjRnoXsaij0dLfwalwzn2X3jH7bdgdVGum4kNjuOZXvKma
o4l2WOhqYpw/zmcGYC9FiLqpNf2IxUMkCLLZJOPQnkAunZM6hyPYT+V3G3ggRMT+y7IkF8uiq1h5
/rD3LQFnjt2+4Dow3D08hdBd3Ozki1m2OIi6qt2omk0WpYd/dg2y4vqFBtkrZx/bhVvvAtKpGFLS
TkCinr7UQeihey2crd14NO3DtE84c7emnxQjEmf3a1PVzpPXJfWwS1IwGZji8Z84c66OJfQRwBRO
k964RlZ4BxSv7ud+tIzkPeY/8Hj2LdAe0OrPtgPnrNcj0zaY+buC5xZTc+ftliCYwz0LCkYZPZ6t
2HDip66FMZQNYRMe/ECcQtfeJgFi+c4VaFDrEbHfETpu9g4eilvRz/lI9VCP8mcjW3JWjpadhu9J
FnMQWxgAoZ9h6jp7Gf1JlBQeJqkwzIuHMPFd+8Q6Oy+jeWA/woI2v5QujL+lmMAedIKZqIeRdUi4
Dz2TFQLnaYisvOizx1yPxdOgYJFFnBvkjBAltGx0XMPy8zLP/0x20fA+N8L9XgA32fROOADbDKmb
JX0dRKWp3C9YGaKgmy11zF2u+xLPK2udZKRbRPxqPARG/8agGJOz0D0rTOXf+J7LDB8pIko/PCUL
BBSzwaHQdnd2Lk6yat9TE8wye647l/s9aeo720jOMlfGk2MBU0UAXScPLgXJLZ+49HPc5R0dcQfJ
NDEv/oz23yX5L5lBspZjl7FdmpH65eFhrMIvYzI+ut30Rpz7pDY8uDzxi92dJiSQSUBYLG6z5hpC
KYy8ng96lTFsTFyximys4ZG7u+aGLJiS5UTy7WgD6FSV4UzJplzG6gPzRxn1ji0jyp4TEQL2Rvkx
PZMzmqhMPLZSbSj1U9jU6iUZwGpPmc2QunS7a46AwSyLWzIR4501+dbWClKGFLKJ4zf6hcrcoUrr
tn5hL6exsdWXzMrh8PbePJ0XJU1goPjkKHwz1sIdaTRGNSQceWkEaQFzQRIeZ9MatiatjuD8qZqr
WdbuU4cMlUKL+WlmIqfHsvBZJoZ1ICKCgfHMuZ81br8Fqbi8zT5dWxWxymKyAZo3u/P66k1ry36A
JRwne6ns+UtrZsVxoDq+dULlvc2gORh+sdajJFrcqMnn0LydSsNErUo8Ilge38gPlUziO5vR0Dd6
U7qQJY+vMEhrBhW8frySRupbO/Su5QstXLaVfX8oZkGAn2WenRCEXCrH4qVS3bEfWg2hR39SEjq2
bJIXFsiH1gr8Y8kuaTcsvSQ7Enn01u1dZty5cWcnrBQ5V7IX1fhQHIKWzoSUDMZX+Ph/1Et2bTt/
1eLOB1/025qE2J1XaK5sBvkR2Bsm8PBBALSNW4nSBlKzaJM9Mc1kijWoYUDxutlXMQiXCN681ceK
/vPNrENmq57TwYgR3Xc0zyY6KMEHRBN6iTe8C8enkpAIMG6WKo5FXNA1LIt/8dOgehGTh3wWf+gY
RqaDc7PWKPWBPyYPaVdclT9QWYxtdsPmhJWDqMrj1Idlte3NYXUEVXp5XKasPiI803DG00Ac8bzg
JambgXUCBrS3nFPx22L1VlQjrnmCx0QUkZra7OwuDkcYRIh7VbA2G0VMI9cIsHKZaGmZusY59UCS
atI5dXHV1DE34xzDTBwkNjRQNtMMK7JseNiVKeAlK17yyBDDp0LCNQhAZezghfQHHVg5ZZ04eX7L
NahT9+BKKiiU2UpAsAS5mfZsFcEWd8sDhhOZZ8YHBGMj6n0Me8Va8epFZI/o9ZqrHcLxa6oyv8+X
xTvyKNn3yKeXT04q/B0qe3eLKZlkARcogVikiFywJ5GT55xbtSgu6JwcyrKR2jnuQMR3vD9YW4P9
wCl98OyCvX/Tr5uxLrZeyehsb6AlDNu2CMHTZrb3OKBBxy/RuN+s0IcQwlSPy6PIJ3s7OK6xSTWU
nTId9JYZkr0F8TpsgEuoN7Lh3SeLz+dD2hKqOCS2Yu6wNI/EWUpkzsJDG21jV+OQZUA1OicTWwjT
lGLOtkEBNzyDUnEYpKdeu5izrjFtFvpQVPAIzGbOX7ziLseoJPZn0ya+kvh90m8OOtrPLq62u3kV
17NONCKBUHEDZ8+NAoIYI2EmHq9U2RA4Ys/n1Ai4cpJm5N3RTRe8G9r4TOz3RzL69q0b2vd8oJjW
M02KqlLl96lhVcMWWvTaOThpNV3DhdU1enkth0PD4ZkShyDHIx/rjvLRZmSqqwCuaJ4lL35HfsJ6
EY3mtglLEhcMXlkkA8AR6tGKj65f9d8EHHObmXvs2+qug2R6qs3Jj4rCAI2qdI58JlVZ/EC6XvvE
pyt7LerWetMCECCIy2SXAEPeEzuz3HlAIzGFr9zueB5ZOxP594bqUr0UhMJuAXhgkM4XKzilvegi
ZGPJR5gswbaNzWJHUsv81IVde6nxe+y5Lcqd5/fypp5MaJuLOQrWL9bPLnkA5Fh3ZyOn+xIJoXzu
nFgnQ4U4Z7hDYIeB899LUMlXBi3qtKSF8V4kifeJkN3gpqZJOkojlcxh/fQwZXm2t5S3K8U0fDfC
TpwyLUBi+EJ7ZZRa2QUDyXTPJ7KkpHb6z5g08m92iJ2vhxr/5PtixFRDv9NuZ9bHKBig/xN1MOX8
s2BK8gxrPBwilhvBFJmjkk/WVMmrUzSdezUDQGdqtlDpu4YedrDusmOXpWzQl8K8BxQb0El6lXUM
rbTctZ5Co2JhgfbD3H+OR1tc07ahELF8hjalIKgi5NFrE8kSM1jKl7SvkJAYSKgW2dwajfHi18aH
jbTzuWqN7pF4hHhvNFO2VrXArpws+2Qa/Xg3D4n/bE/F+IjFotnm+YNm1LoXeJHfisaT965lT29G
nKpdjhDlbDfE0g5+PLxxrLx5RWnfAgqiPtBVcbULR5zrUpqHMkmr+wQbWBS7Y/F9xHq17yDpRX0F
TEqwKriJEVgd6Q2zJOpaocAY+Y4L9Vp2h7EPls9V0q2st3kR3yrboB6TrWlsSurkc565yZacZOay
hCNspYfbOGlxF3fOKo2o8eePdtKeqtZj7uOpQ2/7w00LwBz0gGW9uSFh5ww0x7gijaSyHhi2Zudx
wX7HzDbnu/rTvoG1fkqG0r5v/U7uKqiGmIfq4DxYjDTy+odmXuNN3BkljqQDZXQIXtV2QGzlqRnF
2E2OncfU2AuSz0Gafkel9BEwbYWS5O+z2NpPPhK1Dvfroe2aj8Irmg2Qcjx2fbmpVqNXMTvbtBov
SZ9cNNiWaeDYgce5nUoWQ4Y1m+yNsa0orC8WQcqZb5E80D7N0jqiGIp8c0yPM1ShCL8WCgS2QnCo
JhZZwcC4p5JAgoVxXMzuprQd/IfzxemYfs+Wx0aIb3mUwZTvHZWgR24XYtfY7udfyLTo94af5LeB
nxVPEAS8Z7emY2yWjFF41ViH/700JnUjq/sdxrbkHQCzc0sLbO6XICkOtczky09x3n83r+X/JXyn
aQHXcTAu/HMzyPajTLNfaSw0mb9/0Z8IT6r31c8Bfel37srvCE/vtwCFYRgiFPwj+ugPL0jwW4BK
3Q291exheqs69Q8vCNlHGEdC9ImAVPiO4t/xgvxMRPtV5whswBchvCXPdlChBn9xaWS1y6YuFKtA
cPW3MTRXqM2gNqYjui90oc8An43H2lYS2kaZtucZVcHGba2k2Lo6JyKg6Mf3vmuyEykoww7cisto
GHKS5SiEX7TGD5NnTo98+xWGpNt7MErlR+55XzUVwVYvobHr8MTjD3Sae3RN8TPOR5r4zpKvNkSN
94Zh5NYQM90gMpl7MOKPRVOOZxI/SXe2icdgjGzuzBwcb5KGwzYsVENmQPg2GYwKLJ3gVCi6aecZ
hj6YNRjmSQgKetkC1Z27JzYW6S6VE2rfliFtO5GYMgyqe3IqFlAMe2DrapCCsK7dY0Y9fFCkPeBv
mNyjFHH5IySg7MKRl34NPBqAYJbq6wBO4zkfRHXIiSgdGQDjmKSv8PHhVpOBjsyLrS9FnpIY7xD1
hnguvGhmqnOE+aQhtQOwwxf7JwqTQZeTMWcezc+NxRrCjFucy0Fi9axfgAiyoqFORGa5Tv9KeU5/
0jXtYIG0SWr6oDf/Vx72/5H2ME/8yxPh0Pwdz3e1hv38ij+tYSL0XISEPNyeH3ro0n8/DuzfsIvh
mMIRxAPurB6V348Dy11PCo8LjmfVt7Ey/nkcWA4nhRta6PId3ngQ4P/OcfAP6mN+MU4bpP6uh7vD
/Iv6WPgwXtxS612e8Mig5132cc7UhdCMZoP2bfovbAV/FXSvL4QJkQoJPFYGb30xflVZlwmmZ0i9
erc4Mt8sTvJjXFriDjS4x19O5f/MzfQPthV+lhuYfshph5HD/WusKOhOvEFwCnfCMgtKABcRAQRU
6wRLob0t4mS8HcCmHUqh6i2lT/jdK5vxHvluAUTOof4hdsu6MWfNArYYQHzDx0n6V/avrF4zDBpX
b+Xbk1Iiv856cWPkYSv7Hukr0ulqWZn42m4+jHhYtz6F9cy+D3Y+B0JnnZXTm/dZKYCByxW0r3Lf
+VBeiqrtJ4M/kOXwg519+pF4GfZmHG3bJi6Xe2pprPyqg6CBIhhyBbOSh9xbjHNnhuZILTVAoSnS
kF+FujF+DcCp43JmjeMzPSt9ZqbB7DsbJAz+oV1wkpC6lJMJNIQ6mTbS6aF4wiDtf1Q54i9feic/
4fNgjYPYoXa51LP3XKNVb7dFbsc3YEiXcyZcMsmm8jKlQrGDNscoydo3o0KwGZjiASV1jQ7Ov8xo
IDZZKIg5gBES2aEB0J2LJsKHzBbJhAFbWmGZbg0vQLXNVnFnMa69YU70loWI1KrJKbZzlzVs3AwW
gqN/Veyk9qWEc5Wiu7OBkuxcpPwjS6dDkYgHi4wY1kiPczcy3SUazLOm9BD4LMnKKjyJzoLe0tr8
+L5HlGElP+qcwsodcv5HijoO3fwREVMYjYTEbJpUgoB2+OHCq8ztGJgPemCMM9AZR1advCeiuK1I
IN8KL/mqKUw3FiJpljXGIdPmQ1P022B9RQuGsVswKE/KypPInMR3d4gvVuGfEEiVUcnc3ERpt8k0
QTlC2g8xXT9DBet77lV7uzC7qBrUwTbzH6bwCnyF/ZvLv7DTvdp2/gPCzqVSyQ3RClZUjDFjm7R7
SnrvYLiSS2s8p3FxULZxIT8427XhPFLuBux5urjrEgL4HG3S5cfyrlPuNTOat3pkpUchPm1sXZ7N
cPrwhjbfFuhT90XFm9dPwRruhRxlVDrckVO28rpQ0LJLAsHqBFeBs+Bqx9NXONGvUyK8HawQ4FM2
/DMvNp5jO7nMuW9G2MmZaxmQn4TfkPwR15vJS6BmFA2rQvFWmCF/AAs8BNX1ptTZ1xgoUl4bTF49
ZtvKZxO3Nl+VyY/2tDBOkiAK9GiuXlG7D2k1h4Tt4J4zypKcrYoHFQrD8qwMibJQ+s/a5C+tfYRD
Ne8DC5WvYYLw9P9frv8ncaLwuFYX2z8vtp/fq6z8X9f378OvFffvX/a3+zUwf7MxXbPsCN0gxLPH
Lfpnuc3JzuXr2SY35k8s/h/3q/0briK8bebv7mvx5/0a/GZiw+GrHMdnxUHV/e/cr381nfkINVbX
GSC3EH+C+Mv92nd2MAAA6HdZ0t5bccWOx+i+VA7Rkv0CR0sVN46cluMgyV/65ZX6Ty7Av9rNApc/
wjTXq90yHaJT//6qLWIpwLIbatfHEl7UQr1aopQ+/+ufQg/C9/m1oUCtwFIlFLzyNvEA3l9sbdS1
OCb8ttxZpbEcY+UloJ0pcftJThtoF4rhay4IrhzTw8Dc/qIay/xWzyERVu2UVrtUORIp07JM19EF
SIf1xD3X/TJtejezb7iYuQZ6Gd7amQy2Q8/UBIsMaRfH2Gy3cd/6D+hi3OK2rdA0dp73zLIdiBXW
5CursAaYxKStOwcRnLkdPHlLO8I2JisUmwi17DkqWqZEpbSvvrMYz5bZyZle3V4e+jkRF2hSxrNP
QFiEXgh9r80mC+exc5sAgjlk6FNfSB1wdp0PqtwivYO2yRsOAuzROWRofnCzDG0CKCjsDL0BrQdO
mlEcHb8TF58VrNz2Rjbok4EGyT53sdG1B8e340OShawGjdgjHY8xxpeAGDE7KkQrHtkcciUg+FtX
sAavmrTn4zzm8qKS3mCtjqPhAYfw+EHWmPkZURKXkIm+a47MpeZLEV7oN822nA1MoKun2pavQ2e4
XJpczaFQ56B2ziGk8yNWBvy5fZAd8s744g1meGsOzuRty2EiGXSAELUpinzIzl5uT0zIq2m6Dm0H
6rMvijMSlupQpl5xEEFCIF3eBc2lpks9peVUHW1Us8/olHM8bzrZZv2w4LAOjN0y8HZLqzDfy5pm
z4NYjuXKr6ZDYYR3mMb1JUQusS/antgEozg0AuUoAoT1woaudLQUaVghzydRbmqwLnOmAY4h1/Cj
Pkexs2+NkrcfCSnY5NY5YWPnrDdEuB9hrW8ZCcpXCrzglQ2ledty7/UTdDkIefZGrp9zlWQMZwk1
vrXnPnwevSaDXz+orZaN3GHrQJxUhS0Bi12KvHmmPfQFcvaNC/DyKUgkA67R9VxC5GbUKumW0SUj
eCkz/SUPBtvat15AgEE5mDUOBTlmPC2WBuVHCEIFQU8LZ9xXWbZcA8rDr7UTq0fTruFu+rliqsQg
/EnD4v9YgD8++VqGL0pJ1JFzOhhf8kxMlwxl9LNdeCb+umbq/KuD/LvaERTb9Nt4dGO9twyjOwCR
zdHFmVmSbKaiS5qTKhL9tZ0nNFUjJfUl79nffAlgrx0W353ZEJC/w3Pt5V/l1Jf3usph3zHfe5YU
i8e66U6Q2dxjgFl8USx5qn7Se7w29o+k8dvv+Mnz45y42W0HnfS09EwMrLhdal5Oe7wCzGzPppsh
6BwmS71wvYff8tiOTyuecsUgG1AttU5BF1fukVop77aZJeUte6YUeW6NGC0uu12J3fxqNov7Hi9j
vcc6mP0QDC13utb1I7Dw4AlfsPUOFsK7t4ZlOMQpldQ8BfKFwSNMyJFgXjUl1Vuau90ndhX2C7YN
54SpaQ3knUnOxWFZ4GgaCn1opSypz+sSvzzDWKv/xiqrTs4EMyTwWvMycF5EkzV65/KVb/0SH2J0
pADFcJAendkclp2Vus1yFNpYEBixQt5hfdsHcwqUGd1DhZN36BFFJWaHONGdZvxbsEIBUeVj9s4n
bWJXQyQkBxJzcbSdGafx3KYkfaVoYrCYtqh8t7Y9VLvB7/zwolqUtwsuMqbKDhuDVQgXnOIusL7A
sQ3vyZAbT50Jz17aoo+BWYza2Oa1zgjciPFfnRGQxO8pSZU+lo1Qn3GzaFI7a+WfSOCjw8F7iZqa
oFAZIVIgiiEh4bbOp/YKCFOKm7QKKOmN+TPdYi1YCvDCsHUwnmqgCB8sXceTXJp0BxAcrBHdBGrB
eZxVtwWuVr/x4Sf3rVrGKYmAVob2oYgVkODB7Vj6d3oEhY/EXbHAUGhiNo5urc9TOxKSpjAl7at0
xfR5Q6c+G7WWAOqK1nmtnNZ86zLGymbH3DwbaJ5tZyHaBVXyHsqmvMNuEX6XuAuuZjeF+cF2lVmD
Al/iJSqXuDnMyUSmK/+37Nyh5WuYrPv2czxPaGS0w0O/aRxWzjPkcofg6KWguUwXDd/MygmYTYq8
okGVBfpp0OmcF0zesEQ1BQKdTZy4AxJcz16mffAz3LnymsAAx8C9E9hu84mrJ062bGHJR22msX0p
1qToggXZnreMMMOcHGmnKKdLt2ZLZ5T2zKPWxGk0K+RBlqltKKK4qxovgRygHfM4tGtitbVmVxMq
ABYjrHz7Lh9HuBdrynVCismF/DTNabqkZ2yMmmzgIes3PojTOsLIgRMyXLOz8dQQo61/RmojmzPX
B92gSFBA9BJM/9/zGSlzBH+CUG4Ax/JHP5vB3fIztNtEW7hHuEC9Fa6p3pWD8TEwG4UttTnYypvu
Uww7jzAqk0+WIh68EegUY1bX7CVT1uqsO6AXrpHiMk3SO+lLHlvhETleruHj4xpDnv5MJGczSWyd
lXrmQsdrmxvbcfvbYEkvM2Lfsh+5kIdOHhyzQZbhi/SZICB9ZQCCYDZ1WKWLnwHpMOCvzmQxQNS+
kT1OMIXZgymTVmfeIT7DHtSUj2Bu0Jg3RJJQk2GkQ1xPmfwNW4C71eS1F6yP2WmwN3Tylp/HF3p7
1i/+DZA/wt4LT0QVe+69s24+8bzUwb1OSUDceBLXyrYQa3J844F7aQri5LnlgHY0fKiogyiEflQQ
+q+Iq0DuB2sgvSfQRm5o92CZ6pFfCNZVRfouYnTUhXLoP4jUCxDABJn6Bg+G/LHqZxbZ2LdEw43C
vAB/JKusI7yW3LJqzTArR7dG5kpgqj7VmceoSOMTUJuiGuonx5m7s5zVMtCWO3gR/cTlPmyHbHhV
rhSvujOJzcSkQLIlpYq3UQCZq40ZBORg5J3pfVvawn9w+lh/YsVE2G03ZsVNAmqLrGZB9bXrpdm8
AAmU085iVsbeeg7D+062y7Uwe0Ktah+suRGHxDOLHIkH0ReYIwndnqyhJNA58Kb2FLMGZHqEGYk3
jwO8xftSQuEFIt1/hIXI0v244KvkRs/nJxfee7qhLxCID+fcdI/m1PSXwQhTCaG0aS4pCr0fiqxI
jvjcmsb1fXE4V2Xal5HlORxi2ahd7L2dLvVdXTke/OLEGBBRVeO4wAw2Zuiz5hTUW2zyvOvtvPAC
5UwMyi22WuXu3TkVT2OPPeBmINbd3OWjEOMNEq8x2FsWdMQAn+bNMBLUQdljTlTAOMU21uwUNwRq
EW8Z+iJ4Ru8nXv3U9F55qPPxxoK4ca6sdFrpmHnBkV74LzOKj/o8YXvsCAHUSEghbSNuC7Kwp2Rt
p/a81KXxHsBanLYIMRnD+CZl1E4LdluRoHMY98r00FLynoT9TToz+irLMf/UzzQ+F+KdvODkKp2c
yqbHDNZ3xodp4eAqVkDoxuRWOc2T5ihuQJ2+2ZrMW7oEQ73ybre3JFgwklkqW51cDvNjLEtxZoKJ
lsyN1QURLaE2btyA0ORP3838EqzUPWe6tmi2CHBISeAl8psw9W0bdu4zapSuTf6Lrs9a9zd/147R
9plsC9cdFDNkZ53A/sKxqMWghjJzFDYOszyhw8QAXD91Vvtmh9UTQzouVp+pE0XmF5z4y8O/7gd/
drR//fnrdsu2TPpOwuz+/ufPEncJ1uUBg6SiW0PCmeDmJKHr6KQLibnF2MK3FGGdfkeOYIit0OSn
MFss9Zs1ze5pBgZ8AfKoHovMD2/XP4Z1iSmuhm7nNyFWZnDhQdUfuLHUvW16Tfw3VMx/92bzf9yy
w/JIkGAZwRTjn89kbtL3vkjf6++/jmR++crfxzL+b3z+wLb4ITtGoF5/jmX+lkuxdrusO38dygj3
NxEAKgmZ1wfg9FyWFX/sQK3fOCpESPIgI33X8/4tHp5v/cPaA60Ggxm2A/yOLrGKf/8hNclrA707
L4fKcpY+or9i0U6dwVJQDu6Azs2NvVeg92Spy97L1K6VBR/eZO6Bf0gSjWsUqN34pE1NXLrvclyq
0qhug2lQe1DZ6pGhIrgEq9FR7lYLbcBcZscU1MGZX6jaEuSpjzocPH07uxDgL15j9ucWOWoGLmFI
IHV4dpptS5YNKU4BH/Y+vUb5iODfJSq+mslkwdZki93UIfA7NH5KMnGTE1WFJNcdYALnOaDKEI//
kdFv/jhS6R6xSvq0UVP95sKRC6Mhtobv/HGMhwPJ/MJL7OGZiT8DUow2cIHQPsYHyEU+yegaTBr5
GpW9dx1vTPC0dX6zB7XmNOgR4+yaKQsUFme4U20Tv11wLRaMrDexnqiooePH/jFf91BHB39eTaSg
A4sWLS7RUNibjS8NzGPyu4EhXJq4IXOdtIqLFMy3CLRufAiiAirPNihnVUeVTWYAxv2ejKeGkTe8
0Gb4XIpCr3W6aj7EYhAqgavcYCTVtiiOshlXBn7CjXJDpmIDYuN547ZTAc5X6HtjMVil2GRqr8m1
rFbIQyp3TBqMN9k5s7FFl40AyEFCcm8IN263AuA5oiQ5UjzEDUkPjV2OuHsIa+wjB1BJE614lB9e
a4ZlhOi1/Lz4yiaW3ejwMvxMmcqyPrOjtO3RMOd+seBaj43wbOHr3lttPW5FL7v7djba+3Ts+6Ot
mu4xzQPz2hE+aCD/yiu9LUFC7ZDete+mVNPVHHOilOYO+WrT+qxPeiVWMiOTnwlqtMyCkcEYGOuD
IvNk37jWvE+TYnr1Z1AolJPh8T/YO5PlxpE0W7/KtV5fpAEOhwNY3A1nUpSoWaHYwBRSBOZ5cABP
fz8wsysrq627uva1C7PMUEgUCf/9/Od8pyWS/DpWZfzGuY01yp7pyPaYnr7lQTc/WeU43hchkr/s
Rh7slq8vieVR0ZACVcBxnd72hMR3PV9r73LbBZKDFbxtl3NBFuYmbPmW9MwcP2FOvzV6VpBUYgUn
2tPKg8gjf1fYqtg7ZpS/NpasOJjtF3wNjHCKvsXWJ28+3Az0JdkrP48nbPQ6ffQHnOvxsgjSvelt
Yi9uEdUacxN08fRSQbBfq74fT3bHUiJy5wEJR6H4KTQccMzU/a5SEYT3Fj3BD7YY6BznFnrhvW7v
gdUAsI3Ii/3ySFw94MsT3LUd62kO9fxqEFs6ZO7i29dJ7dJIMVbFaxYV4k0SjH1NMen+6qMmeXXJ
QEFY6w8SO+YlMYNYr9u0U/eTyOv3mrDvA1Ob9aH9gHYO0Hn+k4h7LN5RFpsMx70Tcz2aMnpTEjvZ
EnqbNyF76Q89JySkK6NFRBCUHMghSynnGvIfI4DZi9fY6nsSGe02yh2ufZBBh0fbc4PDVJGLi/My
+3LbAId9Sd8fmQnDmS6JS8H3yjeT6pdgdfm6vBGe7dmdf0Wu1tXG02b2MnP7f5jy8d6ltXVYjRFF
Y2vXsTQ/J/EajMGe9W7jmDAIwoyFs/GzLGBLhU9s4hnxyIwc/syjFE+GGsbpLfWLrFu1PJoPtloa
wlg12r/SppwTfvM2hMU2FZCS/MKi5KKHjg2uKHxs8rD4UI3k00/qlOgHfbT3JgZfgTG+aMife+PZ
EWFnrcN5CWzj/9jgyFls14RjhWc2ZEt5DzTNVO9CrtPUhMCrPM0m9a6bJmuUtSmQgQh5eA4dGkhp
955lZ9Rup3xIKoVxY+11on0MRYbNpqShckXwsH1KEtICbCvqI13f6sZWWfAYZnS00IWenkBjBd8N
3T6ZVT6eKW6k1KWi9/IBkg9VL+XS+jK03BIolAz7Iws32GuWAQIf9oR9VktrTEanA9CBpUsmdWiV
8dlLUDAzL2Uz8NfnB63aUB8EDO6nwIyz5whl5rtI6KoZhtClSz0ysd8n+hRLX50zMeSnOO1zJP0e
43m6tN/kxUTEpBydU5o0RsOHbCnKYaeP0tMhi1JSEtfQMrTy61s+CuJFLV07YU3rjujo35n8IP8Y
CaR+GJnd72t/Kb3RNp09Vte5u7GMxfNgxR4eAVCpXh152PGa6hNug/7wq4QWoBANxVun13agedDN
QRFRJ8Z/7Q+yil9BW9IotEwbh97AYzjUtjFthAMZvAvG8pxoConKpZpomJaWIncpLOqW6qJoKTEy
rn1GzbXbKL72HHlM7Hd+xONlVUM0pQlJD/qDkkH6kSLc94/RUppkX/uTrGuXUulJepXoPixug6Vs
qeiJ8DQ0gnKyN23zUFx7mdoSiAbBI9qa0pajriAuzOG11Dm1LcVO7lLxFDmEhleS/MqXm7NNXmFe
1/gdbTu+8a8tUdzL0EXcLH7lzGaL2lwbpdylXIpMt3OTgVnf41LxX/yIsJzlNtwECT8zRaeiX7z0
S2NVjJrzjAcYXgQyWHIz19BHbiJguW9YM9W4GZ3mGLdK4cdfKrGGlnIsogziccR1dpJ+lO6ClhIt
a6nTmuE13M9F218sn4fuynC77o2uALCV+N7foLcrAHUUdLWzlxGS8YpHGuzl2W1scOyTatVbJxoy
Dh0bFyTzUDrBMSE2dRsvRWBZUKdvJdLQLQMbPWFBXdAZVrd+dvan3nv3qSHEt6y+mTKr9jQjjBso
nrydQyrI/KaSz+Tp0mN05Wn7dgVbu3Bb9yVB9i+21QLfjhYMdxGa+lVc2dyJANNNG6LPymo2zRUO
7PEgyAidCFL3x2mBfIsOmE0QGLsYzglrtwRIehnr4fskFkJ4nJLgz6geePcghEEQX2DizYIVt38n
jFvAxgMH7HgPf7xhMNqaC5LcstuPYoGU66XirF/A5VbnPcsFZa5Jb1gL3LxBWdsPEIbClTtAs5mT
wTH3o9FyJS2zMHuKeZu81QsyPQ6G+RBrgw55a0GqiytdvUfJTdYlYYBwW9hCfvPbbvpRsXuNiRrE
rNV1RoUQxw8632FuqwBxPWLQIefoctuv2IyNJMvYRvWQ0WNA6ryI/jBQh8LxiYwtrPUc9ek9RAYy
JD6p5005GcY9m5PnzAxdrIIyeI6pTSOUbZf2sZe631hJSQi0ovXgZ+Xk5nOH7eSQZBNHbxk2O9By
cp3Fg/2s5THgJd/N+AYw2zq3bW6aZxgmcqvzhu4DH7iOW0T5kURPsXanMbxvva7Ca2LduXls3SlG
ZVpMTP0Q4HA8p3Nm7VIwDdG6szhjibAJQv9urd3NEJRi1+d+cmeNY3MOQTGkW7R1Jz/kadjdgo5Z
7BBcZ14dFAB4BwCC7Y2YCkMh9Jrda48Tw9vYowxfsVVjqSbU+Vi5WiQbm8WpvbPqIsOHYJAWWXHv
591Jj+2dnqbonswEsXEnnCabh9g4n7xmqL+1ylIvJDKns8rcRfsrBvXagsV74GFnoR7XZvTOB9jc
wTIqGKENODp8Zoondx7D24pi4X75PgU1WJV3Evzgv3w15CSfoDyzg2LePBZAf2LiaAUKj3TJhR24
rYsdMYA2gkRT2cUuHqkl2fStgx4UZqKu17NJCREbs5DAe9+68dZFfBZswaXxASmqfSooi1lUN5pg
KsIKFyrH+/cSChVQh2EqbsFM4Tb3VLeGBsCIM+GNvHityt5pW+GGRgVTkl/aIjJRIWuyYBsnonEN
RkYAtJJSVqJxZhFBexorSzJp8lamIFz4b4Hbc9EZ3ACGeOryVsVUU7d0gWcSW2hVTMRo1Wy9ta0h
w32nTA+AhdaA8EQYv4C7y6eHvGymficTIN1tI8MSg3mOwhmYqHQr0yX5t8lC3hyXzl7aZbOsRCYF
/j9z6GW+5qyaHvnMwJey0RrBr5JDbXj6E/hCZCSBfDN6tnzjseQ8KiDK0C0D/6ZgvfE0Tmj/TFPz
m55D1wDixeaMx2/SrRuyjuAua4V//nrn/7dE8k/KOhFPfZwU/708cvOz+cg+/qqNXP/Kn+5wHwwH
Bk6KrvBc/mkHXYydUBJNqmEXN6iLcvefdhXxm2t6uD3Z+nvUdjp/2kG934TEU8nXw0eKRgKc+19o
ChDqH+VD1Bf2zUyFGEawnSK0/EU+xF9n6DS10q0ddFt1VTP7UqFsMsP15yJhd0OOXNywTyoPuKi7
Y5k3KRAb9ty3JIK6N3nVTYtFQlVVQzUzOOXymF01Vt9LAdXWFGTtQmJeF/OqyQ5K6fjcOHX5KWen
v2mv+m1/1XL7Mu4HxnBgWlynMRFsO4OyrxWcqIRoLYM7eY0s/Coqx8kJ1HkKzdhOGqgS2XIAT8M4
Fjd6kZiZpVGbi0V4dmYzuJlbUIUnJl71Vi8SdbCI1W1k6Es5dwQAh5lyLwi04WmgemAJzkVUCHq0
757Eon4Dey1oxzRAUq3IH8rhxOITPDJRZCRztajnZqF7Z5deRfX6KrCnV7FdO6YLajKNxuASuS0L
XSeaGcnKq1DfXkV7nrpue4b4iJgvuIBka+o7Efmjq+DfX8X/eNkD1HRKnZni4nZrxlNzLq8rAzyK
VFer31cJy1aBZCILhuC6bOi6MevWRdwtITjfQLNRuko/U/ZJ1XG6Li6m6xJDLvsMM26TS7rsOPjN
yGcTPhqNfsF0F5STfy+ua5HYT5px2y7bEly3qE9oEmOwVyG1O0CCiA5L8FCvpM7ch3TZvLB6sONt
f13I5NflDOYQ1iM6UdmWEUK81csex7uudPR1veOh2/WcOG59wwWY/U+UQ6dIvJrBquosQx/luDiP
KL8baRfiX9g4ncmI0/e2/UhjeHlwwjp+aHMJ93igMvLTMiN6b4DWsfRLscTcJRAibnyaHTdhb6mf
kgNjKYtz2DASSYVL1Qazf2TLlkyb2olFsOldbfH/Wep77faE83NSIcCPZx+4gWI9LHfaFLNzmEaD
tMLUx8HiQkJlWMRx950FPegALOXtqfXmMd3IyisdlmCUVa/gu/W/lDVDAuZLFAH56QprE9lKTdu8
V/c7WnW9ZIfnI3jI2WyvRDWlmChGfjASrD50QCSeiuy5oLOnzlT61S8IyKOXG4gJgdM3G5UlJaUD
hCE9mnDsLn/y/Rjnjdt7abIi1icMsZiCk9eK4QNI9rgt+kZj7KK0FAuGqP0VpUbch12dHMzWTF4L
oSEGFtO8dWM5n0O/zW6maBC7ehRBjX6vXXRPWDPWYs0tXxtN7+bA0WyRhybSZ3dVwn0iL57CKNl2
WUsZURJY7XzMmwVZQY8YFiTy0OAnCmrWQvgqEheoEVc/bDAYZzFYpJXTivfJyRBBOr060qMsu56m
ARilzW493Q09JAAUgSHBZoU5BfuoUUePui/UjzQj5Lgxww46n56yYr7EaWZNa4uPTL/znUqZG+2F
I3BCyh5t76h8CsrY/7HkvDUMI3ntpo4sd213Dq2Ko5yIbziR6KkO7yYe88uyjjV8mKKgstSqP0pW
XLSwwq2j53CcyhoEIanLyuklMorDT7v6vw4OXbaHfb2lMLm6b8XQ7a2qSv+9//j5v/GjSotyhf/p
cL/9YPnx0XKl+csJ/8ff+5shFasn3lLO6cUb6WGY/MOQKgh8EOEywcvDmOds+tsJL8RvZM9N1iTA
2X1XKv7SH7sPsiBMBA7nsi2waVjev7T7YAWHt/UvG0IlaQlHZLdtD1cXi5a/HvGCYpGxE8ZIbXIl
hgMkNBoKB6LaqzmiYibt2Ft2Oc7WzegP80K4G2q2I6Fp3fgGjgSgFImHf4lA/LeccJh/xwdp+T+K
FkJyrSzAyLN9dEfJZatxg9FakTkAJcPVLKsenCaO3ww4BeETKFddPmAFydoNeeEOm6MseLI1hQrE
Rma6aeDlVL5HaFdBCVEDMHuUXsA7OBRzrrWTHeAzQY4N74sutH5xU5TbZFQCpDh1rMc6rY1HkUaG
uOsR1vONFWnpVKvYqtOLbip9hnODK9fJTHSYotGnriNVsmkcFgp3QT658QpSppk+eqn4xrp0svaw
4UaQJ66gNVQHakJliHgSgSuXyVkOttWuCYJFmG7SMWw2eGRkQvCE7kTpGZgwmqYDpzeJpbFXD0mc
XFqYdFvcTkhldWufwedN4W5uvSE7AO/W6akZqx5wSshNjtDDgvWZuLRhlU08+SAojIQ2b8oeXL8T
ESTxQgp/QwH8kkINq/GihxG36DsWsE+n6Rb9dEzLfoPPDzKZr9tuVfbKgwmVxW98NbULh7C5DxzD
K49OVmnEnCKbvZ2Cmv4I53oOb7mtcZ9SWS/9FQoDTGue9rQZa4xoYHRoPZhvZecyCIUu/EOqIrno
HRr0hTeixppS7ioMoNU3Iw58DLKtQEUWzn0xjhYMLS9oi7NndmW6GnxqDNjvVNbB6XxJSg7LjX80
mZ6qmxSKFdAmRf3OFmpogRzjdd2GpmY4duEs+HM32Fy4aOiMg92UpkN2NMFpTejfPjDgyK0gEcqw
Ghn9IiM7JKMtf8A1rl/yqIQTiPT4VbaBNZ5413FnM/HTNtuhYYQiSlL6MCHM/hhmLaoLARu2iRRf
UXdjQJI6UVBs/6h8qx8PsBU83Jtj2MKPoFtyWrNLLE+27kjsxbQTnjuoCw9N7N67Rape2paqxXUX
1AaRaCs6eVq7Ji6+vHrzisR6RJBtv4OaVkiAKXqs6CDv8E+LJ+CT2Efg6HXiOW7ok1qRfypJ95jV
9BQX9vyV0yt8izbUaFafZWRdGjLpNTW3qSAtBUV8IKEc5rd+4gO8GGWZ1hszGfL3zpjri080o940
bB9wX5s+PZEGMbfneooqzmCRw2PwQAl2yMWFc6bJJXI2VQh2CRqmEVo3PZXSLG/CXNJsZPUQOaJy
gl+W0One+SWFUu4kebdbxIpATE8CGDGQIngpZvBqzFmAvRRGXj6WxVdWUVaZNVG8CwM5vvkDH7u6
TTx3b9VN/j5lIZ8bmA7dJYQws5YyL28KMxueW2Dv0SqbMp4FwG/Ru6V93/gOSVHp28mhH0pMsLGF
NSGBkpAfarOWL1aetjiO9ELrFZG/nbsuCx6QHwiEuXgWg73PsnDXC3KhIxQAWpmgnZDINK2et0dW
P8dMh8dxdgl3yoyWy1Wk0Pll4KrsC8R1c7JReOw11ePza2+FxWeNyQ5DcmaP4T7ixKk2eepiqcj0
sJXkdu+imq7MQAqSsUNYZvqp0gDS15Gz9EdEOKpamtjz2jop0CmnQVVZTx8hVv5VO9P3hdlH4i+f
A96rawfr+9sABuyCEavEvhMb3ymldYsXL2kNJp6RDwqIHZ9lmlE6zsblGPQ+cwMRKuOhv3cazdsz
eptjw/yBEcXaeqJMtjJOGzzWEcUMraeQKHIoyaUV80+CWqwPSrYstdnq+Dz20c5OzGl+8VyOPXcY
Fn/zdpB18JhPBijuKeUVVUK7A1U+VqypCgeiYOJRkqveFABRlmCXcSNnkXwoVLrhEMZmn95KG8el
F/LIWYPOy7eViE065/umv6fPI3y2PB5zmyHETczzIgaYaTk170TfgTOI8czXLz6XuJnnlRUHq5ZX
Pt7OlVQP2VgbAoQ/MMR1zNapwnI68I0IJ6oe41qwSubZUEIWqWIFjp4rLDwMrBhs1fJY0WIqU3aP
bjzepF1sHngzz8axL6zwOI5lFcNd8v32IMBoBruudvxDAWPyS41+/cYsXj4YQ4dNdKSy+jOlwQA+
NCEXh/Oh98oN/0SXr4c+mY9WIdOUxW5GXDuO2Q6v8aQJufK85UXAPIQNKs2Te6ppJwaExrY/gPNx
0NGQXj1PpdfelmalJWXNY8riN+XRCtTGBszjhvndiI7LNjEaXvVU+hAUGcx3poE7MMlNT5M77Nvh
NqX9+3mYTa/ZaDy/CUNwU1cHqOTeT1fL6UBuwboLAPCg0hlUhoE5SHW9KvD+ldzxqUSw4jEKLrDW
xukgIR3595On0JkN7Ua3ht3478qZnIcETlBtJ2wC3C5/RKuNb6xk7qJNUFjx3uYhtyEGahySOKOK
sx9/JFU2rOOKZ6Yw29T+7jS5x9pezN5bh6L/q62QhyM5lh+pMVvRGgtoejRH1kI8YxD64jB5osy9
X2e6TzDVNnmyHmAhPhp14dIz6JpiP9jctvJQRYu5Ayy6FS5QClyyq37GFriSXEdRmB1Wu24wn4x6
DrggEpN7lFhM0u8RJQxntdjJVUkVxMilGHsJmOtVVGkbWiDfNDhlKmpXniW6fReF+sZAv5VrEyTp
lta6yd2Cs3HvBnpXPvFOhl+YO6P3qJ2eDYuDlfabkC0mEVDsHWMlaSLH1cro4WJYa3gWLdwNalyP
uFHUj9qIKnNPxbEwTkOSHC2JcxMtxHsgRgEEA+X5eQnZfKeQoy3v7KQefinPLTSzQSryi+qwLVLZ
og21c8ScgoTyYJ+Zli4tgOTp+CMUof+lZREPr2Wgi3ivSqv8qh3bbB5Q5GnLEwny2Unm3NjOsU9+
dBWGfj+t5BBUX3YIqI3xRkTDMTAzqTidU7anmVXm/qko7OGpNj1u5Lj98ifttywe6DzJ50e7qR8H
METlyWlQoVe2r6cHrm8F7MY5urW6MT7EztSa62hsoJ5EHFld1uXV2pXRWK5FHfAxYRDv7uO5iY45
IsepSIz4EPjavphSRpoGI11uu3HscZCQo/JxjXOWM4N8NdIeX5zCjXDha7Fxy5DiOaP0Xg2jCKYV
tDqPXnYIDMUHXm+f2BCj0TO7UPnVs/PEG07dy6XH6vLaj5laJ6j+1slOpwxTDQyydVaH1hv2GusV
LJBx13YObNhsCOUGWU/lewdmc7Y1lzL7caoq4rqY3j85ILMNR5aXrg3PsN+6oP0QTc02aBwyBOdQ
pNWvKq3rNyt2CE9bfsQ+xwlQDdZGPBWvpEDCZ42vGICXohrSZF58wgc4UljEplV8w1JUr+kVz/Rn
J2GxSwOLkRXEW2Ca0we4JYXhO3pKUgGiSNg8+bvRsf0TeTtf0c5rDfM5tegs3uVZ0Sd3cQnRZ+Nr
A6S3ITEpH0RF2fCOP+Uuzzx3IH9sFV64i+u+2rVubY83PXbl5xbkubOORSie4iS1Yhw/HOXRlFaP
zUSbMu/9GSbYLCzqkzjmN8Xc9/eYTuTab23kEXJlO0HjIWQM+VOSjW/XVcEuKmq8xDm2STtFb3ld
RQORLBZqK7qCFoaDbVq3lV3391KPG5L41WrE5LCtVTSezNyH0oxpZT20QFp7TZVK385gJaPMBQ1k
R46DN8jvHjX9kvsQ9MW3itcWXuBC9MVTk5bAtH0D91QOmAgSdIRmhaplvKPI9sYJbCQm/97O3Rdt
D2gdEDgt9iLNUH6ameeOq4CD9i6Uy+WsdFtAOq1Ph0A8jUG2K1ED+RU68zvLdf1d8F2oTaIjkwIJ
Xu9qI9m37qXdjN8Bf3TYw61UXuLINp8ZcHnCJvPAsN430Smwy5EIWz3tFMjpIy1kc3wY/FLecmnw
glOdVOJHQoPFhtA4tWIMGbO7jsCRNFdQ5fdRLB54UUgp+C0G2zyrcZf7/Ma6FaDDNNnyYbagO87p
8IOPrzq3aUaqIrJMTnd0XdrIabCuNkOUoeRhAlrRiJ1fhMkwtA1qM7ZOrR8FpJ+L1oTGGRsJtyqu
N2rNJXfe+zIV352OA2w9dz33V+Q3GSIEIsZxUfLV9EJCE/IPRgU/2VEfFn0NdePQJtFb7/lYIMVF
TnNIKx7zM+UT8cqZFM8akCdbdsjpJne8MFkJasGLNel6qjJyodrv0qBWIHQHZ68IPL02MaB5sJXV
sqVPgLYSqCrbU10KBMkWWADNDSHtvQt9n1SMDsE8DyJkrnGiYrx4leez7e1i/yvGXflkU3AS+T7g
JCdRWPYKei7yanZ30A3MPXw/7wQUSa88yYq/GuPq3h1qc1M1ijQsZ3OGrw5TzCPee2tlNz0k+LiI
28+ki1S3A+rQNQe3K8AIWlH3VXXzcBmbpKQfTpjoak4JeWwlxsn8kB0ZdZBs1i+ZyvmRWAKZSLrj
zrKP1ENShaw9o0DflgN4XNd3CIfDXZtoucMYKdVn2zPw4CgGjiAKOHsRtyRRm/s2IS+qB2W/zXNE
rw1ThMgRZXsVf2Eoz48tdaiQYD1e74QJmcjGncyN6pQ74AGyoazuPY7hXdw14XdmCtoQePipJ5l+
mIIayJj3EYN+QeUNxVVbdpLOMS3M6glOvLmnGqRZ8+DclGVr7624cL/6jNqCgCb5o12lh7nwMEWp
Pk02uOOLXcKC+6nBC0QhkWf+8BtZ3OB60h99UwUbGaR5vvO7yRwPGZixcMtDUn/OCPBgY1OrXreB
453o4mHoqgU/+5oAV/3hpMojdaJqh2ZOuznAZbW2qbJpzkjgS1bBxHV/qNJ77dnTHd4nEJwO/Uhn
PQ5MhZ7u5p9T0iIkp0yQZINy73nC4HueBNXwioYo7sQZ5bxVam4Ek/zPzBibfYPuuhwm32q/7S2W
mU5/2yoeop1KymRdsdYI9nnp00BsTfs6o9EeGDHpG7tC/EhV1b0w7tYIFCRU1uP1zjFW4abG0/jL
g7pwdDCSPeopmd/pxlCPRTnRG2BGdA/VQkKMLEwKVWICBiQsor1TZkctwmofZZa69Km0+IFGDzqh
UxYMO0Yud3ZfUgnkds55yLif9q6sv2kg0K41FSnZW9d5zHzZHVgMjw+ZKRGOMDZiYyrSb3Vmm98C
M6/I1DbNnba1tUU/F4CMF/ms1ayhqd9honHu6ZCDmODG8anC3FVjHDnYo3sHc0SvZe3Km8kRFoOU
P+N4snGoCUi4xI9YsUFd3Q4cxrRymYx3KszPPKiSLR8Z760gd8yioGFZj/mDlLIVPpPW8wdqI4fx
WdGmtSPYyuqk9nvn4hGXVaswUdOtzjCQ8cTFNGjTljl1YX0C0FyJm9FKKhLoTnmcgqh9NzCtPjuq
pnJlrOf2ZR58pr0wtXGlJObezVOT3+qMoUDx+2+KsNu6bZaEp3rUjCE60uRl4bjsKQZ1f4xF9qFY
v63H0kIv6Ob85zC5wZ7nQ/nISk8zDgXGXWbXHkAS/dYlHKw9vcubEK5VuXdGZ1gnGaSqMnPvKloi
adTkOgAkGhvi4lp24hvaooqjazbeT7Oz742Asbtlk8NAFkz3SlIUPCLor+F7GKtFOElGo9xHY9Id
1TijTU3lrF6VyJ136hHWFJZwkoREpd26w5bEfWNrEA+L74LRmX7MZL9ecNmZv3TTG9wHfOe+n8ld
K2fu7iqD3c5tNLCb5GthtZizz9qxRLs17HY8MHpPeKuS/D5tHXGoBwDpjZlTDmOmCzh+gjXqdbT0
UOkbMUnNTigYh2ljxueMiZsiEt0/mHZOiNRhTRpl//YM/K/WCr8T4uz/MVVx+zOM8A1Mf9kr/PkX
f18t+PgAHLY+yxZB2Czo/2Ye8HyAUTw2wceBkfv9v/wnWk79ZioXfhzFwzyX2Ur8bbVA4oJFPzhz
4eD944Lk/kvmAfsfOnSxLpgS1w5gJ/IbbDH+oc65h1npka5Xh4bTJzyIOlXjyiN52nAFiKOvMQUr
SuaSRJxjqx7e9kQ3pSLGOu9CP7Bf6C3Nj1wpob9VOLHGVR4byMyO7sZ6nxuR/eK3YF0Drc1LbhgO
8R+nUPbapYcSGLKUCQvasuQ0MCcP6qkJgPM4tXmxdpwwCrde0IXPrePiShoMNuB9bxnPyLP1jde7
/bdKUpVRJMSMyU6lFAh4j+YMB3qwzTs6GAaUr4pFB0H85hMxryLbwbaxXvPDhmdq6/wOkLk1n52o
rSg5kBEe5T7zeFrBRnV7OkBrEYsDBy0tus5sA+OcuInI2l9Tp0UuOc8m9aAj23+GNOHttcXnvfIy
f03GFTO5T1Ms4YSKNKMPmjRSawGpoHodSk/TTsAGEXNFWz5avlEtR2o85dtSeLZ5FgLq54lA+/BQ
D9jD1mFRyvBc4wDQ+wAuJ/c7nYXIGEU9hpuWbslqExo0VfEAS2BWhdaERT4bfMN6mEGdTZcm9FTx
wJaLHqzZxGB/SKFFBceoItJ77E1O6lMwEI/ZlKxuB5bwPMR20B6ybwOOMOfBy4kk7KwZnwwZYgHh
GnB1yh2bNAWLbYzpe7ej+Z64bOiy8879fdH01itIApLsoRmG1NC3v7h23PSGru8FA9EZGxZgW9s0
DsboDd9c1WDQNYN7PSK6MEAg0nQjPXI2nUMgJOIHK05NFhvovGUWJOOqdky9p52n/bLzwT2Uwoji
fTzMsUX9Gro3s4X37LgAq6HvlWraIK55TxlG7LMOMKFLIhmbuO2ypy6d6k0P0RafYxHBobLLE7aP
fGO0pO3N2DtxYvrbabbm5wCpGZdy6ZwUDA08HoCiCsu8LLyMtGzbRVTCg2Op9oKEHuw0eeV81dlA
RTF9Qi4ty8gFWAbxJdyjmWVnBzfLhq/VbKY8ywmCSpodrUTGz7xb+xuAzFaypmeCSsPJj5PjFBIO
J37Rb3KMD3RA4jEP4bNffC8Y3nFcGqAWS3bwqGHjxP1Fj6O5mg2tN00T0XmRu69jHNNcN0HIhRO5
xdg9v+YAB74cwXzQeG71BC++3btRn/C6J9NeJWH97vqdPMKO6W8pMvtZ9n1F9JoYxNYbg+6QLn5O
KsCN9FtFAOlJl5OVrq0odb9XU2fheUGiOOqMDtoRCWUTi8reKhzSW2fAH2HWTb2ffVevmxFyfk5N
8y5j1ljLJswO1Ixyme4ASlNFcascs2cIaxHk2zC7R7usT22VFCdWG/4ltOvgQ+oh6H4vOf+3le6f
WOkWKhMnyH9vpXuK0zTO/95K98df+WPR7v22wFvwv6EOkTBcDHO/L9o9IE5gBoVpWS7E/T+NdML7
zcL1T+6QaKLjCPdPI51wAT/5wvQQi/6gMf4LRrrFxvd3S3YOWWnzXQmOYyVhMDns8/8+hhvQmMY6
UoiDHCLjNDeae0QZ39LNVp3cUWPjqnF4SvTQLava8SXWaXgqLESX2kSfttCOuOkO3mdCAQzJpcp9
LLBJHUuj6m5zd/xntKjlaP4ztvtfv19emL//fh0DSSGm2+5A/lsfJrlg2QVOWlUEG7Ni4YzLx7z1
czPY/92v9P73f+L/UJFzX8ZF1/6//7DlP3up/sFyWCm5SF7gi+KQMop57JK7NK293VyPJXWhBkWv
PsN1bzXYc2mtGTGS8Sj38w3h03CdVIgj00xtBs89nuJ+TY1VE12EL/ojKp+1UfZ4yewgvA26flrH
LiUiDPXmoZ3jpWx522TxS5qYkAG62gAQS8vn8C2NyYeCGeRgKQlh7Ikz9U8MAuE5bVlAgMOIt1kl
8lPum+UtmdH4tilm/Q5Nn/2zUZVnlock2/K53jXcgczicxoi85hRrm10hFUogxpomLXMF0wQ49Ed
Cr3PbKL0wRjGO2Acn0nDUoHDQzCZxDj5CUhibS8LFqnY2LYN+xGYR8mLo4JLP+kHtLDmyFWR69g3
2Rb+TZcl+YnEyRuxIWPvYNZqJon1IFLQeljiw5KIF/o+lsmJTYQDytvWVbYaPPejy6HNwxAoVsJP
TvbAeSeG6cKV1dm1ddptezOw14xk3anCY7kLeiwbQfb/2TuX5riNbUv/lRs9xwkACSSAjuhBV6He
rCJZpChKEwQpSng/M/H89f2Vfe45ltptx+3x9UBhOSSDqAIyd+691rfSC9R6sZ06c894+7lwpmO0
oPKPO849jbkiNpx0jvYorQgskjDbbZY7E/Nh8rdTJgokRBPzbI9EY1QIm9mjzRpYMEceFJ847ztp
fh2hc29kPNLmcS0975MyfRz7QBx5a1bEFJ2iOSB3gsHrtkmm52kwhsepnHQ4lfhIG9mjJx2bvZnA
+qqmccOQPFh1Ad8JUdTJfUDcwWYQAiNJ4mwIPLEgcsqIPrs0dzpNooODRm/NYDPZtAAyyIqGgAxB
ikJxEsuzMbXHNo83Rj0MawbSBwibtCeTtNikmqeZRrWxhSlar3of5bfI+/k0xgDMUbET7olTz/Eq
PA7Ityncd22LMiPxn01yKJWk92wXfJYuMpYVJfJeCmJ38hbaYeWhXMdlt7KKvkHWGa36IXD36Gy9
VemgxXRfqkqReyRmeA0uFaoo+iwkTs9fRwUJ41WLFNLzM/op49Uipv5kxNAP5TiN8M/HflU32jvN
dZM/ZQJ5/+x5u2l0nvLanQBdkINB3Ai2GPrt0p9sIFOeTf4iWcE6M6dwNuydMXY7qgFj48j42iPW
WAHIOsVufmhL/5r6CEfbeXpmrHJyGXtqnTCjspo9gdnhbeA7qZelaO+9ljrEM/trQrX5iXMGWQNe
wBi1f8tp8t5UG+cuhxFUVs/K6Db2FGwBon2jxb8hpToPCw/iZ2uT9YBK9oKKItlZeP7SrH1Mx+Bo
dNY9rPhjxkj0jKABAWQ0zx4iA/IYaHLU6p0QMZfPvTKfJkUsgl3YVwPQzBYjp8m7PUzfaJ7SUSKc
jHTGSQRvODf5PbfF/F+RT0YzaF6PaFNXEQEU9LfJVieMo1hPraj2XZNWBzsHddP0igjlMqdijgDS
0Fsi6dBs+31hxMlRsC6GIFY+gQHD6huQFDKbY//cBehCF+0YRNEb5m5MLLUvCkZ/GLg98478Q/MQ
tH13baFePoy9aPYpADWaHhl/MGNWPSwC10vRmXeSRnIzz8fOJuTclfkzhlgNNkOzP+TOC5LHZNNh
MmYCHpPwC5BjY9hNd7FJb1ybPpFy2sGpandoIBn4LgxLVQpujdNWZnQmWbrMIDyTxn9QK/e1rIwj
k0/WO1je5eJn+2r0s9D25LJHd7rA4a9/eDGBMjrVOxfd3NoYbmPtIP0ijM7Z0PZ59FJRUSbixIJD
iCd9gChF3IlFRAFpZkvnXv96H6Oo+HUDhctsQ48VFtYV7xeuumU4iWXkxADUQf1ITrPcl2SL9gSp
/A1x8RfCx29b9U9X+qW0yPWEx8WOxZ4+krt3ouC7xYkJByaKDZRD75KD0GpyHQv2Gitv4411+Nf3
Kn6WEP7+I0iLGofukjBpLPxcLfg18Q2VWqw9q5XXkApkGyS7Yqj3C88LDar1EJ9w/qSXhgqexuIl
uq0kCZzGk5lF7SkYNRoFVb/KNOsec5TKYZ50rPIxsbgX11uITrZMuOlDEcNf1zdh16Q23TKzCFbm
sWNeu2cY/aOCAbwytKqZTZXMm1laYn3zZ/yr7PyTGuXPvts/3u6tgvkDUyVzCmJRc9faQ82Nrqqb
xHoG5heWPuPev77UTXz5Sx2GK4SBq8kvuJl+EWdajMpKjXx7n/YehJ8CB4PrfBX+WKFJbF7/+mK/
sDv/+T3+4Wq/wFoMIiWHqc7svZsOD0vvis9wD/pDNsYfVgqcuZW5fuiBMx8xNC97bZAcxGyXhDKJ
wS3I+n3GNwlMgJBg2U7bTPUaWBCLWzz1ZZimfIW5y3gm0ZmL862uHsyMw2KTd9O6mMivRB0EmhkA
8XQrStpbeeJQp/z1ff7cl/rtNqn4LXk78/rc7u1x/sP3l5ejNA32kT1jjHidAymCHWHnlG7SeEgH
wy5wjNHw+eur/tmL+tNlf6mpbV2zuNWj2KN25dXo3A8vt9iZuyhfpZ1pHKt5ukSG6h6KW5Xjjczy
/j9+BBYlGnJ4jnziHn6+88K0JtXga9yLFOcOhvkwddWZGTmhUtol3KWR96iYqTfBArDqt9u//gH+
5HEO/nj9X96c/qalAIjt7HXRfxUqnUB1R+JYtogEEQPe/fXVbieFX14e7hR9rmdaONvdX+42wYLO
TJMoUleo7M6iSQJ4DB/TX1/lT1aDn67yyz0h1hUDE0RnX2pmM0xErNVtjKVL2fzN1/dnV7rdinnj
5bs3b9dPz63VBH1Fdpi5X+h4rkaflC8ZHNhn/uaO/vRJ/eOFflkHOH/0Oio6h92k8b6no77PyEnZ
oeyKVilzvyc0eZLZ0K08bm+Fst3o5vzXH+ufHJkd5PI2ryjyeRhWv+xrUTKNLSG3Yk/uerNfxm54
bmwHJgWhyfsGIQzhXHmINJlB7QCoHJY/gTstyi2vxENKMM6mqcmgu1UX1SmPy8+yE8WDldovGWnC
vw8zvk3/M/5e/8meIP7vh40U+MANaJ/efmL3l8fAsIactNCOH412WjUzNrUSM93VS4Fq2FjOUyCn
TdMTJAtucxWPKW1bcTOGT3DzXbcqNkPJctoNUMdKUnuYbYdlw5lGETO04hDxo2lglZHnTAknnJPF
/HyFeoLjGVq3NZHaUIngXYa6ieC6F99RM+L2GdsSmdfg3Cmlfi9x/rtR9XeNKrIRWUr+VTGEb/rt
P36f/Fzeyu//63980vqt+4+H7u3ju0p+6lf9/jf/2a/C4Hl7mclgI/gCcTlPzD+NIfSeYITTNkem
68NBYYP65/RGmP+gU3VL6BDYPzw0TP+e3oh/YOTg2Mdsx/ktNOi/Mr35eY/0IHVRuzoe4Rwm6GXr
t5LvD3ukRj4mu94ddk2mg6eR1vR9VWecbkWQdu9GsOSn0Qza5u82SZJtflq1b1d28LtYNAO5cUkN
/fMqRyQQkx53GHbS6aNt2gm3eSvtWxJrOliwfvrGypN12o39awGEedkgSG/yte9BD1kzjzXlziwa
IDCK15241gg/JsFvhL5ac6xJ2hXk4v3GKsh/4xaMNkaPdcvoR6+sUQtaILU/vwsUpkJDZdjZQGm+
lIQ1v821HbwACysTNHDD8MgMBPUSmJ70lCaANlZ+EyFjGCxaNBU5vlustUPol+XJSet0N8ZbckHk
Wi3Ve4b7LNEEdy5IF0MV1eguO+tOcSZ6DPrc+wwoud2xQGR3THisCgG3I5HWxzL6ZAxFmm2I2WCM
7pMCifbvu1e7TLlAcUXAlw/anjJStZMHQkG97TCVCzSLGnmeVb3QlCeXsrkN4UaAjr7B+hnY17lE
LuRmxQ0JWaN9CIRzXzVj6E+1s6bqj2lOEcgxdq27rRoy+4wbthZLL1yKyX6DnQ2IOXBAMEOTSnCk
x6LbVai/sNWQxYpOC21CsEPuo9bKXQCpJcDQ7EiNGG/69g4fGyGCBG6sooLsafoEZVh3Tr+24Jmt
mRNYaz2m3ib3hQihiyFkdZlJoMslSzYV7sGBS78yBrvdWF3fk26nbu0rtLMLDPZ171Y2SaYZkySa
S8CDc7kL3CIKOUOkO3YXlBA2+cRYKuICYZzhfDTWEO97BlqhZ0jjAj6jOlh1m17npcBhXzmFA7Oq
TzHuT4w6Vzd3R7Z2/aSMQ8f3HM4wvrwdM4Wj3maPdLl1swi+9xRN2pe4d/yzN6fWO9r68kN7c+at
fYppQTQL47u4zu9MxAMMDjszvWR20B40gNPYdIxjKZrmmCxl/bmk4cxnDQjFIM8TTgDqipG5Exo0
eBCmWUu5TmNZP5QFYzY8kS6wZhwcVWiXtntxUHbf2KR0twpVWrvJaooSoHriP5Wu0bVIDSnBW1kt
NhEqFtq8BZ3n2ewEQlXVzsOjjdxh68TJTKxI3MCFwhnhfQHqxRQqsvFFI5Gje9B6RnSdR988cErH
yUJQdgnws7YPuQV7naGcH++B/DrPNYao6KYDTSHa+X1WrgS+MJgnWBXuRVkPL0Hc4mjxmeI8MVG2
xSk2nG7c+O6I0GQetfW9bhsQ5aRsvxCp0vY7XVoOZ8MxCraOsOduJVQrUMsA2DCuqHFHFDAtkGP8
lvQlXLsT66o1c1woBT6t3k4r9PGtceoaEwg7/4g1adHetceFS8tupltZLMZ95MwfMs7fVZncWQOp
gqbhbHsIEqtysIv9kATiXjK5C8nkucPfhlUJEs1doBGGLNYtCcCExVYuBgnXTXup5KIe2sz8SHJG
cF3dlVTpHIDBoTTnyvPyrU3k5daby2Ybl176QHtD3wAvPlrVyd5onODvi+yG7Vwa8oLhPU7poEbj
XQQj40dZcgonS8YGG4QtJeEB9mmWLRWJCqtudq13LxvTY2H3xSnwPDpgqA9XrrLIhrVw98nvLcO3
Il159ezgCDAIgpyMV11Ci9EK1xtn6E95Qp9MwTF6DECEtitsV36oOV8e8cd+R9HK+qFqx4G/iiwt
wHh9HjB5uE5+g7hNRgypJU4BlxJnaZgWbmFX9GLNOSq6esQgi+fBQLm4MudcH/IYBLMmhfqiiJbL
N0ndkmKV6hnOGYreGZCJBTds8niyMOWzWsTvPiEJoVG5/l741F+WS9BMQTIAsU22DTulTmg9mgYx
Q6DjgbybBxx4lyFy1HqMo31f2CU+ffeoi8Q7N7ZMjgy2f7A7pZeqRoJddHj90OUtrjpAGJrWlGd0
g7tlMWeOIzQ4QmNuuw/mCyg1sT4QKi4rFa1skrfAsnUGU2jfHeLzlAzXlLnsZ53CuS0wDX+/RfTu
5lRMqKN5YXYuLN5h3zQycyB4Df4Fcnn54vE9YTuwmIsUUYUUXDoPamqj97koLOdJtSXLrF6qRIe1
JqaA06jskBFSHaBRtOJuQ6bCQk4GQJasN98bJg1bt1QLWVnWcPLSIJy66tWYGNUifFc27V/cEt5v
aklrl5a3VhA9ct9ibJTq5zG3HeyfTJ8vIJZGjCWk99DIZLYy+xWhRjD9E+DfIWdV46HQTnSZjPGW
eIDj3Xe2pkKEgXXFCiHazZs4Bt/jAb3zne6UtexMboc6giwIbiE5B4P50XoT4xabwbCiLUn5Ph/S
Bf0qZbW9N5AjE4QVGaFtF3foKya46Z2784kCX0cxnv4lifmSk8k5ZW78Egvm9a0eeQCikeU5FoCQ
tKPIFTKW5IoTG/4+cbdIVTY0/qwtLDD7LiHyOiwMba1MziYf5BzpddQPQNqUTxiSgQELgGK+nlVr
r2IFyKnxcNTxDY0bakFBmBiMxGFaPkXFwAdZ1s2mlHywRVtF59of6l2kmk+jyxgDgUG314Hb30oN
xkMSL0JNT2DHCuTTXm+QvuQdLCkEFqFLjuseZYCDzCB4UMbM61vazj1mVSR2GBnXdjdMzs7IZbrJ
aYOjRb3JMphi8MKnjnuiXFBfbvYlLCeB66I9T9WDTJtgk1la+Zu6isYvgWcWVw9Q1gnyZf5DTa48
GGw5B5z542eEbzJkAFAP29E1a6x5U48uzzOjHyYojD32HX9NhoXdhGyz0Y4UBoiHdWpBPjJwIK7z
eDCPkq7ibrIz8RZYXXs3YFS4JxKFc/9Nv57yedvyGAclvs1hYBYW2336FAeWezL9wXqGyBV9LyA6
DKum8sud38VpzsJkARrTpnuM+ahJoZqyYBMLIz3yqjChBPM+ILIgbXVXkvjzIhw/WJG1SfBsOYNU
TWx4JESwkYDGcd2r+RIqNHm+bzzTws72aaII1J2yZVeZ8/DquLo89S1UKGKyZHKZGdJsbYXC56hN
Mw9AgzBUyrN5/t5nsuQ19fP82qHLvAZJ3SDeS7ESUdr2pHPY3jbDcfLiz7V5iZKqOiZwoHezPbSY
eAE0II7tZPyaOi2mntIsTu5kTM/DWDr7AXvNowF7gWpSRg9C1f65sHyS6irfezUKRtht3NavhHIR
o2UxftLxBRODvCPXBUVka7gD8vEcE84qTUxFKCgHUmkv6Z1jCshgXtehTUGTCkUrnTi6c7JY9Woy
C5w4kocpR4J5iQLioyFStcwbKwrGctZXifH04DX8BJVfWZ8EVi8kL50mJSEa0TIvBv6fB7YI9jes
rMPMAkZoQKkIBCLYS0GzqoKtFBVJL9Jp8YJjyfaK4C1LG4tZBYqS1AeFag+Z3LaYMT4oWlBmoiNO
wUQWCK37aa52pTt2h6Yd1Bde2uVqBKS2L+5U7fKOi/iGCaTXg4DqlnUM/EPEDzWYxsuoENC+1cKe
2kfyUtriyZDgtDi5L1nESYQD3jqy4gxoTdVN0dqxB5NdtifYZyX9gdFtU2fX0hnjZ9hV6Y/FyG2c
pjKuNxhl4l3fmeoRyYz1pa8D57mfRjqac2cHrzdH2bLJUhDgMfq5j2lElWVIR7y1jo0WymvTlK+j
kdPVpED93ol6OYLRhU9RplN7nTuLtWLBok/BpixWNVe35A5OOUt2p0T/mem9+QbX12EMbcru2Qdh
oyHDtI7YLBlw9o2lENTFZYZrWswZFhCgZSS2lrFHDmBvzemhsXgIwz42ooy6XXX00maJ7Bm+5xGP
n2+FNfvhqbbAZhIT1zaXGDZWEo6GsM+M7D2L993D0FUPTUx0Xi++FMuY7CrIgy8NOoA3myMR9LCm
vXau8wifNIwnoAON8v2TnmNsGzyHqyKQ5hu85fEryNrscCMjvGBFMV6tpgauK4PZ+SKxuBwHPc7b
IfDre3sR8jF2fFTnVjxFe+cmfEKCdqCiTu4m2xn3LXyffc9H+IZHciD+ypAPTtJ025L4RUi33n3q
ZTO6SNsKQcJk1wq30xmoSI/NIdCYZtBlIxb3W2QYXjFHp7oDy+AgYzzHif+1j5MPQH7TY9+Yt4S8
titZrW3Sa5Ucgh+932CI6ct069gyZqRv4wXxg/4zpJ14UxiV/pwVMUbISYpz1WN1SwunfMwhmcUO
U2lafcG1pZx9AJSASTxNm+8OESfsoKO9Z6Asn5Fxa1IggRhYix5fcgsvsjLy5IKnIHuoaZJhJcVH
tSmtRt9NkYNmzIibA/rz5HGgARCKJq2bFalMzUPPmfQdbLFDOl+lt/MtWVj5dXc/uGN+qL32c29O
KWN0H2fPOi1Fv5kQS667Ebl83uuFkJkCMuoELTcvsCzMOrNfh6S2zyQf5CdsN8Fr6rXR1yhlzXdj
6jS21eFKssL8NaUWu4CSWDYLneNzT/TTk6bKy0Efms52MRrjKJj/nwkHdD4NivXea+r+KwxncNaL
Tt9mIptcIgA4UlvV4JHYzWGNnh1vV8quEiZD6q8WrPUbf7zpz2fOWFAstkuTZGesiNFL4bvq6JKg
8ILVjwNqIktOgkMV+sB9sGIK64EQWvsYecMYGgOBSnjz7HNilNUP3GJQr1Kzsp996smLWbLnwQCK
xAcx4JywUKF2JzNWeHzwfMd7gwfN2gCtNhC/67z/3CPuiMPacJrPempg+/jBZD3l7tw8e52t3jIi
2fHT5n1bAQhpq1eliuht1Oat8xqzvpyAr8oHghLilwWwrbwjDh2TbwkMqUPt4UdvsR45XyE3Ee+D
rORLbZcLYfRe/TaNDEgwJHmfa0mTxi11fRdTqd0AsXPGD5SRTFL5xTYdPOeKzNXaWLJz93yS6r6z
MBdj49JvfdkPJ2tob6mffrRRdVrsaWPP2wXB1Z3yWTDqWzpp5zH6iPPSuLpAq9eYlKOVRW4kSzyz
1BrAQF21croETNrdvSEX+HzVDRmOPcp6IcGKUPsG+/+PAWH0NujMeTNnsIUgRqHowBQ1wzHmDBnG
EUFXUA8NJpyadGownREHajtRTrmlCujuZpLjv9gBVlkvq3iAUvQItH9Q895c1xONoLh6ccr2h8pT
/AytN1dvSxfNP2pq0EPiGixDxGKEMLHq0MXJt5NT+p7HNLYsKBr4q96wV84hAhZzPWot1mOSmbdi
7IVFpj7OHeThaLR3mBOMU5xpVCcxfII+gKRoyPou7xusz71/1aly7snZKu/AgaBPEA5GBLif+cHV
VXXCpisP8B95HAyafsel7Poa+Yu4bVPlFgR2i3CLiRvoW940omMniDTnNJ6TkKZHt7OCyHxPeHze
G2TYC8ahGptVUrQnmZjueeAEtZWF0Fc4BQ9ID6wde/N4zSOjqlZQOrs1HFO0VEbgrBDddveubd7f
ekJfTBk5xIw1I4PH3Kiyeyq7Etc269U5QT1Pt0u5SYzcxiFQKOPgufKmxaH/tuhQTEnxYhZeIVfB
2MlHSoMCam+SR/d2lporPXpqrx1E2Vkh0lAoCLF+NPNeFlEAjY4MGxDDmmjelJzYk9PRSwSFaUef
2xgyluoa9SWbhXnO6h7PsIRZA3VrcB9F2rfnlqut67aNHjAmirPZGLCso6D2Tj3C/72o8wxa56xO
eMeaU+qk/lVaRbOtGH3GoV3xns5q0Pc01xThuEJR0vj4bTbtYCABXpwm28TO/C2AbxBq1AVrIuPM
D2OJ88MQLdGTZGXCAN6TSdM2iw0Q08+3cdaTAuCay/1N0bFLiGltERmX/nnKdfO4GJPJo4dHcpeg
Jd/LelzecHV5x8Ztsk/SbVkFp1q19BvBsAF4ZdfnpSYzCxvEi0xmXL+mOVBzec5eKDYzjQo/htvK
cc/ykZoYn3w9EKsyk0xgzSXhdCaaLxBAxfToRTbxfLNvHHQhm6NRm+TsGVX71WSmFRroMUNF2DqL
sdpzXN/lVtneD4RDbbvcp6u4TGyk/BZotOOXd8Q5j1sEeo0XVkmGgXDGTrBxRMI7jtQrWeOUi3Z9
3naEKYDOvgC/Vy8ScugL4/sYZ9cMcoTOFVEBg8xQvBRk1K8cJkPPuaIY3zKbneYQuklWbY2CXt5p
SBKblmxTg2IvaX70qySPjc8IY9TRx61G75kimgSqJBuuy5x06an2ZPoE1h6oH/Jmmr0L5o8xzNq0
/5F55bJb+lF+ze1FXv0pqK2tR65Ou8kyKYutK2rWrayFHAejVNr9umcAdlXIaWHaBSnkjdwPms89
NOr3wTDnZR1Af3cOk+rg3Sy0+p8hvlWvrYjGnZFV7T0Mj5TEabdVjwOZbbTbILo8NCONODE4WCJy
/QWMBywZX6FQB3X51ahFsiVZkPgd4Ymj8u3yJVMZrtzKn7A6ywRhZWUVNFL0gU9h2SizmS4yvSkz
XQQ4T1oPU2hG8/JM+9I9+gD0H8QsaTFko9/cxf1iKNSewv+ga4B6L67sAI9ex+jAmCbDCQ0Pqjg9
ZGgf6Bin19SXbBC0UOezLh1v0yePWDr7PsQyGzznOqqAlOOyymVH6nPhTefIZifYK7aZcpUSPvQO
EROZSoJDF3BTTQzTiq4zoq5GiGnVAJkLwtSbcWNpQac2HGq/ykNBMOaWbcR+KJxAP4rZXj7TOB8f
DdlXsDesAqOAo3ZaNeKTwDp2LxrtbFLfGE182PYcqsKFMNVDq9+AhJBfdZMnX9JJFifNDPOhM2zo
PiUwC+fU+vhp+QqQI6wS/EaXOaXKWmvPGF7nRUva/xTX28Sdsh3Q9ul+wudDZBvwEkDifBCPNYBi
g/w6O/6IrIRAudSxrCdwJrgg0tIsn6BOkFhiRBygA7m4bKfKXcOr5yA1lcK9dLWlrqRLmld7FNX9
bLgV8fBR2n5ZJj+9yCUD9ji0vjybAGlo41Qqq/apbq1PMgnsU9oGBHOWbQr/UIHguMWgkHkGeSj6
lubl8tYEvDybMaFgWw1mO0bhsCQVvBbBMW7phuIzTxvCzapI2Qnoek732Lqjb6OBODOxeYlciz/k
ecI+CEsvZ9OG7JEkkbmL21KdWNvZgFRgfiin75IwgPm8Q+1pfJLQCR/JAvaOJDG0d86oB6ShSf9D
9c6NaBGwdo7+Tb7cAoP4LrOoDLuiBzgwFtlaS0RQlbN4R+QPZTh4dfHkTIML3pAYiyWf+48qA/mw
XuTs7JrCrPaZ403UaHHZvlkNzsNN3Hv1lSMS3e+mUp/yQfiPBL8VxKB53tNid/zSsQ6pGJR0jLOW
I140M+5IPWXgDTbHTc9n+ET8of7GDlT65JWMwbOxWCJaV2Vnp5taJQ895NIrkWQu0wPWFvANvUOW
rKn1A5ktxamx+EtWRFoqkZreg5wqugnmXPZfESzC2zStwT6DilHbyONUsoqrsbiSKpNn6yTIbBzS
Ub08wjDjG6G4uTPJd3hkuFUdELwkV2W7pKXnk7vGAslRw6m7TddhEV2SMbovh1ke+WvxPW+38T5Z
CGP47WsSDSTNE9fwxpHZv/TesjzMU/kB7x/kUk82XFL7azsL5rPUc/mUYtLddbVXr7MkeJohmOGL
Llx2RlqXB6jYhAmKEZV4ZpvyWYzcVyA9Xp650bDteK+J9lXjduD4yoSmp8NhpGVEQEGmv3pJLR8i
00SG70BbuToU9JwECpdkDb9nl0Ny3RzTwQXfPQex+kJySwcs1v9G8AH4/EYr9z6Jbe88ytp5nGhn
fK08fAqr3IpgUYOpjI9Jz9M0mvGeVTW66fd9AkPpKeRdb/9oqmgwVgqdKTLKWhnpmrZ7Z93kXHO5
dikRcF151WcRs2XBUqNkSehw5pY9gjhg2oK82WpebpT7Q8nnu0laXe8nqBch0jex8WGX1DtTuA67
aTwxtNK6/CpFpM7MDvsNJjX/B4EE6gbvLegFW/4X00tI54CcgPE6Nwey5yKXQtbLmFuJpecEY8P3
OymbCFq7bJG1M82h3du4b40LoRc8hoaVZRBa6dAjAaRAH+MMOYRFLvBa0FZaJU9uxcyHfOXxOYVh
+FGP8/SeUrY+txA4OhSv0239j24pZUGG+X8RExwLgHqg5T0OPbRIKU0WQp9YqTIW46H3PeYwuRZs
NLlOzhAEzfdCuADhxgZxI8MXNq65CuQhqj3zxE0hLGQPngBGieEwu4Q6E6ZK6G6nXHA8wP2INsmi
Yv7cQrJhbkNWjm037PkVdOUN/D286HVEhFOoPbJ1oM6yeusR0ZsXgJqNJwUM2M1n71tgZkANpMnE
D0t7zW5lpw1qfyuY3QvasQRCqhao0bOEXWxVVjIDvyV70d4FwKmidZ7j9SRxowZMKx3rUzF0zFHs
Kj9Ng0eai44M40CTvfRCt1O3/zDy0q2iPrU/MbMVxWpkIIrDr3LdDwIYqwsYIwcNLWrkpWC7XEUu
W/tBm6WVh569TK/0m+1NhyftGV+BiQ6TGG8ysya9dpgPbsbfEKownVC6DfZH7tS3TYwoIuzbXbJ2
rB68iIuKYB3QHD4tpWkdUb9Pl9lk4g0ajSY59L8VYxp74/vS4s0a7I2RjY+OQWc0USOna/XaU4QT
XlORgGlUpJ/klgrHuR2+W42bnXvKiYt9W53jZfZDzzOrO2NobEDC/NuSuWh9rF6ZryaZhhcVJ/k5
70Z7U2N69NctSM50LVz9mvTN8tgNQ3UHh+8GA0H/5dhReSgsz/xWNIO3iRu/uytB+d1HS5t16yYd
07AvxuWbikWyhzntHbqFxDHqddrENQFhvwv9/lsb9DfaILQ5KHL+39Kg/119JN3bn2mDfv+b/5IG
UYYGnotY0nLQ+iA3+qc0SP7Dw0gmMHb/KxTvP6nwwT8sie3t3y63/yTGwpm1b4Zv/nfSsYnz+684
2X4lwt8uYYGrJcdPuj5nhZ/lORKwwWD1GYeiPiadiA6AT1FtVIjYKOHuHS9BCY0iv91WxJRuHVNn
m0LH7t9oIRE73fSy/5Z3ejBrJbHZgSdc4Uj0vL9I7E3GCwxNA94QS6mX3OcQF8kgOgxxaT/3eRrc
TRKeHwtdiRcaXHpPtnhggDqb3D3/iQmdRepvnSflV8B82DQSEHirQqasznHkPph6jg4LndOQkNf+
kmRpAv4REtvGwQLymChGyND8qgOSj25ttMai11NcRBujy8dQuN68qUhHXidmT5il7Xg2vBLQLhmB
YCdILTAOAxs0CKYHBmpjP1kHTk1MBsizpt/gXMpUGHsCkF2GNUqLN9M1i7NLyhCg67bomaGY7Wki
AiOVbEpCaOIj8s59xtdIAuAsBoq0UT2kEF5wWhBLzIB5rN+156tDL4fuPnG0dTRryw5l4veIIBz9
ELPphk5lzxszE8eihsQHw2hV9jL+BN6XPk4GEGXtZJZ8tcjnW9dIyD4lcOO3fZOLQ1aJaLXA17pr
k9jY8kcInfEgPtVj0u2VYwZ3OMnHAxM8K+zmguNMDDzdafvTrI30cgOSb5qxbTYeXXLAKW0ltoyq
3E2kHaa9rtTPLr3vMEhrEXpxmzwV1ei+grmJNjC4OjzxJsgQIra5tfaBWnim22iM57jMs+d+nIzP
49gO28ztor2NpA5pBZVqWyPdEpT8H22Z0d0v8+oRPA16sEga/Xlsyo60IOGElqQ9M41nJ2n3qB5O
RFKByJ2g1Q2md++JLKFNANh/vdDosMvKhsPbuRsvJ/cuFzMwSYU02EnmYk9XJ6wiEHcqKzdKqoei
TzFb3/LkvV5V4Vh26Z5jcRI2umsvTZ7r1zSL9a5SuqYlg56NQaHx7mGO3PhDNV9K8nUAm/E8pTxW
W7JVkMFCJbj9m/yIOx3sRsg3n3EAMsThxDefcb/dUrtr69Gc6CX3eADuaSgtNHY4NY8LFJgyqO7T
Ao5kUvbLrom1fiyK/8Paee1IjqRZ+lXmAZYNKjOSwGIunK5FeOiMyBsiMiqSpFEro3j6+byrMejK
qameWexlIoVnuNPNfnHOdwSBTbcQMZcSddMslISFg0RNyyW9z+a0vHJzxhvQMQJAvJKHpGFYJJIG
91Jp2qH2eoxcY12/5iWSroAZ/KrMs2RTBsVPhFvxhrageI7cG0x1br01/0YVDkkj93oKFhwCk3uo
RO/vyjK2wXbNAV6sAhhqYQTBpo1NP5wmMhnbGL5by/Jsw/jTnHaeqKA7Zwjw4b0JTVVBwOhdweZi
bdST56zKYi64GnPniGUN25wzyWvaGc4joTFkxnR3U70A8tKVuPiVO+8Qzem1q6V1iX38ghwyGwSc
V5Og9TwhFyY2y+GkLSf9nKs2+UkcAUx7KMbwnJboPFsj80jPocXi1N87gMCOXO8ofEYXRVypxdbw
PHmFr22yHBSExJUs7OzaT49S9WLfYxr7bN28eeRk9g+5V7Xf7WZQAERZJwaxLBIqgGFAu0N+Q3ag
7A8nHv6GuMlhmHdiIaponcSK8VZX30IEEjIDRBf49V2pTawmQxtTv2BMXt/kKFsVa/IpGUOTehrF
SYh+0uvRYpgOwR+DRg5hOaNc6zRiGW7A5SzSagGNhHWVEPWcz5nJUS/eC8sfHgybPBGET1372jFJ
pGOIYhCQbXGUQkKEZp625Uybd908lEeajeQdOSQdOeRWvtfJjc+Dne62MGGqFtpWMDnnhOSio+cS
1Ldx6uBrzmQWH+qybDbj0JdHP+/Em5sG/X5RZGysdO9QKfue3KHanPCjMdP6mZJtXrPDafufXud3
KyKy+rfCCoZ9LatrmRhAisZuX6JKYu4iMcGUKTrL+gaeI68s6Pn+L+577mXw0GQSV29u0eaHQBEb
FZijd4jG1A/noigPiX0TkhBMQJZ830SI1JNRWztSzt3pINWsg3NdRFb2JXEcDY9MVN2nuK6cadvX
Rv3R8VX4iCK7fK3yxLg0sSyR1xBqzVeo5dWKYBlfauW25J42kfsaa/zMRWCcSCycohPoqTaU8qZM
FdBmQzN1RieUt+c/rlvnsZz8wqfdKDssqbP8ac22eOQq7PzD6KlcPSD2qg69Z6VPA2u9JzRJEys8
q0FfqIug+YmZF1JJwi7tG1W184kMcD4QwCqQLml5go3rfwWFZ7kIBk0F49wS50i5zPvgJDZPJGzJ
Sznd0piy3Ntpq4Fy0RmNZMYvG5S5snl0Oa2fkLA2e1Ua4Em62BZbJls+03nXny7OgpEA/l688Rgc
bkcIy6tej95rl8AvvAI48dRRZ6zwtX9StoJlC3h4Ayg7wtAbmI1JuFybvo9CDfYKM+bSrciZ6Z0N
UW/iuzSTprxCGFOQO9PyhlTPfXMDBqQleskOrAerpAM2LCN+SEYxvuHZRbdgjM5T1VvFMbA6sbWd
qbpGuDhfGJ0lB6qajKApzT9BrTWSAVa2xGZO6bgD0tdjAHD9kCrNeBCzXQG4HpDcjUv1BTbY3iIT
MGZYWpF+aSerhOusmpJGrcxoa7LC7jfLchMmLokuaEOLatori2y1ETUVzdv0A0TniAAXGmVM+uiF
TrbA3p1YzHVcJyQzF6mD5v4sVBMaweQfkmJargOj9XULpQ2huFkY1GL+bppUnnCoZgWiwCyq+ulU
RwhsSYkcB3vvddMyHrtKJUfKmQoSvoXmkrJBPrvdkEwhiZ144RH5WPdZwwJonLHQZkslu1C1TvvI
39oKhYq3RekAwVgwvstNDxP1DetezXGxLru2e6sjuawiJeaDpex+S+8Xcx05pMo2WJ8qy8t3zJHi
K1R/4ptdnlGX8cRZEgLCchvOYuquavcrMQ83tZvEXBwJxFVOdrS9t1aP+E5zHcEdQoH5g/qy2vaW
qKc1xnX9zUjm5j5v0W07GZmMa6iz/l1lcFnu6DKlWndZsPMN6H1xFuSkmwh3r2Aa7gRkGMRuUjd3
Vcph64vBok8satinpjUj5MPoeayqRVxkUOj7BAEYo0yEqyfgr9mzBsOER9w0d+xE84PqWMGzRnC6
jaqr+YtWO/dgUYzqm98H0ZoRNPrUQMFVCtEzI/hnOwb7vCpQmm8mmJYqWglAwIgrhJcc2EWmON5r
1HARQTt7gQP8sFRtvZVNW55LbzDv1OihaRuH7HVi+mkfdawNBu8WKbNBFDVA9pk6njFCDPXKIhqH
HxmYsbaMvXa09WOgab13xxvXjCWZ+cRpkwge3AFbezKlSLh7OJ460scsDs7samBOZvmGoqfexVEZ
n0chuhUqVuNjGaO+22n0Q0fisD+IAQ2ueOWhyc+LnX8NpRdfM05Fbn9krKt2cukeBhKQb5bq8kKi
JtWboc3X2kyDey64BnLOyCwzMPotRkMi3ybGFIo5yE+Rk1yE9gHhLMFAFNDeQPbj6FmcorXxyvaY
MwQ+ajSRlFiau4yEQnZAonlcRklg4dTbzh1ZkEGYBsv0gQwiepg5xXdAOE0gwejfCiDL4ZB3X62L
8lLG8Ig8YdXcnHFE0blYa2GNd1FLUcB48uTwCW3UnHkbzUDopcbTBW0LMWFeN2pTpJF3mTF3vlpD
e9fYYDfhuHa7vLLRwnQ0N+dWxNlJZi1JxtLOh31Fj7EO4sQmfkHMD+4NqQPG/pRX+Yu0iy8j8q+9
ZiaWAehhhAFaiVjvkcGmz80EW7HyPFabjM2vedMUn3puh2tF9cXeNorPyZIle+nH49GzfmRAtfu+
d7dAWgmYBPTt4LGml1pGCBZzsbW4kBiEsjdWKN5jgkyge0Q2WZfJAQjTMZnlGYTgKVtSeYk9kgdI
8mhXZEeiI1vYQIKM1QYlY/GbP8JBXnV6fK75Mm2Bvla3bR7OZtACREmRCRvPVLRRG7snvx/cBwAp
/lGbtd70qJIwDCDGjfi2n4aZofvKqVqLErQEeDHk5EXOPBpwLXOETNM+yqVEMZYe/axnjzKuLT8B
Wqh5pgEClCJfU3WkR3CEWC1sNZ1azI5rhOMVfVZF0qjlFdZWkV8K31mwbiiy1l0vy7R3Yek3JjXE
4mo/xFHYrWKp8kO0FJx/7ChfrQiPXJhA0r9N6o1TEjfBm8lMccek3/rWIuqEuxznx3paCN5EDHzJ
DeFuxBgQCoHV5Lvv+M436S31IxWwYlwNlDsro+rglLXxaJEy/5gtTcZZiTOCAMo2Obe9Si4IE5aN
SdH2aSEmP/hWjUqIIK7fEOwL1qIIgxq0I0Uk1rMZ/TAn7j5nDtG6iRBJwnOjCKq1Zy3ZlbGwNUBT
HiZ7CJhwj8HTTeyyLgkZDitCxlmPlM6mcyx/LTwwcElphYz21xJ9R+K4dJFm8aj0lFEnlO2HJUvU
kAY7DJcW/9A59p7BMGgo6NAExo39XR/0HZPT7FFgbRCQQFa2295V9rfGnC5DZm4Wx9/avXzPkvFa
jqa1J9vtyYfnGxsFVpt2H7Fd5lqSpIlZlQ4pDb+BHXkrimBt6/SjZbAR5i2ruJj8hEeFfXof9CzF
uWbKs5uNNs9xWx1I0Dv5IkHKOrnLSbaJsfGEn5M4CmZuxnFCZH2+j8wyPYxYB3aOHp5IB2MNNpc6
tHMaPARtTcbDUcmDKWiuFrwxn46tbhIPTy1hOpbQmgfOSBuMWlIpZy36nPVWgIKhyrzoNOWi2Bis
HfaBRafPzFl55xThNMYYb70QXHNo84zNpHewhuRkFfZ+cYpmg3ZRvNS1159N13NewJTfcPK6R+Nq
kyqzA1FbIPCLZrARviI5b+nS+tUYg3ztO7Qoi2Rry1y9PhHNop9A6t7fdkxqRvjsoz1NbHXsi+ar
nER7KbLZKEgcMMsNB/zRrP01m/liy4ipPigfWHbjELdmZ+18WWxLr6Vnm58OPx8+14F5t1dOLiNe
vzlo5fv36JMFeZ6a9G8vuAHC6o1uJthxGo6gA1EwY4nkSMN81JHq6HCmgFhQsK82cSiy3fZsGXZj
Cj8EeiFvfYYwHQFXAJUCbc+qbsW5gFK9lrUcz94c+WftVGjwzdW0EDDnoI/t2NcEwROiinWaOPdz
mh+KPv0xxsPXHLcsysy6ohC3G8AaQsbNvrMA+HNtGuEocuISbcPcVEYxIoDVsJkJc9pzc4FaEHvL
Y3bt6vWIrnlFH773SY4oY6/YcNt+ydG+wzMR7Dpv2eMLOgkynMHlzNtG6/fBBskTTo4DxoXr4Km1
zPnOiZL3wbHZn1fGK2ka4lqoqf8gK6be8/tAhylbPBqIg9PQjVGiGE9T4Fwqp1mT7WiGXlXLc0OO
wEoJ+40DHNqx2YhXB5vP2khA78GregU3GayV9MF9t8mWGjpsMQfOVf81mEggNVfzKvBadM+Dz+6o
kD8zzz7IJD0UeDOSsXhuJNEZrLXCtNGEtHCBb4sIw0/h7PJyfgOlSD7GbGSbdCQzfZW7ef9Ek40D
yE0vKtLpLrD6+7HNKfXgnd8TvPiiqmAOvQm7n5Wb1IsWEyMPlyA+pHRLTAdhlqmdM8qz3LtpkmiH
c/R9Wasi5PlyY3fmRrYVsniWzUc3OxMYciLXJeXrWD7dLFKErh+joAv2aTewFQ8mzBPDEKyHyiqe
UWlPb0HZH9WCpCKn4UD0NEE/yKddX0O53uQEzB3SHt8dKn8Q+laCWa5DDtAsOv4eZxaCfM/5oOV/
dkieHO/RnwxW85vHnOt5TGn/LEpfWI8QestJnw1JdG2J1mVrToSuuzYba7IvrzEMxdUwVPUruMEF
QuQMwCglHWhDbJ1alb1u1w1BQmfbY2JG2xBttbfIJza1qPfNZbpUizsxy7RlcwCNOCAcndJ1GUxn
wyMXIBjVxAdlxrsawuXGs70ZglrtpC9aTO4dz9nGHubzLKPurAhVWVXKZOp1WJTtb/i7HepF1zjA
mGNz7ZgzgUaL91kvUbfHpfAUROqpgPO08ypV74g8yl4RmRFILNr7wUGZgPALj0QjoxtGadjE3PPU
ySxOVeK6VOH1ozQRegAG3syLB/adXU95WOqsDptxfBcVjFPMMMlBkkt+AeFyM7gnBiPiPAOBxfiG
anmcHP/sxTUWc+ZCyI+E4s9FDkOopEyYUDU3skTMMCdDJ8J+bnpQXdywq73NwwPTG5mkTtvMtuNv
2SIyBJBVeSwdOdWbjhzhdGUQt4V7b0bXMaJo+44QF7tl5ogtjkyokEkGFhK1AcFuZsve2qttg3Nh
zq1LIDwdn7WcT6VQxit8u2WlalqPDT526xl7CDICG8tCt8qrQp2njpKMaGprr2GfnbCXlDydZbEk
q2mW3p3nYK6N4q7Z81ecjWmn/Zle3n5NESIerF6igExqSkcMWeexpWEqDcd8sEsRX5EpOrsmaSFY
4UDzQ0s2FrlqAzevrgtxNnW/vpH4HMzQ7UoxpTgHrbCfhsKOj8SJ288c/ORlSCfZ6bhhMWtCw97Z
qnCa7WSiysF8U08hzX/N1Ud+2+w2mjEbEn7UebOdfPiS82KVIlV+sS3/MpAdxDBzLO8VqLDQmtyv
KDCdH9A3ce6DZo1+g5lWPFOGvCuCvFZN1j7YQ/eMHEmv9W3gNSzjvl/meotAtjsB3eRxJe8uhL6q
95CoS3bbqbf3aywNZKqZG13BEYkZDwL7z5Z7VppTyB6hxxKAN2G7ZDcjkukyoJPgtorKQyek6jsf
dVlYN5NHYEz/oueEBBa7/ZZa8MDbtMDjYAt5t/Qxflija767sY+a1Yy8ceeIgbgONGGoYQWNTRw9
J2QDHOCMUO4MZNb5w2lKleLAm9Rxtr2fKeX/LfKrx01N3DuwNzQbLMrRheQFlwlpFjgCeqs8yyW6
R4xxL2P0RYnnTyH6m3pb9fZnCe161YrUuUwFtXGrFufUIfX50DImm6EKvge95e8l4RorqiQ3nEkz
5fBw8M4WIM8Ok7atPbcurbF9JJi1fFE5sifb4vErPSM+DjDe9zR244bi/aFPJeByFlNbr+nPFoU6
4fGaHCGmkriJl+6QdaVxRxx7wBDDfU5qycthzVm7LKtXGHQ1nifFCB+UoZPXIWrVK5FqNxwX8To+
avmj5cc0xUQGMxmSGd6b6dGyW76cLcYubyS+xY6Qm0y9e8Le82TyJQIqNm5bDQBt6vPnKld3M7ar
MJHksWGOSuHnZ5bnhWKArI6susdGWrFMgsx245YEmjN5hJl+CiqnT5gCtC4P84gZzpIcyFbQ1i8z
YSG/VcJjalklAd60duHjRTqPTluvyetBCT0vWb2tORYvfdJF9zgel+Pc4x72gz6/hbG+iFg+yE4F
W2IDP6SyTvkUnzGkeztXoI9pZ+choC7CXD+EbZOu06J9nQf1JnTFoLWrsRVX3srIHqJOJ+uFBctT
iwQmtLFNPzrYyE7gj3sA6zJ5FbaSexbqlDRTV617hCfxYnnrJqndjefXxq7og1U8PEzsmi4xauij
4rv2QWxxGoW5V1N29/CGV4PgGxATZWcNBHmtGgwvG7/uj7F2/TUmy4MlOU/xYwBq95HJ0a1QLaCM
mrlOCgyYoSlck5GjLHdOUwR8jH5hv5pNctPODbU4+FNe/sBYiyCgHuzqzD+qjqU/v/Q+I6rcsLcV
59slmHOMb4aejE/w98WG+3AEV7foQ1yXhDYFbW++ibQ1cEUVznnhUX6Fka/DiRk7FjESA6+cC1gI
sfrk30kP05+J19PXMTQINEuhLBPLibwbUCpJ6g6vou/SqzYmvsZzxofAjmlM7hC3q3mF14EyM6+B
VePe6g7JVC0cV62p30fTEy9DYiXlLveYU5UxKQlMMl23ohq082ssEEyETo5+cLXExbjwlqRujfHJ
S1/QLSD4NbgkwxIn9paO2t17GFgIoKpqmz+LQC8MslG/Ka/8RCluhITtftKWo45q0kqtzcb+zCn4
WLgtDKxWhmIk0g2mf9J2T3Qb1uqqXQ+I4C4zIVqUlKZ4K4n3QcbNMdBdDEd2P5zcTr2ws6NqWw9a
/KYoyLeLduXBj2J5Ycs63RG+RsKVZifckq21rdNcPAzS5URLCEQz0enz6ZFD4txcpy37J/KpMTQF
t0kXnqrO0V+8O8O27CdCvwjl2pvIveTksoYkM70MlSuMUBHYcukNOT0xWUu2TVVgrgOmFvpGU/SE
ekvoPDPAgnjtySlZe9A1f1RV05MRmJtQjI28eLH7AAMtU9m9N+XONUdXBUQx8kdW0dhNHYKVB03I
hOlA2DHbKd2yUdyhkCyxwPkfQOfird9E6p4Hv8FyFwwHUjbtK8aFjwAjPcJ2atrVMOp3t+6xorox
OcXuAkBM52u7LggUMhfUPKRth7IvlnUzvwHNzDps4o5d3bERJOttQMoZ181az1m7C1J/eS3hpiJj
RMU3qAEU5WSBKczbo1MS6Th5C+RxYSZbKGLRIx4ozvpBfgcYkcwbVSLkNgPdXhSAhs3ECOzRzSKM
/qoU7jPLpmWLdjp6AI2ebntsaO8ROIF8YeiQBRFEjLYtXktMyCFpVZCGiMZ+gGrl7LSQeQGhs0mQ
kXExLKFaouCUMpak68iUek5goD/iSiuKjV2kMW5h2wRriawKcAaC6jU+Yvo08mshpk5P0E6hvolB
79wpoEGrblu19IAEntWpg8jndlMDvJUbLwBoXyMIWNXI+V+nAWYtomLCznqN+2wxrLVKR72pRP1M
Z0aV0rvtzick6aJGpbfFnKfrmVQi9m/RiUJEnXOqSVSzNDQzDmYM8By15EmQ0cPu74KKTnzzsHgW
sTluVerM+67vPSKJ6vZUL1aK76ozH5PR1juWDIw5+3pEIE/V0uz6coyeEj3JO8aV/CiKpaDXlO6J
1TSezcx3qQ/cub5Y0SBCtmu4i6rFs5FR1P5yLpfJ+zmTrJjv2L7QA7J1m45ji7vXdxeeHmapz/Hi
DldnqO+NeFmXTPMuzdTLg5t7KliZUlSnuIwZxjWmWPgDLXx5BVWGGKjqZzNKq1yNkpWKVznDbznS
gW1v5NGe2Dher+pqe4cg1Tq5Jtk52FE/Mo2MZxNo0gYRtpfpK5/v99lu1G5iiMDVxV59FRcWbdsU
AWHv3kyXEJmEdDaMTFZCRo7LmI7hDvs7gHeuQ4rp4gxyM2aSlWKLyX5e0ET6TTm897Mz3yuyxlZ1
46lVn9AY4NM8eaXoulUtBZcNO3Pqfzjl6WPfYBQkkahzSCPnhO4r855dwzaFxbEqxPxi5SL7bTGK
9LkLWu83NnDBWQzWMR0UiXH02wgjfXts0QumVg7sxajeDBay18oCECvK0uKpAP9qZkT6jYHq8Sai
nbWxBkpGwdQMn8xA6TzsxrnGQKThsk6gDvyyuLL4h2GdlEG96ibXPMVFyldbIeLUhiCqpjfeiQRu
vwcJ9Qb5hto8MX3mttFKqM+IYSVtgjvKHQE5iphMEfABDc03BkPvUFZ+jFOQc43L9sWxk/yQNgLD
Addp+mbRf37rZzR5nELmvB9b6nR6jY5uCgMyUXSQe+Ig1cTWTuWDD7g5jEpfXnvI9hu7hoq9lJle
QiZ9/dbq4soFizOiyRgRYpJHPfZGOOdO+PcGJ2MssV289oGNF0TUtCJ2RcWEtPiGTYpXYvg7o5ns
h8o19dkz2Lz2nEePiDwMUsII5KZon+5zEbt7u+/jt6QvnRecEsTeGjfgkIO+e2UYrt51w20+bmSt
BTJmZO5ktoXPwquHVoAVoUoFYiIv5iZIsREUK40KHhBQvEb9bwPhgf/TlzYin3KRmO0rwr3XEv7L
xve6n8pKCVCuogYLpkLO0Gb5srEdPGrM9sPUtOD7cJpCYpiLs5Hb90Jjse5kJYCqLN4drk8IO+k0
/SDAttH4OEcfSGc04vwVS3BHaFfxyJI2eLINd7pngS1/2H5SnoxZslfDQn9UrYfJJI7zIXQqKDUu
aJPD7PRvHXPobNUOgCocmGpblDTtjqsUvQv2nutgF49I8LLzRM0FprJz1u7ovxK+lKw7zDCUkv6k
Xhr0Ovcj/CnQvIOrXoklYkdg+AviplTXYe0sl5YHArJqREgGgeCHLsl2STEmR1GkjCMj3z8qgVSW
hK314BT+niyp8sAsQ4cL5g++EdN4tGqEM4tqmW+2ngfXBf3zW1S2qD4Iav9mSOfRb6OXYKrH+6SN
y7UX0cVhK4/XxUiodzGph4Q9YYoaag9siO9PEMynWdVMXvOpvMOC1IZlmx0cytkHMj6ZG9BEnYO5
AMxD8+Rcai+o9sz9Pv2ufnbN+RTHLIx8QxzLpmBpA5EHoGc0mW9J2wBxyUncEK5bvFjYYNNVz076
UBKHYFWSAIkkQxPiQn5OLbt5zTPeKB/L7Io2ucGZxaLaZPmAuwO90o0kOubbGDLKLcQWWQcS1LAw
m3o7Zj0DgAloDmjumL1s4pr5A8e0JgnVzaYNN0e1ZSdpngZbf9Wtxayni8Ue0DKjPWJw6zvOLRGi
/5qP6AlcttMxSIM+nu58QBR7KIbLIxLLfLOkESOpwCofG4qLx7Gf7U2cFDU50RprVjJM+kScaof0
2vJ/ysmJXjXgnFWy0JQykQbkwjefCGzWS8G3Ms3nNb5lpgZJZWBLtTH+lyIBn0reVZF4NiEXMr1z
yo5B+ZLgMyDzs79nNpB85vjyQAyR6hU6DCKRO1jyNMvOfSPzZeI8WzqmhpMA7DMHbThnU45uK2Wf
INzgs4kC90ihEn8yJLwl8N1GUU6jHlKa8IJGYMDz1L/dRkHfzAhVFmBls39fImm/Mt1I39GnLVdm
G86G3B1js0A//0oM13rEvMrmIKry50hFyYa1AO094TSEz9TekzCBSSRDgxMKVMWjjlmfh7U7kOqT
qOxnZTn6qeR6ZTEzR5AiGyHQThB+U/SYbgwVRcehcJwtlni2Cp1fmvd5Po/vjFnkhZVVvvErf8Dj
PLrdlY2BS2AIDbhRzRmUceOH6lpS6FvuzyGPjtgGMB04or3GzWR9iFIzVsz4zqxKNNTciamBMAiI
Ut8s9oEMOgPKlIFPbmFdvLLHoV3npVdvl5ZBRg3JNoQVYP20lR+dUOjUcGoNLDzYj4bkXlIcbFnG
RUdi5/IdWLSCx5ZWn9aZaQHbKPtxJCj+UQWEc8YIAZ7LKH3idqXmEfTSXL/Ovi3IqhVjkp1ImZxe
5EiA7wzAMSS0uWdnTVm7pkbOvgUYDBlGG1Hypl2PmVuQq5GxA/PtBV0NR1RqZFvPBAzZ2XL5KAmW
3vkJ27uuL5wwoOUMA4V7je3O/MQ0rN8L4d3UfbfZe20O3U/ENXPoV7F4WhoSe3Cogx63525F0xUc
62yUzDTYxPBVbVa9W4yMTzpgSexVcVogy0t5LNlgF9OdTvsHLGQ9yjiygoYg8reoyag549TYlaxu
njqNXyXWndibLma8sPOtUdBUYvJYDInTrF1K2FG8B9IlMDXNZXWo9BjdtWpory78Kjw7/P9juA7M
8j3X5y23vjhwjIuOZjytMieLdkWuJGfQ/0ErppSy83mbkGFAJrJffYmmijaTiPL3HOQDKxQkwy8y
Z/8hUF/d6zJS37Og03fCYenCnBYxbEZMFCeSKh/+LgL//y2X331VN8Jk939v//AnoZQtio/+3//4
y+73X4MtvYEp//ALCqa0nx+Gr3Z+/MLjx1/9HXB6+5P/09/8B+ryXwjhUahbSMP/eyX8t6+u/7cV
3exH/gdE5u9/73cdfGCSVeb6pmt63h918L74m28HjvTJKQO4CinzPxGZtvc3cISeySBbBDYWG37r
H0p42/oboxWLyBfTg5nuufb/Rgr/R5ix50qsroEtA4fqnkG7/AUv7LlG3ORw6nZtMmTbhroZ9YFM
14xLfMgt8+Gf3p7734Xt//ZPySjWr3p3Xg93pO16Hu8IiTK/6N2VPUVOYAZAQrIuJsU3U1+sAZsH
bZWIgWbgD0W0MM2BH4O+dUFVF7B3EAPYhYidjbbJEtSEe/0LJf7fQbz/rMO//b9s3/RdU9g28/1f
gJ03q7dLIJm/AzPzvS/5f4At91dMeihWXTaUCyJ7yBtkIbB0TOaLaAfz+NdvDp/pH7wAt/+DY+Hc
N20JrFT88n/Any2jSQ3+rk6JhgN5FB19NvzPf/0qf/KJkwvsCzL1Ag/O6i8AZo83GdeT8ndOhUop
G7+Re5fuxzSvV81I0spfv9qf/EzCATbAJy5s2O+/PF+tzd50In1uF5R0DxNTwZUaavtfvMqvuFXe
uYBvBPYQeDywSH55qmyECM0oIm+HioAfI8P9X+bDoy7Sz7/+cf7kzQssyK5ewM/jw5X9o3FEGAvv
6O3xjVJQCIWhfsKpBFfllPeOyu7+H15MOg7RTq4whfnLi02DWxFD7Xq7ynHh+floSxPNlqxYIJdO
TIL/+uXs22fxy3eAWgD0qMuJgF/nl88qtRg+tF7s7RrDpQvRVXAeiRV8zNn0HqoiIcAQcsg26WHk
LJWqtpZZRD/AVjBqKKfmEQ5KS2FV6LUDj95ihA9aF9NLDhoa42nPuKxe0wkBAR1UiRGswORGLYV8
c1WNDaVKj9oLVo7UK1PJh7Yo2t/vqN8vgD87f27A7V9/RtDxBCVBL/mvz+NYpvYo5tTbxSWKLyUM
/zBrwWJeixeDNNFaRd2hbOOfnpPUWNIy+3mMuZj/+q3+s+c14OR2WahRpf8aKtmq2S25tAO8BwOc
ARfMoonA2jIhbfxvXykAQI5xGwmT4L3+5TNNanx9cHn8nRelRThhdGJQXHxHMWxv/vqVLOn8128H
iB7KZRtaEKmcf//9f+ItNyTRGZ7dsfnAorihzsCywIl/j1l4epQGD4Ld9M/YelHwDT3cn943mxAX
Z02YSTXR1nR1viOC54ZHGoR8ol0VH0I3/h4GD/sWpxnmp6Dr3XPf6+qE6SklPxHhHFPDQU3bnPUN
9gILODJKxYMZzP6+TlwJxgYSmtF0zbptG3wWog1AUA1mbq1EXJG7PPY2C5HCii5DosS1FNYE0zPp
5CbWk432yk+vZBmrD/h6xcFlkb4x84BCN7jJbnXjHbKm995SZ3GvI+3gfumAaxoRYxgRtBKwhR1d
LDWvAyyzmzyqC/g2KTvBwkKFyrjz2bXb+s0eyvrDx/WxAgSP6QbBLSb0aqQkLfW8LYMy36e40Z4M
s26uvln40KuAyNFVT/CzptFp3upJRxdQodFrErC+0UXjf8rxZlKNTOed7MFvZW4zY8qMSp5U316d
oHXuvCJZAzXZY3Yo9iVGD9BVOrYfgVxX3cpJpI/G3umuiwakEPeN3HVNm+34cWp0StiCI0Lo191S
0TjpKp2wyYOsOgegXOgJM+hFrAmjwQNk06S7vBn1FyUT78lNC5YkWH+rfLBgfUYRb5ljDzDP3O6b
RZn/KlxfwXMQdQeFqDWDV8o2LEhgi/oXPy/cwzAAJhwbsMStFO650RKxb2NGRGfF4KzDZuHqB5wD
r2alcrca1pn2SSmNg3Zb+nzedqd5+7TRiY9I4nuL+Ww5hLSVbtxaiPektucTUXvuO8o+pvG+mSVX
1ukmjgmY+R0GdrP7D+rOZEdyJE3S79J3FrgqyUMdxnYz38x3j7gQHu7h3DdVKpXk0/dnWY2ZzMie
CjQwlznUoVCoMDcaSVWVX+QT4I6JomNZkkXA8lWb+AX2zlC90LvVAGawi48+KPgOYRJwx8djoR4r
ICTQcjPTUVgtOYgpuYZnGn4tKXAo9JscygotzUmxj9yO9p2ixPvhljVt1GIQ7YZqOxyi2GZXGbSz
vbuwwVnxPqh/CHJBDANbmKCxjyVJEk+gOKnUhzHB4ScWC5JE4aek7OAtybWNVW2DunBb6gkPtNeO
6JKNw9+bGbTZVRbBCEfwF1mMTJcv1+ipO02S4ZTFgbxK0TwevcaQl8/n3QS19IkE37SFrYYJl7/t
YKw23cX9EB+iwK75fad6kzKx0ytmE/ypWaVxFLVQqEYvCq+8uf8JkrHf5lrii8/6/nucxNB0xtTr
sfdA2RYWJ9HSHZn547kGzgJIekPrCVcfyxe4hQZ05TTDkmokXAc/SC9mpfrdJgt0W+CCPESeTD7R
eYJkVRbG3I8FobyKn/gxCT37UORWtTWU3O2tiVWYraj8GCF43buxmg+xseq9VBp0lZs6Ow7DzODd
eDeNbBBxuPlXWHeL7RRqg6hXkNHhvBjkETSxqB+ogTIEZlVKVVmRPEPghFaCFHRnYXm5AiAdv+eR
8J7dJRi2qPYeukMi9YWnSGTBDlpK4oac0x9+bhSv9JSXF8dfx+YYV0d2lXbjWxRJoDqtDegmIEFI
yEofZLI0N0MFlhqZwyybtiETkALLRVO18Dj5uoBEV7Px9oLlVnl9th2LcHl0+1DddEuZ/yBBU+P6
YerPMp/v+76czmpszREzXvLWAVxY6XKJn0XvQ7aXs7Vp5hD2bly8aRGLfatq/OJNQu8qRIiqfoAJ
iu0vq8XRaATQ5JIgWKDnVyglu9YT5ifFkwNZ/g5UB8+a5byBafNuGPzeGErYoQkV6XoyNmkRf3au
q8HDlySirNpJskuboGrNrqWEZwX4mQMFGO7VIuX4AG22yXfSx8FdDcACCN58YV1b1SYMntgkLXvd
w54jFfzCSMXeO2Sktsa0zo3fDPddLq+9AmRN6FhASniD75OkeXcuJjcg5pOHxwEXN+Xy/oD7HDdi
li9M7FxDIl8b77Y3OnlobBztYZICUI38G7/FNEcghlwsZqadMbr/niA+4Ld2MHDPmEYCiiQLDK1m
JSYj3poQOJRTpTNSSoKAGdmQ2dZ+Yxm2VXPTPbMvmzAT5d6hIha7l7mp1g4vm1voNfgyeit+zPi+
32RssK6hyqE2VaIWE6/zHnAz3XttuAHAjBEnmGU5bhHDW/yi8RKi5zf4w1JeXq9jJtUPIplUEfUh
et0xhRaEttUw2hvU8jWDIF+l+YU7GOp3AGvtkX9uWQ3RpHaFj0ODNol+o+bqgXf/xublg3XKpuu2
AJpMOrz8xuSlPxEIgmKj6Vxz5gtRuUqzXZ6TFsW0wGNs5JVckukOsvbLSIEIExDr2asMaR4W+bMA
QLhTcAJLQGcOBpREGO7cUlVr3GwktYT9GObIX0RprVWM6+QwoLOdpllRj9NrfdQJMWQe6AY8e8BN
MfYuiLm2EnteKdY2kcpemQ4M8zzU7ll3TCYb7Nrf2shX294nAwwm+6qRvC0mFbdfLEgQVeDBHOjF
GZ9TKtSbdT4F5qeslsBftTYFy4VUy2pZYps9YzDvLCtqSYK39RHn4lfrEp+ZTOI8YgOjm9Oez7kc
y9O8BAH9eR68Ccexxhca5dIvxkdyS1JyvusR7I9h0Cc7q4nlwxJU6Q6z+icTYH3rNFa6q3KQvSIq
YLuXhS4P00j21BSguHVC3GKo7ft+IcKlvMzdLdE47RZCPzBw/LRhgsCdEE2uvXM8TcDRpRK9nfLy
yp8xvq2GWhORmUq6HgmEth/uhHs0QXEecA5wRWJc/vukiR0iTG1E6FJclb5+m+XU3kztdDtVrfoM
6k5fY46k2dupJgIO7q32WrWNE6XePSWCPYr8eGRGuEdsfaFlAmC9XoBHQ5xuTm1SF9usox481aJ+
ntQ03MahAeLCInggY3xq5lo++10WkayP3E3P3P2zJ6LGys2mAK5ISyAGisCmc3k3l61Ib7HZpPfO
2DRrEF5ihTGGaaZnV+0GIWM8T5l87eZmoNtVX2fuSIPzbLbMgejRGMpuW+lpI1vIUIxSlz0YUpjL
MMrU0oU37oLv1c3z/J6NPZJxirl2XmiDWDVe5MJ3b15UYeW7Lmy2Y2l/NCI/aOMMR0BtGHNAUoHV
CyFnw0hk7ZsosWJoBVeQhFDMeAQ31G4W80x/SGdFp7ilgsP1sOJ51RMenXrT6xLDhQk2TZ+STCqn
chuloMQFhoN9Brht7/H5K1kHH0MfJG9hLQakWZ5mMwvguRSudf3zPKiIaAqAWEu/RIVL4otmVi7t
t3iget3LrI8ob19cr7xpcvGYjqxQee3cgav7mZY/pYnGPYZjvbLz9GkQOlvVfXfqAuZGgXNjuYvG
7KTVdSUt4jKxA6w5LveJ8WAJTSEDB3j3rFKQl7tx74m+fl28T6S4ahe5PbEKU5B6psBypYMZgb1W
+ZNuc3KtqnmWS/Qi+oL/9O9ll3yf2uA6c6pvvhsMRD18SFmVhG9WZ8+ZGx+Cun6i6fFb4/bHjsrI
daCaW0+U/O0u5iPRjQCogMithqIFnmnRXkoMyaBFuzR4mH5nRPWADSM44lj4gexwFGbe4OAnX0IR
wIBXfdMXWXIQjjveNXEa3M1dqH4OVRUjmgVHGJJkM5mx7cbELPvaJD/A2nMw57j/NPRY8C+HfB5Z
KxAfTIW6Xa38dZrUwU7GdnWaS8qfGG/ikMsm0W99hnFAhyK9URORTHw/chU3zQ3hkWmtmom9SgdQ
wWPeQQkmRwRlKCfVgcUehi9MLpXptavJVfh+Q3MMvzfnVhIEVvgYifTO97BJC1d+H2vGrpig8GCz
+6xLnOZBwjsfQygxh/ghW7wbr0heh7m5raFg4rfkd08tIBhFWMljli1YKv3m2R78aS2ZdFIo070V
zthuSJV3q7z9EVr+KzlLYs6Yp9Zzp/jRZPnSuZ4+M0CrXybEUOoKg+ogwaMe/MVtt10CHKHrVfGe
j3rAAgFRQyOInMLmgnIKe2tDGJ29bSi/N87F/CIE39SGhV0X413g9DMMAg/QNWW1X+GceXcgutjd
Ca/azSASd3gsBtws9k3DmQXGgx+dTJOwOQIeELjyLAcOGEEX9W9ZZwX7Jks0CfjlsddpSzcM/RJj
egvQY7hTPRbuiXfH1o8TcdPGLlPPYuLcnDvAGBaXmbu8jJptweE4auSrV8Ie1DSE7dxc2ts0GcAB
GzE9uRYRobDBwmYkIL4UTNjHxJc6hRILpZj4SV1Hdwc3s/Se9da+7XpypnTANJTjHRq8XFuqZt0b
e+6rbcq47KaED/OimL2+RFPwM5lgeAAXGvdZ5dmvdL0Mh8YprMeuG+UPw719xvEosPOAhCs8z9pT
LTbup3rK1gYu5W2gVb31kXE2kLTxe/W0IMM4pnuHfZ8Kn+1Le5BOB29nOzm3oULjW1dkLO2Vzjp9
VDXFa6Dbv809W0VAziX2jKzZ5r0zr7Fgw9LiiLyPi8BDqy7YKxU2WP++CUiWC3HqsI9/Y7i54cAk
thWP7w7AuD4mfuHhzIdYKeEmnHMwauwWy+4Uhtl4CVDdZwhR67HmF2c0Gh/cMXB2E1oKlkuj94QX
qVmfpDxi6wAtYaZdzIPOWQruMS0NIzR0KmInbKM3Ma3RbGMrIl2lYzbjkmTHbhklQFlX7OtqCK74
nHmr8zLbL4E7kuIy0SmJ6FZWugU6lrOb5wD2aJTrfS8b6OZiGj6JscB/KVOQa0uFFSlLXqt8+eQ4
Lh9i0xOOTqUFG9HSage/ZbyybPXsusErH6tOjaTjT2h/q2AIgICd57VMkNxcygcUP5TMbl3bQhtq
JAb5WttoQbXloDrmYk16jNunbbtdkLVJuuPQ57/qFHAbt2D3OhYs08nFWxY1GrNkhkdwTbKxuUer
aJ47slZ42rLuvSgz7yEfc/vsXqbE2czREOZrLs+lG//osQY8oMddauigP9R+19KNsUAphN6DwKRD
WtIbeQ0hudyKeIIhOwGz7PpEbHurrfcWEGkm9hFJSTACYDfwza4CaHqryKElqmiW70b59iFd0vkt
ayVs9qKQKBziB0ixgs0B+RoGBOlW1V53aXcn+TbO+bUYOWlFsUcwsbfvY1902G/IBR4mQFjX6djQ
o9W2+ZU7jnmFkxhFFROyrkIIfN54Pxe2/zkWpndPFhyZPcQAL1p7YgnfnGayAQGZcAq2Umf5F2h/
Ga69Dg/GdZYO89OCtzdcV7Ylk21k4dDe+KWs3owI9BbILie9ZVieqO6FzzhWrI5z6W+YmjwWsBcO
MpblR51g78QfOm2iaUq3dkPmvVRd8JyUVBoO421UO/JUhYD82pK1g2e1Wm6wk1O9cWklXvnhooDE
QoFbQTxrX/gg+VxXTftWXt6dTlvfts1Q7ooG40iAz2FH3wgWxiIamm8dFsHTENTudvHp+Nn4bZ8c
nACkgOnn5REHTP+Ul55/Y1N6T24Nko598QbMVoHKrqquOtBZOQErCnO96ZdkEathdngn1jbrLybt
qIa2i3s3DY21xe55ITtkVrGuBqrf+jBFS5/7MtmUJYsBPk5tQUToVQW5zXTvkNspROc3KZ9C3j+3
uo4YfTYBOb+Ew+Rec6mja9bvrNzlrnxIAsXbq3wQUVyDbwEtEKBfrrrYTm9MoM8+Y3qaM/h7VEKu
dBmtWwR36tESs1ZjwouXOcLOovRhJYnj7Em6YPgoujUO3zVsXbhXUxl0qzHuy5sAqOeq7NVL2OdF
tsEeY3FA6MS74Ch1ADPhrqUEGGxiOLbhMugHjpS468u62NdEA7ZT3/FXDdmbmVn93EBPW3hV9h7p
43NRdNkQtMK0v5gXPWeH3gzgJ5sZFkmU4PC7lG57F89No4kPVTme6WYgLT5nZX/yovwBfqjekk06
JfgYrTV3i7MRqMLQkxJ9AyXD/TG19G9u6qKuHfbgM0kQ3NwBUmg3XGFC0PswDKitT6UdfUIBjPe4
drpX5I/uvonU8JAaTCf00BZ3XHnOxUh3O2eU4R17OQL+fRrtap6+jT26P4cslbhinOkuWNIlWVES
k/xAg2WHj17eXTVeSiuYzzvPXmE7CMMd0RxCeFR+YYAr23gYvsjoO9OWkqjF3ggzMXaEBZHxzoQB
88xaqgPsIRVqVjBrjsHkp0ktDPHcUXdVkxlLIwy4SxvWN0NQFs+lGJOtk0X9tUqFIQp2mbgkufV9
7rr1BA92CzSJf10b9RAYItN159h3yCIh/7SKkS8Uil4QYn7cxexlYxLwPW53IFnbOsPfxKSH8j7Z
bMhbj+Q7qs2gCgXavthyAkrWney+9CKfMYPHz81kyGQpcueYTBtVY+peqEafXgnFkqseShdvQ76x
FM5/4ggpkY08P6UtmhADnWNa5daLMhZshxztEtkdw1625KcumTZ1nfk07nHq6tOgOER2zGF29C2E
l0x6R3awmNNzzGrk+QZWRUywUaeQdgx0MxkNBLeVITVCAogcCVMV67bFftXubKtGx0HRyB49OG7Y
oXV7JIhxoaRk3aMY55oQ2yAcjKu1YkqN4CFItWt3OCuPhideYJ54sjGAH2SZcoiUnFbajZf48kTb
h021oz2TZYuUXPUpsqZtQvHG91p2A61sl0FF0L54y4illBNLBUQ1pVnCWXrvE4cum14aHOINFGAK
I1EWu2eC0bwsYeEiIZde4n35osQwZejr2RfMEFje0EteQYWGb8OchddMpNobirDCBwaf4VG4nvds
B3ThbbDiwiJILd/ggK5U/I2m1vbSdQHyB1T2QO20b9MDuwhEOx3UPFvFSMMA+DyfiG/je8/gtu2X
xC46YqoNWP0hVrhme5v8paQZbln1sV9+9lZgH5MJvrTNZOQxr4MkpUDdUqw7rfhOYCK8g7Be/SB+
QdMzXJE7PbWXNLNHGlHptH4vgng5dbV/wVCbGBmisjgwAWGWZCuoO3mMqTzp1tCSnHcFb/Rg5DDW
ODgzcS5tzHeYk1V6thYfbTezdm6W5C+2ioevtnHbF4ZIyWsNZuabxbO/tRRXvuBylkfBTvIwN/ny
msxt9gbKi0dzpuP9myst8Y4K7H+vFMC5sVuwEFzg4aTyeTtfPPANt8ips3yfJaUFYQEJ/stdIrO2
0G3WjU3oUqnIr9cz9p0XK6izozfZ8400Jv5WAPZc26HC6ThfWFrIzII5xkBoqZXJ+4LIwgPQVv23
qBmS08Jem031Usl9yQYQNmytsl06Bk8sXs3PsdHtmTSVvWfYYAFTDSR1KjmbIKe0vufIPRDpsVGg
3dhApmmZJFNYFrf4OAgW8trvtx601TPjsoFTXoreFeQVm5LGrbvHWWFxX5VzBeJiDhAhfVcVN+5g
qqNv5uh4KaA85X7bkUrJGQy2zkDNaQHTZiFtmVd4u41tb2iDa294YUTw53J+OReLUbvnmEzaZHR7
TtFU2YGiw8sIXBkYs/vhFNLcI1ibs20n/SO8tIt1Slc3jd2UlPgl4iv2g+gmAeh0nfqhZa1dZ/S+
Atj8P2EPG5+avVZ/a7CevBVSqpDe41CKTZRfWMKzgdIF69YT2PqIbmcMSJ9U0DtgplsiVCu8XvYD
Pd7+SxrW9WeTyhcAWxhwFTuScaYyiRKc1KEBIOjLMzD7+b2m/DJcS7RTzX6KDrsQ6X0ho4CsBx4P
GB7HAC6y7kY2GJboFvtUZAS56KV3bOYNRL5uidQFNGcwdeUdkTZAZbBiXcHVh0RH9BGG1EK4jKjq
WFfYH1lsXAhy8aqj9ulm7H2oH9wS7q2tQwS7cBjoHBRh+q7pOSSPKdUbfbRdsalJ8BzHWrYPGT9U
tPMj5T8rBoTwF+s+/GRr5I+rOK/njwLwNeJK1YXFAdiBx0bKVfO8424u1J5ir4syCFJXrMO4Ed81
PE6MjGz5r9LEM89iuKxssTD7dLFQ7S36kE5pOP+QsiRFFXJRVhyteU7YI/ENGCY4rqBlgiUXHXti
jhN+S6ul+pSpSZAsh4BQ4YxVxHGugwEJk7XAl2LvUYNM6AgF28XXLRl4ePwPT84wjnrVzb7TbLvU
g6+jnbClMiHLkc6Ug6Ff+dUx9PMAklI62A5cDvLUZOb6DznThreefIfln9HNfFWWVrW2zSDelp6p
A0MMDm+1TOryAGzC+8R6aF/N0m844C6zs59HMqteOYp1RUSBxhCGQNySzRFcAoOykGHaWcTImcwg
NauJStTHQiqELZ5ryVdqoGr6DNlNtFn3BZYovgosPyZc4MVns3j4Avna6kRviryZZ21tmNVyxp/L
nS+oj7SY9u052xDz5dTcffXRSDwWFyetnVFwVzH3BezTp09ZXXv52lUWQK7aycYdc/ts1yj/Hf7f
/GBR7fhhCaQd6gCvZ9dpP3XgFc9AjCqK4U0bI/76/RsVgOCF09a5rSC8PKSW+zsjxt8tLzFYjthj
4SYP7/sXo8afHAtZaYfEgvrocqZneMqJ+RwSnrurQAqwbrNVvQPhVDwTeGcp/feGCf+/s0tgQWEK
6lIR70S/+HsW16LuEurYfhbpcBeLTh5GqZgi2IztPQMuApMuS2trF+OnWVhSpNb1rhtLApz8smWH
Ez2KasTOzqYUrmHA1EzC20HfUMybXefcpAaQqVsLiJCsqMtBCr89Gb8AEa4ANLsjo4oAbdDDqQWG
yZS0yVE61bHWVxbCNqVs9VSCiMUdtBGXAmQttc8OJXiaNIeDwMzOuc/FR9FQsWyFeHJ7ixd+0dLV
vOIwhlVqirzfXDr37zZC+sHt2CdH4KIOhr+Y2GpuJS6fz24dDyXnBvvs++Af1rqYj42DZcnMeDM8
KveYEen5Kld63sXVll3AxWNg3E1CQgM+dzY20UrXYlvEQMlt+EHrdrKuJltz3q1KNsBeURyIUYa/
MeZcjKS/OJGAGTPQ8kHE4meILs65P916OWtJN8Yy3tuyKzjixOMCeXKZsqvFGh6caQQ+yeK8nmeV
nRzb1j+ZeOmjtC9uPQS3wGlKHjFDI0+Db+M39+Z/98f5UJJBFsc4U3+5vikannAEWYnSQahiFAmU
jCI2+ZuPudTD/+0ixOCcL48Ar3bnl8/pGBj7KuniPePPuWT5Dq2DMVITiKwusZkBhaAELNE4SbNJ
9Cgecjah4OhMT3f74MZ3dICU2GZ4WLqAMBYNc3jBy2SBJ57bT91Qqpd/f2mcXy2NvK9tJwhsrJN+
hPbzi02zr/oFQYJ7b1QuL4WFGPM6tBEHaamkzYVjyEtc3rV23tLYd+kGrF0M5mOVnWZ/piBU5vNn
UED7+OPv+n9tv74h0dSq9mv4q+H6DxP1x/92Y/9/ZNIGLh7+6Re8uMD/y919sZn/8z/+F4O++s/u
7H/9H/7LnC3+cTGncgBhYRPUBHCD4rkY/vkfUfyPEF+2HwrfB3r3x//yX5ByzNm0WgQA5gX/ZwyT
3LUKsED2z/9w/X842Idj+PlhEKDzOf8jc7ZzuZf+j10x8jlmQlCnIMiNQ5/P+mV9arPQ2ByBvEOS
gbpfIXJkzlY7iUdZTQsNl6zDUp2jPMkyMJpe1Kxhxw3MtIfiUmM8hKNaycAOJYOWwcHrZNNP49WB
prbC0kkOYNuHzh3Lces6jv9zZstN0SxRq5MfVJrBvo7Yp8djfhRNui2otjn7eePex0T/2fbPAkOQ
1VAKGedHlSaAw1z/MfI7teYKznu7c+SmhfR5A4xxx4F7U/g4YnAqntgIr8OOtqFFmgVjA6dz95Ia
WWTU7kIoHyiN+mLVg4DX9vFNklrOLQ6tdO8vGXOVPL+a3QqmK/xJKLUq3rWB90naJcAmrj5AdUb7
sqOXcFDBstJTMh+BRQ73SxybU0mXzmfc045WzQ7ytDO8h5MVHbDk0+enqaMwMZ8Z5eJnMobO7dBP
n4uG3mVTArfyC+tWoKm1xfKDsPTRomxzqJPXqfeuiDBf++QN6Us+cc7c55kNyJaZ0IffRmaXTN4n
m9+98qGZl2Kme5tli16gpzS+2GBzhi9BeVGsUmQZThCvVRZM2yEM30RhXxeSGo6IUmqOUutcT/2W
HvlogyOGbkDDjo/x5amu2xkqrb+fLIZXJCjOpeyYhCwUZGx9wPIHhJ4fs7GA8klh31P36d7N+rJh
Zdv4vVb0065aMaYfboKQkYG4OpeacQuGKf9DSm1hzOmju5q60ytvEvOXZEi9ovHH61FVJjrou9pc
y6y8s50u//KlQcmeO486UaZ9tWrJtOTV8NmVmoFMBGGvj08ltMq1kzrEmBZLencINgl5mOhctmG8
MWJ5iLL2vgxtpoomPC91bo7BWOXUI+GDA1aeuGdw1v0mD+YP+qGmXWRV36nSHG9UKI6WWy1suznf
PIShhmQOLpJlPmJgIDgXFZ0B+uQtawaG89VQhneO5QcPQ6qUcx2GSRFDyGmcHieTlcPR8sta74aa
gOaaFuEUYl1cCajyI192UyGF0d8mNPErofO62vpLUgORyQvBF+Yw8yCjiINO4dUKJE7uMUioxGLb
az2SwVh1ABMYA4TRnMJAzJiBhE6bhJukSgxEpsIhZ01RRzatOEqCKrL8vB4OmmrYgapmitewCfp5
9wqKVeagkBrKRBCFo0ts1r40/oxRQyYo4xAB/R1a3BUafWV2TOFwxDKEkRGMqJ7IXxlUVvvVlTSN
87ngfJhoZVW8TsGGCFJkSUM7cRJH6ZbKHhAO6YgxbZ95YqYKPOjJWw0QArJdUluR+mzdMaOE3Ing
uzstUgmYvTj4zvhgfm0MT0w8FEBWUhnNmwJrWb+iEyBrDwgoTObcEdFpTf6PVpqgrahjIPPGxQrZ
n8rR36Izpc+M5HhCBrhoLg1luFZwJSpo8z9NcjEV5RnYfICCuVOeRVvUxW7RfhNtaxr30tusbPj1
Ce5n+4vtd9iSLGBbbIto8TYzo2VkbZ2FzhEu7FB99Ey88l0cluiQbk17ysofHXJrcZgjk+rsIW4W
LFOV4AN1h93ZgYb52nQZ3uQ5mWSw6mFlVdQTC8t1v9NNnt001Be8m6Zlk11lU3+jWwX0PIuW4lhP
hOIi0BlBptiCC/VUDOFTNkxvUVNg1mr6+VsUYBkAOVrde4XDay9Pwfo3zfCIrNfuxlFF31KXcdvK
G/zlu2Mvn0Zo6LO2bl4SS15ERORX2nDQzIYrwb+Ly5JTbODxCjVjfT3gK/L2sZVwRUGdXoit+DpX
1Bf1d7OsaJ7OJqbRqekGl/kcsJqt2zSVueKt/TIyiQ93IuuHx6IOK+8B0zC1NRVpoQ20B0Hur6HX
fJaDPVFfCjP2UPmw9kcbpv5jFTq0AgsQMCuTszXeRNLPnySzn/E7qc1BIm+BzrhIyJhWe0r/HFTO
A9nTHxP2FHqnuZedVZSKGKh0t+ycREEjndR4RtnI73wLBNXoTdNN5On7ucSan2SiuI+ItZIcJsxn
LXYIAKGavqkp6O47y45x6TCxfVK0+tzPiayr8xi37Y/GC4IDJkhzTMY6tHBeRvW7SHLn3oJQsArd
Ib6bhkv5MKzV6EdKKJF5KnxregUC6hOkp5NynQxe9BVVS3/dzdp8JdloGLHSkIkWZvUkDkML7Lnr
iSzbhhwTqy8coxCh6bO1b8uR7XLbOuK1NlaxZ/BJk3rMFrS6dkCY81aYs+3F+PXUMn9I16o0zU83
jNqvEWz2G/NC2MT4Q2I0YKSdFfl7vAP5RFbYauFTpZWy6huYbv4T2Na+vm66KSoBL7Y+rnn6qItt
bGfRG45e5o2Fiqd90SWtexJOSQWVJcd7VOnoyW6b6rrJATOAz0jC50o6wfdFs4Lk8x+yUz2nb2K0
AKJNTkrLw1yB0JvhEEZuKA4J5JKtkwYO3Fd3OI5kNqjTxH+2CbSxLd4R1IftIonoDnh19mmyiBf1
PFE5dMuJBj/plKpeEyevFgibVt7CrUjrS0372FO6jN+8WQN5mastVVvtSQ2TxuvmeSq4l8VYvdUq
5aZrMeheaLdj4lH2G0Nij3H4AZRK9JAAC0Z/OWB4Z/1jZMRsegxca74LBOSYe8ueIZ0wAyZoakEt
wRvloRRtOnKu6caYKi3JGpWGM3xElHqfyjhIr/MGCWU9Nma8dwAFpie/WwL72hTFAuaMytGIaXT7
gIeLYc5SWLN+SPo86F6w9qCJB3B4KlwwJBTtbVPyyMcAziBlU1hQhg5JuKGPn5KpFvcFOxei7QRW
sAL0+cHyF+8QB9GErJS7B9az+s5biERHoYr2NH0gCs1wQDZWoZZrlfgMnRpQNlc5Xot+3WGtYh6u
RvkxRbgngOTRgKo9+1bNdDzlMsEQXJVrqfJkOwgiFIxh8TI7ur+i2zR9LhQT/pJBELPaTqRP+Lpp
2mB30/ALt5AQZ4Yg18TIoxIdzy/iA8JYxM/aDYHH6IDGmLMLTvwuUqEHCzjznn0zkLljvmToGBMl
r+V6EILxfkHcw4oS73l2RgYy7Txjn4tnrR8nrzDd0eH8ecrcJf1kmeNlmUgDd2E0mZceqtxm+Mb5
471z6vhqhgJwXvz23IfOtFcw/GgzxWQmmyW4hjYebRodXPUL7pLGxQshMHRTBpnQFhcs7ywYxWMa
utVnh+a778vewRzmWeXRGSQd6Rxl+s80bdiCMRBmVoaHAgcTC1Q3ZSEsr1wWztZWnr/rvfAS1PdY
CPaAxNLkJsjoVFGtAeRhJhD4JeOJdT/M7UenZpx8Fr7iwckZ/7W2G1BX6lVw1iEIFL9VxX5z4vlF
EWDk0dhtO0xHn6HFgCCu5Iky1+LpT2fA87+OUH8Oov71EP+vgxVpS47wrghDN/hFexuXummTxDLH
cJJAwpgmFdTq9n74G6XqrwLj5XMuv6+DUGVzIuS/8nX/pPI4seUOhJL0cdGNfi8uK7wYFk4E6Rzh
0ZmsMv9Z0dZJJyJm4eg3n+5ertZfz4+OE6Ju+nGE9i1+/Zq5SUuL+ovh6Mu82wHXGx7dqBY7io8W
blJV3Uc9HMiSBphv5dySRWc3Mdrx08Luwv9jm4F4XF02Ho1g379M5yls26PwerLvtp0y9y+WAXSH
RYL0TknJq6plQIeWjcWF7NO/VI7/a4Dv71+Ik7CN6MKFjVysD3+9ngvIYCwgujsuuVKA66i6xavQ
5sbeajHGrPFpFXm/SS3//UM9W9jkliN2piK0f7knJQUx/kiMng9Nl2u0ZPbSA4AHIhfh3L//+zvz
r7rg5Y7hw9DC+IL8S0R1//oN09hzGzwlw9EsubUNpPuJ/rqr7Wn4zbf6+yPgcVsG9J+FiByUUv71
gyjEcDrmIs0xhxU63PlOl7BwUluqf6fy/TfXD52TU+RF6LSD8JcfLS3JVge4y+mchgiSabYUiZ6y
lJLT2COL5Xqu2uOT4JzXZUbdlaRA/HPkwCu7bPmI6bH76xycKsALk+Uw/bE/lH/sFf/9xf/bNSGb
zq1FjNjhsgSXzro/P66MudNBtlF+LLPMDo9dpIczXnMOS//jz/F47IOAxDIfc0n+//lzRJ+p/2Tv
TJYjR9Ik/SrzAkgBYFiv7vDduTMYJC8QLhHYAYPBsD59f4iqksmp6Z6WufelRLIig+lOd9iiv+qn
bZL06amOuQxECjRYFiW4J/4RKf8fUfC/ITdYIdr13z6S/0sVvPn4Tuf/vMPwH3/1nyWG9l8k5R0P
cZovrukH5In/oQ/6zqocIgU7QWAHls1j/C950Psr4C8QSUc5JOAb8kL+JQ9af5k+4eMQrVG4kBeC
/x95EGWRH/W39R18g0Xe3fLwUXq+Ywr331amzMIpzFi4209ln2KyV0l6sDqV3iEymC+pq62fAedN
iGeLX16B3MFaDWqpT8GY5U+1Y2cQc8gxbtpxdr6BPrDy1zqUlMgktnelELZPX0gwxTORvyZ4AQNv
b2xp29EEoXjTmUR1HDH98DGhbXXaD3e0gLzAhJqMjaxpm3Ul6O6lrhnw+eJOkaClrU4GZ4pD0pNK
qv4eUlBJwNR3pwa7na6gSKf0tml7xlrtzp25xfO1XALTGs2t6oP5IezjYQZTDefkbKv2kZlXtTwO
YdcIIOhL9STNYBngBarhiXhtFZ4XZ4TYjJvdIY7h2OlwspOSu5dgBvNNlKbH70cehPEnFip97ac6
DM9DbAO2YbZvqweGE/KbhBIDTipZi4HxchJ+N/RTfAIabayjTWamQqaDW5bkIzV6WRhSjWFww6nu
YDHU43kx3OE3Fxzd3E4UR7yXdm89N569Tpbj4IHgmku0Jscni7UZQwhtjiAnAu8TgooznISHz2HT
xqpNUAY8bDPphE7pUWOzt/LEgS1uOSsxdTbpHGqyt750ku++NThlm51/W/lcp3Zd0FKlm5Jp3xKd
GS++ZVPEl8Qj8VhXVQd+K+AytYufF6gqocw2k9Dxh2LcJpZOrqI0quJ94cvxyMkY2r02a/NsKAD7
DbC0rV4SdC0Zz1y+TZFkW9lXalMCr4Ujhn/cdUB2k5Ma/TNqSnJ16uKrr/i20FVbJMBxmx4YUJI/
4b2jHBr87sYsed99EHtcaxcr3SbO1HyYzYRRNOvF76Ssgp+OqviSW2ZXiPdU+nSoSxixfk+hpNWY
m5CynmM+uUmERyo7mBxZUhTbMLt4unqUIs9Q0ij1cN3ZfcAQGL4pVWYAdBESduW8pAfC3cGXIvyK
T880ytdBTX1PAsOd9AbO+ZRsiftXK4evpiWmzMspQDDkfnXuapRTP1i4cc9lAt8buv5aRPYY5Bxa
oOg57cHJCTdKAXXWcYY34ojwdQmGmMC1KMbYIttQCBQ0cSCOhAWXDzxAffqzN5s0IyjGiYhwEvIw
VECDLJvpY4tHcYDqh9fJZIfHs4PlSGIXfSWNMbWU7iS62TfCH6Zri7CFZ6VYCQxmYIt07xQeafjU
GC1OdJnlb6SnvDex+IDqkU98Iz7EVe/8XMktxq3rYLDbZ26W9nsc/NhPUT/BoRbeCGydpunZjPKJ
D5rujdqFmS7spJ5uHayx/U08BCPuImxgtI+H/FuPaTBygZ/92Bp/ar5dwcb0odLu0f+DhiKP1GQc
OIf4yCROgaNOM/2M8gFxGHBi+1RgqQl2maGhfyFQyetATIwH25VeDU7WKl8UL9Teor8Xv8pRh1Rt
xrGSG1m0BllBcNAdX6SlBkEQGIh/NeMWErVLicpNTVjliREOdy6L7sQ3k2Qd5QM+zdLKeVBr0XO9
Vj57xlTbRyf06bzp6bP5ZBRN0SqJgjaKEfSHDYcdYLThZFOURsE0xh3kabPAm1uu3dOuKdtkmwbS
3/pu1mbbxQpdptYuCZJN8ae1mgXS75h4922z5S1WkfWn4xqTO/jecipqcPC1Gt9oWQ5uhsKtfzbY
WSrm/eN824/UZiNQhNNGSTntWIcSIyKOOBIk0uMN9t/wPgbZAJJ0LeLOAfU+uCDttk5a24/VUKfO
dtQusdti7fCOWxLR9AZS/0q8JbtoTWeka6j22apt8ZPL9Li3lACxvDaCE/xL8CCyRVa7aS0OnxJi
cMIgoLMqR8mCS3npD+bcUxrYAKGsmYERQWwqfOBOLe8M3fQfJlLdezZaREhSCxNeP+R7Uw3xI7tl
Fhxay++eG4pyP1udOd8U2I3Po6pop3frp5BlCcwZrs5ulw7NU96vlQzdksozcWZW3sDyk6O1Fq4j
0WPQrus827rQaMWW4S2KNu0WIAO60ntL/JqPte/odWeiE/xmCtFv6gw/hAkY/5ivJfC+XxkJTUmm
PR5NuwcBMTC7Ku2yOeLVbnaKeoJbt1sr5lsmdfl+tnjD2kysX7KB+UbmVKRbu04seZ0rscioo/z6
R1uO2PwRadi76kE6J8B1AyNzvPuIrwGW+tnU2bsLVvNh6GdguS0UdpCKJEtIy36xNavrQuvNWz6Q
Hlkv/+TopiK5VFYF37SdWahcManHivovas4hX9zxWvQ7dAPzhXJwUsj92CyP9moBy9xZagqMGfX5
+S/CmOUPzyf2M8ZVpm/59Oo3k0LJaHI1RlSlXaItTh5lWP4GH0QMwIrglpMLlKCwrl5nC75gGxoZ
5+SGoBr+ebUrwob+DbhpIrLMzHtgxGiS/+vD+cHqIWw/1V1pnG1nLRC1ar5gidNjW4kbeJDRqACw
Qczr9KfXDs47E8nhYSpDT5zctC5eG6oDk7vZ0YwbzNypP0Fv6K9Y0GSygaChjHNHpxQKNaCsfE8H
nP+EokqHqHBL/ywDDXUvdhv+d/4T6eGnsZiZ0OAHMp1ZTXqr5Q+LWLsPTm6T5ho7VmY+XOtlMrpa
77TGhofD3a0iycGs3Uh3yg7zMurfZK4b7PgD/2yKtP/tjno4laMrr6On/LNrZPKhaBoM9R3X0jRy
IUD+KOu2PqRt1QGgp8TY9GLvDCKXHwRBtvyZWyUyROjhI9lioxygZ8NtSamu4Q/xXwFrUHnV5Xs5
i+WjDWuYh9Rfzh/w4OMv3U0QqLtuYDYM/hnPsQ1tobi3DIAQfPBtDns3R5ZrKwnOsfK7+q4tQFdy
ME2jiXolhqkZ7QAR2BAm0/zM5GCHefMeQgzheYMnQQ5qwYsVFwOmJLeVb4AQvWSbzar+KEjmXRxy
Eh+i77vdAB5BccAz4kvStIwJpOUWKDzo3Alr5kopN5ufOkjar4VWZQCQje/eZqlLuUnYN94j5T/T
VcEEeG7CntemVOPech0csu0oM8BALViOne0kzT2r/hwRlmFEwWEHOzbO0uRHbJXrugOSw+nscNhi
oSGwq4hgFtHcMIvaimlu34MsZ6sJEKLvkKVdJ5L91H9o3TCXTPOu2VZtUdwJ8h4O/QgVVOcU8XB1
MPrTjVZWDxKRUf6PZNHhc9jKgl4QfthtNqcmSSnuq9HkT86rGbpD+lRMfXiPkA8tlAUm+NacLYlj
4+uL9x07My6xmWo5qIEmJjEdEBEWBgIrlYIzCePAPFIUOBxciuvwy1vKf8ARbBBrqkf7yWPXiRBh
+5cUev6TmO3gfpwTzm2p23YPpa3dYW+Gi9txJEHo5mRPsQrzusR7Grwwu8sHrONwWgvUcNESF0om
8dhKFuojuU+GOBnB1J07uMY3K16+Z3/29vYc5L8wSlPYXqUuiNmwsfadaXiPJoGZ92bJGcGFKSZE
r12bJsZZh+fUa/y3wh+W+8pUxmcTVPmTOaeK5BSAyQuAHf83TpFMXpekW3vpOrf6Fs6kX5aRqj5M
o8PFl0znIwrizRzb9ZDXTLMUpQgZrjMCLG3lHSEEGT+8hPjoruxkdzA1weAqVThd54wRb+tKBhYz
ProtkOLyDHdlTKkcZDRI+7cmCZ7DGffJkfoRgCOCAVYjr7qhRCIC2aJ2Y51kF4YW5smq+tfJ1ESF
kiaLFhjBvBAbYERjrpcpT56nVASnTElWHidxaFbw9c6dbRjg2TwyNWfx2ggjfcH6GGwcZRNx1Ijx
dhf+bojbdJ5Qpwnewq4lV7J3GO4dgjFt4J/N8a/YkN2dYzesf3RpUFsycTs0tHNoKp0eRo4ITmRj
ZLtNGIndTytHts0l+cDZqI9WNxaXNvH7L3C58oFJFpCLeOBoRMq7eXbY+/ZeMHZHop3JO8cZmhbD
9DGrWZq7nhdK+VDMDk4JiT808UW6tFbJEJ7ElBD97u2EndogVj5m0IFjT58s5gEMwP2qIJoy6u+i
rc1xl48l1ZJ5GrznrY3YCeJMn0e+IAzqZ1ASLdUyTgMAIuyK4WMJ2u9FGpytSidet1NuYzIlm+vN
Sp1noucHrkDJnuovbrXZLMwbslv1LkUF2rbU+m5UMtj7DB7OAyb6OWBQPKmLBwf7aspUnmYDY0IU
uMokROQmW6Rv7yqa+Jmv/YPnJJdh6smCjM6944NoZKS/YM7HeNZZY7jh41xrJBIwju2yFhQaGpcg
DVXlC03L6U9znX1y+/R6Ntj2h2fq6SOTBD69xQaRbno6v5mxzB89IgunBha5OJhTR18SBrflDS/r
Ha5TdVcQjzzE3eo5EIoTYF/TK1SKnryoAlhVuO5rx1DnUy7dTZWW7aUrc+ABlomVP6tE8mmHsfmZ
cNzYBqQ49ng0gxsOessF6lx3m5dU/FUp/21B0B0aE6WkbZlA9HaU4Z6qpbJvG88fn7XP2XzuCs14
ujT0WxtTi6dJwu9qBvUbMPPdJ3B9QBahP9FTEI9PcULBJzEokwLlgN2N3vS9MJiSkjINi00tk2Rt
KRqY3HMageU7+S1zvRY+YkPrElnP1sWoU/S13uKeJBw1Wm269bi1cRs24MdrsmbY8HFL//Yht/rP
fgL4cGsxB+dmou10q9lNvpVtjGJblBUm6SWr36dEIU/0wi5jQDyEWu+rXBKcyYaG43dR3Te5sN9X
Z+adTaXPd5ev0+zCYQizkXwOp57bzd4jLUGnwzJlLwXd3lACAoZ0RKi7uiYw2gbY1j0tMbe2y+uQ
SvfkowCdmL7b3BcmUd/jwLE92Fjl8JG4hgVHArYwzoYJt5RwoDwBV9fGk0WN7UaPg7Nlf5FPVKLr
D7vMWAA6qzrabkbjVpNeRNdputl64LTmiM7Cva4kpBc37nPrz/rY1Yuwb5IJG9ZW1CpXFMXZCzE9
syJsKCYjJ9c7VnXwAuDcNg9EE0KBsb1cj4zU4o6SFgAmW5tCh+S2CFosWG/oEfmNiaa/DRYn/mlO
IIphqQmKjQvt569ZnakzCk7d7CGLUUtiy6k8Gz5+nGfadZenWluDdyVYrjuo4BO9TQuUuV02GhCD
USUOWvhvYdWSUW25vjFlNAmqzktmjltcfMsNl06I/zU7FgifzIU91o3wZoTxLANqECnOpfg5pO00
7ZvhnUcuU7cs+R4IqL7K73D4OV9l3gc/UWYA97IfcZKWRP1JyN66oWy/HJUkPExhIigZ7a29Fabl
d04SLD62AFtWv5IqFCkxMaHthBVuE5oTicUKSCV668nRtSKmQuNNXjCW5VrYJ+gRZdsVVF6CqohY
1wFXSZmM7lZ0jW9eypSE1yYjF8JxOE/nNUdZaXHsuInle5JLdPsM/mBGqnC1v3WU7F9F3K5H5a7B
gZZ1ZflcIAe62xjF8g5fSMn/WykWd8idCY4iHRbeuXUr5yMxcLmQSk6mbTFiDrYMtqjZd4nPOmk1
ncdQep9FacmfXmUFr4tX07KRqNS4b4K1ZbVziKFsR9HN+wDgSA6AuVcnTuLlflhkUW7juYegX5FE
Yyada0mmMg2Sd6ed5YFpl3dLzxElKXZdQaHSfk9JXRa4Xx76B9XPdllcPKcsCBVy5nnNO6NTB8tj
Rp23nrivMBDTrKEpTM+1KB9ro2yPYyxa0FCKu8cWBB9JTUt59dXKrcTedG3FQ1KJwqGFs2oUCFi7
MqhvHHVcUe8Zkmnd9RToHorBdyaAe/H0NnhcsHgnQUeC1u8VfrMp5F37HhRzu9ALudxwRkCDUhd/
9GVqPQd+QLWXowOPc0KRiIvXDTiqEnfIP+yuX9Atssmw9jMgImNbDQ7GmtDvl5953XPp4uvpBVGR
TL5LQsKcktcs092hqm3vjCDiZ7hMRX1ArS2/YfDbOJrmMN9QXSR6vH+kpu4yGAwvGL/yn+1oDmSY
ZgB2m3EJGpxSpHpmvmI9DCTSCPVZz/DKiAQFLR6BIQmfq0xxm4fqbVIzaOWf8TxSDNHbdmvTNkpO
bJNgO+QLWriVRQ9Vq2pSseEgLmM19EuU5ZP/pdxe/Sg9G6tCQTCCskwbSW+TaX/eJqmH9shdgGhu
QRlSzkTdEsnH5Gf+ZbIVWmkW5sFtTgd2x3lCtSzYORxlPAOGwGhXO4lJ56VeSM4DsKBoGr68ic9v
gOtflRPsP+D3bx7Yt2jx2/6NJ0nZV2WaGKckZIyrBA6Dy8mA4RsZoku+McPl6R5uSr7mwmvaB9iW
WFemeiqrH7kYnPMSNou9MXvYjNuRbZLMmheOwEdgChl2R9PiIE16I2tMa+st0gBzr6Y22QHioufT
hk32YEMQk4eAk5HiyhR2UWvyzO/g78Q340Rgfas0DlU8ikTMxqJC/irMUDsbVlUBFrGa9kYzmv11
Ht263RqrWR6LrURHAyaCmIQVc3WipmFw29G7h8rMzsYVzAPaEecrAicg3QwiDpcWx9MxQSyaG15w
YkxdfIMXzsUvVlm/h8IIHlXgWyiPOcUsjoFpIDKxNBY8xsT2N0YpVb3rWDYhzGBheEi4agQv2ALn
XeINGReYXLdsLtZAqh2XCk5VzJ/vJQcyejszO3tExXWwp9RuC9LDzx6LMpiPfsAAYZ8Wk/8is15e
gFQnL3mVcpImnZvfl235Kile3jWZ7xennE1kFxMG3iR0V8URTuT6g4GO8d1kcn7Oy5CcVdqAHdn4
LLvzZXUkg/IEbEk+h3gQ8ZZVyy6G8IvDnPo086D6seAQBTwlIYNyWUvPhsWwaauxEOEoi3uxEZ5n
s6iWzi/LaEcAjLOAS5i0FyQdB3oKqIDOnO0+MqpG0Kbnj8uRsHLyqNtRPsYLGTLqDyyawu3EflIt
DWqI+4F+LgI6HC5p21MygL6S7JfRH1I6XDqUKEt25KtjpxfZMeDrS2VYM4g1bZOOEBetspj3y2IN
y1UyH/WO2OgE45lU00ebFbZ1Io38RIqRgNtkzR9kcnc0pDeRNKniCtqlHL8YyBANDVv7lTPZ5LK3
5an3VHA1wQdA5Q0ZbyxBirzVM2dRmqJMgpTG1mQUBam1aCnWwQP7G584Z1Gh0AG2QWdWv8iiBsU2
EHkZ1d6E2N/2GY4xexIbp2Kh50SpvOrwZ+j4P/PZ/24+y3kIK8x/TdY/QuH8Sj/K/3WvPr5/denf
AxzWP/7yPya0fviXCTtf+CCdV8r+/05w+O5fa7qKNCXhDsaw65/8c0QrxF82Ja0Q9j2eVtv2mJv+
c0QrzL8EfghwKp7l+n/+6F8FA/+0FdFN8F/aVbBa/tuE1vRtK7RM1yHDIQDfr0DqvxmAbI7jcsSP
fKhZtqOMza3ddCGOWWnMHOK0ULvcTMFLtm5w8IyR4lgn1pE/5vHJRrz4NmmROBZMVCJiFHd9BfbD
oXrknWJ1Wk4XDwgdOeD2q9XAHMOu7baE35Jb6m+nx2BNsTd9/ccKq9U3zM35MKWd/wg2Kht3zFKc
rxiKIPAsx0v3GKz3c9jf0GJeXtbhdoSaok+oXifa+JzNTF5zn8nwzuTZOMow6V+9pA2/C8NjyUnT
GbqkEfd7UVvMntYp2HfC1vEO368/L+A4Iteb9GHpmvSIWYqUAiOhQ8f5NUIKpAwyC+4EHvfdjNh8
bFLSs+3ce9zy4eZkfbfcj+A9diFrqsX4wJtpkqyB4i5xJn8MYDh+MSrxbrRpiHMb9M9LZ4Y/7aUL
7oXPXHNjoxHwW21isYEv10mgn0h4zEM50tOjnQ+HYJ4nllG7eCUxaAIZmfS5LuwvMrnDTVxk2ZW9
qttnfgC7l+go1UQd/ZXQOtxNUvjZZ0qO5Cfx/+DSZp1zTegP+oTIzB40da7xe5g9fVPNwfDa4Jq8
4QPnfbqkJ+KWSkLXdG7h2HcArAIXFbgpyx3Ijt+TU9SRxykCpMEwVGcmFIiTpfgaq5EI8gKNbY+d
L0aS8hx+UUb95FR2vi+p74tS2MSvrPy4pTzOoEiCrKd9Yd2INO2OXA7baBToe0HCHAunvLsZBhex
lehoTj44fgnUMnL0pYQbA6OGXMKpRy+peJtmWRx7m7EcfS7VXVauXZ4qSAGTUlW0UTYQND/udiP1
5EADPbWr3PSXza8kxtco3VvLGvITURKKY2PzKrnzXZklhN+udJIfE3yBHpBI9UIGuzwHaew9jzWn
daTLsL0GA7ipkYPSA6KmWW+N0GAa3jAJRiTo5Tf87Tu4x8bW6hO574ka3i5iriCnetNtyu0j3XgM
YjYZifMfpR/abTRhzdsbFb+zMLfMyFB1/77AnLoYQSAf+0r6F9qvgv2MPLQRU/7dIojC/VAHOfv+
SyGnBuwz6oAykguZ8TwaXShbJPHrH1Ywh7cp7w7BAFVqZ8ajlQKrypNb2uySe7FYTqRTQaB6tpjI
QLBQ5qETQFzBaMLbnIkS+rh2v4Kl6MIt3PH2iMzu7PFaBFB2V25A89VZ0zko4nxrmGMEWsTYq2a8
qQYK6oMWZ3hoes8pgLqEsdwJTZ48ip16RvS3tfo/cVeKf8fss+rZJvYX7roWSd2Apffvq17s50A0
O5YDCGw2G7PbIEpIWddAhPCfXGF32tsRKJPo6teS6s5017RK3ToUL1IziO/kopcBxzuD7qhO6/LC
+T2pttioiyt+8vq1aUvFlGnMxI5qawfvhVZmjOKzFI/hn+e5+PNsixTH64nyCcc7IRCL8wg4ZyYi
Jpx61ztG8f7/fuu+8396yHxiejawCPxudLPgzzH/bcWfEUBRsxNgwW7yFJbVBsFRPBnB9G6uHaoW
0hFAnaS9+qr3ky2TTYI3wyT5NqDTUgWcuMrauUtKCxZsT1zz9kqOQxP7VYh+DddP88lvx6MzladW
YCzY2r16xzCxbyg5O5DRO9ulHWyLIvtqW2w1fLeqe9j/1PqaAHYx0JO0sYgV2xQ+MUooBkpNVSFO
9aCEBwjc1FS7F/Y2HoG6DJyVD244Vfe9P4bviKj1+zyYwx7kRv1pk7C6dZO5vS25e+/T0aoOjR79
Vwz+qKKViO/nKhse+Ud/r5Y+A8Ao0vM0QJ4OQx3slgpI69jL5dBgGLjawTifEljjZCYcHe8TbSdP
Myoo4wNk+S0vG4kFlNu+oF3hgNva2xdssrtSkCBjD+qznepi9aJt9I1EhPIlF3kIFbx2fntAgaJM
F8WF3rduM0k3RzfGnbJF/nJfDO3ad4h+xpPoRpsqxhCFZWFm9KvNm+kFcrD34vpNfZ/GrboPaA8+
m0tlHYXlpNe4NRXgPudU0cqshzSI/AadpQ1gykL9skAwjwDGp7Eqbukl7lt453hRUgfecznDfM3n
Vj0xdUK5sSFxpI1lfzpSxM9N7DThNi5/pDpHMdSLS7kwQOXqHX7zeIN+pq+LQnE302661MQLrhXN
5/vAK7MrKUxuEwo01l7RPxCDNQzSLWNyeaU3IL7rjFE+IKX67YF0xXx0K49suSNqRtJkzUilF/c9
iv+NNy06SsHxb6pEMFggTfsAP9k+lW3MccU/kczZEsa5ozL+iUvNhmsLULxkvpk6j2lv4OP5Z5tg
zFjcd+ualaCZ7uN1HROJlVK2ZRi/g3WFg7VAvRUDk2ZUNsojgHOGuu5h+bMw9n8WSVYKJ+rXlVOt
a2igUtYZ5MeFhSAF6Gmv6+28rrzTugYr25nONU4tYCJ2O7/WGE/29jizoltN+zhAt74sptW/u5TY
RQ2JpKgwlI2mtW4M+bpH+OtugXhJo3Wx7iEtvlbj6NsLVSb6zxZkhpIir9CYNYUMVus/z2bj3nWS
UUFEk3T4nakUtGDQWIV76MxAnY1Byn237pM9Te9R/mcHRYIOPkeZu2wVfKcF+1QmL1TOAWuQGpRm
A7LxEFMUn0Xqz5ZO/JUPlgr7NCI9NOzxLSBGLx0fkf/n1DCvBwiDk8SyHimCP4cL/Dk57hbfhTzI
ucPk+BiHacvMMgXmE5dBAKi6ny4VEltUhsZ0il1qDRGAq4Pk6BMNDNBOeb9ebfsA96E1hM62nhqI
Q2FZQI/jSnUSutE3OaHTn2njObeEcYNHCG8xU1HqNUAsqfBXu0j7fmKS/TWUAJKzbs5+AMLVT5CS
pi5KwM+c0ArAkcQ4kKLKdLI7z8IbBZYiFbeeIaDaG/DqONOBLh7x/K8RK9u9r4jyQQeT1a3ugRNv
5Oirz0kNr6Yn5YpZn1PKe0x3T+WldQgA9yPW88Zzbg0nZSB9cgv2BsK5AaqU7IhmoM8Z9+6C19D3
JucJl4R3T7rE3WY+W5dVUdgkAUKDJzNVeRJGluuoyrDeb9IhgGtvSXgd4ZR3Nx6c6J03jCEIzgwP
TLj0X6KpJb9jKPswknjQUI8J9Ww8L/GpOLf4NaKwuQfyhDzF+PKzs+9JUAgqMM5hO4zHKp+mc+4b
uJ1IfGCobr3kIUsM882agvsl0dMzAgtVMNj1DoRLsnO6WB1WGCcAQzrbxXsuPGQp03QREVSlPxEG
k3fZ625n+lyDw6aID/wrnyZBnR2vyN3pqvYutgz58hu+LtnKzexh1X6gUiOEEwTlFMgM1nPuM94G
eH/GkTjpqG/21hD1L9M2cJYB/SZIyAHAWO/7SPOZbnero/y16QrnPMxdf0OP3cjvwe93UIUR5igm
OPk2YgwVRNRiBxzYd4o7AMkafA6m8xufyudMd8OBDYwRThg3NRMPN+BpH1dsdt4mj8B45wMrDwfr
uDBf0PUiD6/Ri+VI+9VpLRoz+lL+HF0USwYM6lfB8x4x8eyOg17ea5wwwivB4OdQZE6u09zY3niX
w47g0A/Dq58mb0fV9oJ2V6ZdszMHcKrbPmw886KkI08BXR64hQr3HIpSHBct852l3PktM/iemlQL
XKbR6LHHe/GXrch2Jx7+wS0+Do71S40ON079wmjP+cayGx9CnHl7z5rtK8i77CIZ+c6XvjaaR9oi
7eeU+8u0zZpJ/xqAWOdbUXTBFasIqw31GliD5ejRv0ZCZJNTr773cwZ+qhEuR2N8hDyJeKwiKP8e
P3XIPspscDaxL9XZzmrqfYKO9z6UK7M4gHVvAREMeKMouzmNGg7XkbvC69JjrfxlN4Zld5BoTlyc
hKAhsphPUxjah8zlv48y5r9WnASzXQwd96YK63nPDL3ZC6v339M2sw72kNFAExgFEnM589Sq2QRq
UyMHbmTT0VzbvYUgIRff/L32C+4GK7Y+9GD4dyHqrfLlc1f4dEbYTHwe7QTe02HM4NvmYuExSIOX
Stccqnv2doAfFhQlNR5oL+ow+ojpYPYeNqapNF+oaG0ZiwBtiVo1KJakQUeJY5MW9ePK3rKV8P0u
SWQ/I08szx5pLomnlDYOAkRXemUk00Xe8z2AU/sm58q+wRXj3dBoYT/0Y6a9CEU+qA+YC40nl636
Xlj1+NspPuOOIvBRTtRUJ0vq3ZEPdI4qKzgWGfVNFYA4NFsvUl0Z+xSk5Qcv61tWEejy7tQZUeV+
z15V5vvV+AMGYqZIeQx9CydSfNVjvtxyILxom+i42b8GBT6LxzllzuBoa9PWdv47d5Pboqhq8pbS
fPDduH3j+8XmBezpblz8hBFSLV/BKY3MfUpUCGqeDXXARt+/4REB8FWF4i02C/enl3vtVpudc+oM
Mz+zE6RXr4yNbZAy7uvpDdlhC+RQkScnrfJsE6LPbzDSpA9ZLr3H2YzndzeVCyPQpDopJoHbJYdy
il3PLY9Uo8CFkNqfXnuWvK2sEfnXeFt6TBy3OpXZDOychm0yheH0ZPexPEAKXQ7Uojp7LAr50VnJ
qyibSzSX8YxKbk1HzpAm09KGJhpCvGZ875a1PDltP+0Tyr52iJzpD0y1FDNhjdmqsG+PAMfCY4IR
C6REBv00iwkc8xqoG0iqZTdInb+2w0x7jZ4SqPVZ9ZiQ2GTEQXHPHrchrlxC1QfLKn6UxizPhdP1
hyKWHMjwPe17HyRjBNDsGYRht1t62Zxz1gywiXMpQfQ1Ps7t0hiheeCgFpuCThKefkVPidfzZPFS
GjjIFX9j0BV05RgSIbxDGq6cxf+SSS2OKXOrQyyqLuo0uVSGDPRI2VAnNe25GysocrqXGlYzAviY
yQs3mvsivthWHN/UtNXXYfrpIszkxcoM52+k8UVVMa7hYhK7HqyirpjGrUSUXeku8xmFr444Pjxy
L2eaBpERrz31S54RVzdpgW2jGgc/QidYdrRpQMq1M5+7OSaQS0r6h19BbJ1wBFqgPQZcJHZX/05j
AHLeSAIoELOxpazWkhsRk/vFAFp849cs3ujLUSXRMzt+dIwhvKFRvbznrgJQNiPpZ84eypLrdeIl
p818q5NMvmEbrrY0rjcXstk59z8J/m40g6MpsvLgDKq91qLujh0QSkk1N6WJuLopkFv2i59bB54w
8UNzXbvXBrXO9eCrXVahffwHe2eyIzeSbdtfuaM3o0AaaWzwgDvwvou+14SITux7Gruvf4uSMp8U
mSndAmpSwAUSUBWkCHcnnWbHztl77dBDFqYHJvkBybEQ8jA0u9Hleqrce2oqCJVV6F4DVfe2ce/E
99hprX2VpOmJkBMX9TJ6Cr+PLwPT7tXv7Id/dxSGqsZEAAwXnLMPdqo+zoXvW6a71cYRFKQV26/I
X4CSVDInXwgdYrA00yHA65qjD68TryckIyy1q7RPxhdGm2W9Ti0ZrkfAKJAp5n4lPR0YNcrTFUkN
4WRp4IHnDqdug0lldE2DcCxs9xDJAt1KwwlR+8bu+nd37f+DIEoY8zwYa//cjz88Z5n6r//znJX/
97+Ozw26s/qnlvy3n//ekrc/OTNQifrGAKlH1/tP05T5iXhMabl4KPnDnuMI/2jJy0+MqKRBLClO
1W+8pT9a8uKTwDVFHgU+WvxO9NA/tOB/1ZK37J8dlqRiWI6Fh/Sj4TEXKjCQiZKB4ddoKphmEvms
WxhpVNSdl7geCnJj8MgvsFGEwDMaK1nrWlUdRyL19jj8qw2wXHlu50O4AtnrrBiODrsUwf1aa336
U6UWGMVGSYK4KBTRHfpmMwu6x30mqAbTJhwfhrnawaKho8ZEM1hkdXVhKJE8BMR7gTwvwm0210u9
QmHgBZ63z6eeImSuq7I8rA+0U6wFU4foGXCTfXTwH0QMT+eyDAuUXLlzrZbMVVs3kjjPkJBSrp+r
uuJrgYfLzT1NKoBRztyxfQ++FoN0JcVtO1eI7VjBpqyqDsJS7YpTKQZt42M/2Y6Ul7ADwTW55D1A
kICaXMx81KUvYEcXc3WayoQgm7lireKuxFKQT09aAgyC/oG5M+YaF2XpeKsSjL7HJmh8or2/VcUq
0zNk6Zk8ywERLUKRKlxFvX+UsVO+WMnU0fYotZUbaMaSSSc1+FyNo6tNHuhzlA9B5KmdPlftzjyf
XeqIug/ozcbtREeiJWA0ql/RIfgHU+Gq21IGJ7iDwkbue60DbisIfLvVtAyZ7WQ5DEsmlXpfaMgC
IhkmNrMo1VDrwXJ+1sookazQnbfUsrZdR3qqr8gL4LdECPmCpTLrdt3QnYW3awri/WxjNaX2uArn
f4lbdkxIw1LimjZ09qXquQsrUZvlPXZZtjEXXW9wR3MQJGkG15ZOlN049EX0DEeVlbjBxYx13KNC
Ci+loLQ0ynrGWpfY+LlsNSFNlQrHSx8sF8tgTNnNrxSXNW/xmbRMRZNRa3WIRhVJQo7WDtRTPfkh
WAUFHLuMCBXCNDZZaPhfxtLmPTWZJ1Nq59Cjrc5XJVz7YEKuHbvxn1mP0SNKPCMUkwa4/YzB/CpE
/EEhXhn5yUcmstJpil0RV5XSnvBKI9qoCfS5EFN0HVkp4VRViSveL0pGQBGwVFkYnJzTum7ZqvqJ
U4XnpkrtYgi1b/SOxueJ8+udycvKVcEU/ItOX4BHOpCgoLD5Nz1piC7wUjNqyBYgO6Dt6IejUVlh
tEHz46YCfPvQSYvRSAaNRmgYJy5RQ5QIfbs6yNdjPAChrfBcgUunbLwxIyfpEVJpGWd1An3EOjYq
l/16UPp7P1bFXgNnMmOSp6CmiMvhL2i6Lw8G9IiGJpLnoS0YXoVOv5BcN/lqwWTeQb1or4cAQf8w
6+Umo0LlmQZ0VQy3HDAIxMEzu2m0z+w62Zej39LXUtg2UhucjEOSADOpJuOzTqEAUtV33KfBT9sj
ZSw7K2lrEdYq21PluqcXO0OuaVGLUq1EV3rvtaAztRparb2nlg5fkHn3L4Efdxu78sdzUrP6yyhv
NDQ5MrsEBiURNdQIPhaWMVqftXo0OcU7ZpYvcDMVJ6BA+qrPiuAzvyTbxaEO1D82MA5ZHkrROesq
L+3TRHAEMlBEF1HnpidEm/KzawWIB/K5jwLGn9kYooZoXWISgfheJh2aVyOCfkIRuM9cszgAnC3T
lUvFEK1aR/inOHaG3YgRaB0Cxi/XA8K7kyRbghGVpiPWqWqnKddcHf2ZeZN3Z5sKbkrTeNcw9a4w
vlClYodZdJabb8hnGVGCSFXe2rLzjhlWJ5yIVvRaiNA6KApSTvVKRwlIV76LzWgtQVTTei+SnUDC
vkpl2K9lVfUrHvV6TeaBucjHxFlVraUd7GCwnrAHApyJQqveSkZyMNPS6Jws5uksAxlw4TUAmkKi
K1Z6UTfXknX+sgqQlORY1odlp5Jqa/ehdWkrK7k1Gi18NxzKakjkZPYpV3jHKRvine7BC0VI02/R
e+A09UK5s3qRFxwFmcWuyj6LzwKZ9cnaMPvpBXtgs4uTLLrOqF33YKeviEP3SPONeWYXXuyJJ/Zt
7whoh/M6Jkr7atIZEoLUArZVeXp2cNtmzC+YbA+0V4rwSxwnwTXnLv8W6SWqbMZVHnpgeEzI6Kxz
9HD1c59l9gPHj3o16JO79Eid3FkWqiq0y4a2ybFEc1YiOuMqG0yHsK/Jhks89aeu1iwAfaFD8zg2
/ANwj2Ix6UG/98hO2xBWaO5blHUBboa23ThanF5LBzheBEgRLUwZ1u+0v6LwXOAWeNaIlWDimUw6
8qoEo3OM3PEURnjfgtHXFiOx8qfJzbon0QRY0CwdDyu72LbzsmJe490QVYoPzwnEYs7w1izPJyzk
QPORsbyb4PLPGXgM6wTNNN1/l2TDSrnNq48iDgFnLjZdX2mHCU/cO1rEcVMYTXdTB2xDC2JTgNzQ
tDwAXk6eRcTMk7OUCC6wvOh029M62lQS9XlQ43JSClDugngHdXR6wyALiDmhpyE8K3HBbkerYKXT
+Jl9ZASM2ip/uIzh46Nq5wze2G7F1WyrO7/Pa1wqpVgG+ejvkqForntZMz51fee2ib050q2nk5WR
/gl6Pjq6mn3OQD/fN51GVtHUMMx2Yts5eeyrL19r0393gf6PLNT5hV4L/NQRPHSKy+8vPFMEfvo/
67lXNF4RyDJevzeQFP+oS+d/+T/9y++00t8pZhCwUC3/c4V+ek6a8Pmtf38vf6rMv/3c98p8xpPO
j6Jjm3BLGVL+WZkLZDTABMAZyJlLME81v1fmhvHJ0QFVeGBkZlHWnFb+vTJ3PwkbYgZ/4wlHwAD3
/pXK/MPU2PZMj2aS4+gG2jT8/POJ5MepsSzIcq0Roa3snsi6DCZIz34QZPVnYNVsMo6+YmgBradW
W98N5jEqkAPf1k9F0z2affykyvrcrqdZ5NKpXVu1l/Dm6Q7gUsJiRnBIVRJuV8v0sXVZqkgFfOwh
5HtEEcIKoupRdomoAPx/H1/8cDf+Zib+sxDo64dzTebhWBbgwrrWhw9HclfYTiMIwiGLV0BWNon/
Ja/LS93+HVr64ytZ3ElpE7xn8J/FMeznyxhoteF0DHZXJKsR4ALnK9fIIiX1rgxWv/5Q5jzI//+A
IQbcsDE4lvGHKfljxmD8eMvYX/tMY3FCM9e9Oj5MOifLH4jkY+ZIcqffFVhY7A7xf2WXK6dTzVK3
rW7B/DuE9t+3O7pRWytynvhXt3menWlSTCsp68dA64+YPJ5FuLJkaSMdKl7qIRuXpcnhDF7AabQC
1jqETERq6FQAqtmbDJVwmCXDmlSSfhX647PdTU9VFX02K4dKKdHlt27AP2q8jPnOfbgGsFx0KWxb
2hKH+8/XwJekuI0mHvrCdbchbTkjG1CUhy0ZHHTii8cys9lEkHyHdLMjnzyILnsDO/b+65vx9YV+
fiOOgfrAhFBtCdc1PrwR8syGIAvolhA9xSG2qiiQNOfRDRq2UCN9TRXZqzEVRpoeazXdFnK8gujh
bKlkES974spU9c08/hgkUILAeZ7i4HM2Gpsplde/ebMz+erHN+vYNvsmtA1bn4kK5odvaR4TRpO0
Q7jWdfJFJB02R+9vrU6/qTT7jJPaLXF0qN7t3USueVTp95jPAEFYCM04ftcTygQgVg6NseWEhzW0
kQeVGCZ//T7/cnd5n6DsBP1aHiV0hh+kLDKoHDuKHA35dnpTYhfZUJf0TLeHCywTRyIWkKLFYNgt
Gx10Uk+fu2q6GbN6rZrgN2/mI+7lw3txP9DEGFpi18VTtPIhiA0l6UuesdBpmtKC2za/fbmva9KH
ewQKiW8TsXOw4D9KWRzTx6yLNmpltsyu0FHRX2trLAA93wrrhvwXgbciK1YdlmdMvk50aYfj3tLD
z85IHzmOUX8FfYY53csffSWXAZzmLG5uCcVKjiiPyBzwPeAOMrryMl2tWpxraOhP1IvWLiZbalEC
qyS9UyxGTidEZamj63mUibkEZmxVp7Qip9inzIFv0TS71tXHNeTZiaY1yn1RY9htzeny19+Kn5dY
2kd8KTC72XCibMNBCfnzI4+tL22KlhtBo2M9WcEmLs+HGFtEdvbrFxJ/fUzoldESo4bkhUz5YduQ
ExrQ3OeZNmOH6KnkPZcG8wWiq5bTDM/ymvAhHvobqyIGTI3XGHCffBJrKb79z3Bllrls3gBULnJ9
DhWhxdPWxCen34TM/7gIzsz1D4/zz+9zbgX/oHOFdOAEoiQakYC802igOE8cLLJx9uizQYMdJqeW
0VbEKCokRm3Iz+oBm6tbVo8BMD6kHhNQbavR1gMY7R3FaHdWNzXB16JPdrSL/W1Q2bgcOPreq94q
lmXVnhM63y2sUoGeaGE2anSh+Krxwrbe0WgB2omw0sKThgF4QZhJtkZEqzj3FA9DGz/74ayeLfvx
8yjVPaFL9mqicviS0Sbg4ByQ1aSq4JjbxbSBqXv/63v71y8R1Q7zOUorGpvsID9fMgxrlBtm7gEd
8REBJiyC3TIyScwoxebXL2X83WtRc0CdEoih5UeQ/BDrFWanwlt1YjIPCjcPSkbzWNZjcI9mC9gw
qAE7H8+a4EvgMIQoCHiBDcoG27cF+PjRsLkpsr40vPE3b+7nfuz8MDlw6HhqkWjzNH0s+9K4MzKJ
aHGFN+YwBhssXsepuvvNFfhYqcxSb2D6AgmsAdXI+VCp1CIJVGenQOzRALnD3ByAdwVRBT1yFBa4
SNV1H5Tlc1rJu7gfryRJpLTKmBdapAxWU1bSMojytdMMlzSBwhOGU2YWvmP9pqD4u3dquxabIl8L
+rgfFpeWUzHGBhjwrg0qKo7o4+L6YZIJNZIWEW4iZwNt4OgivPn1RZrnMT+t98iKBb1bmHTsyhwK
f/5GIuhppwLa14qR2r3fOywxnPI8supgvnQj7OGs+s1LGn/3mraB0N6Cl8YC9+G+eNmo42SWaG4r
f5sJDZV2VA6H0gKzKCJK+0y9hkl3V4XWM8yvZzFhoPW1l5bDG4yiojh3h/xLTCfUKJxlFN/++pJY
f1mAXUExTaoqizBQua/v/4eFbdAqCFKi1VZMy/CO1VsfB5KP8Rt1RAioOZmQyvMl6gfB+Ds8qMn+
jNlx2LS2/1QjbVowc74WffclDsNNNpCcDKWemNboEjH7FuAhW1XB9LosXm3227WjsI/Tc9nDod1O
pdUfMGiCbEIJNQ4KWKds3sdMv1Wj9WQ0wYrGyqYDcWxB8Vp3JrSDX18B56OYF4uEzbHFocjl2fE+
1rc5/j5OG6GzajrnVmTyirbEzsmBZkAOShEztfW6keFZOQQwuAhATAtJqvSYNmv4+ddt3V9bdcxm
QH7TMkqsJR46NniH5JpMf3QQKK0yjz4tVvJT0LTtDA8e6ZIFm7q3jVk+eyJFtV/RQgF/XuQwPt2b
zvSeDBGdGWQvYFje1zG7QYyLrNcRf01qeiPmrFwpUZ3XKlp1vFFDzy6wc5+GOD4lKc17lBrPXdvi
sDMDWEn9tm3ts0JLthVnkPXgJRiacvxMVk7/fjCrdaHpBqY0g6F2NqxGAyxVaOFbHmzCsXSDkXT5
2tfBRZE+OgDzo/b9N7fi4/PpEnfEId3haDcP2D6sDMrO/dyp8ASaYlmBZXN2XbGrUJ0V3yvNf3cH
5T9oxEm+169HnBdvEQ2UH3sn33/kW+/EdT7R4KAUBvf+R4fke1SM8cmiqWdJQ4ez+82C9L13IsQn
yTrKzubAj52P5X/2TgznE9hIg46LZyAWpxnzr/ROeBA/fDdsGjdzFs3cX7BoB4uf1+6osyvXKjAw
IDKoiO7KEJ5A5ND0s9CpwzXNbm+jSsNfe5gwsrVIM/9k2Hm6YbOpjkkMHNof9IxYRzMi/dwvMV8I
0Tpq4bIT1FuRSwpHI0Kk4mG1XAdt6xpoUXr4zN5YPU6RTHncinQfmWm4y4ie2KmsQ2rVqBAySpBf
RAxmW/jnbeetpGnhVs6w3TKyGi2M5sKq63wv3NQ6RpySPaINyY/Ey6id9XGdVPReWfI5pg7au98o
fB5ub3gvkVeD2tN7+BEyjg4FwgBwUMlUnHCN2Q/IbMWwBs4CpCQpcf4t6qjumLQhpV/Bb4nv4zZ9
6ic9Oovq6JY03Wkpg6zb4yqtn217Co+WqMJrv27tG3uy0jM9isV2IIkGPSSptdGYk304ahqnep22
cp1ugiKf1h6XDi59HOKCrf0FXMD+uobrvUw898wthvQogjbiQISqJCjlQtlFdA2+It7nRpmupdON
n4epsE+hBJlF+1oj+TgCTY4ij0bTIZmzYpaNbgK3alRJFkiRImvUZrnJgos2x5+mhgFAaugpHzJm
nXdGMOmX9ogzzOvS1NuDxhDEr+NdvkjMAZc4WVXNc+GEfbXv0RUd7YBG/EKnMXcBLgfcREbm3xwO
wUD22HMaBWCBxBarsWORFsSEyLtsuoDhk906lrvJRxrezUBbHzFSRvvcdytAt7Cdog3FPjs8DgPw
MI04jzot/qx1sPX9ps+3OXSL+SN1EEZR396VKIfXsnUHUtiz7qIlFZRbSRDmuLAGl0GU6OvuhqT1
EM4UXqgHhZL7viiNGkFNXxtXpDbZF7ag9bKStV/sFKS/XeZZPQ0/BXun1WlDVzKKrxpExdhOw6DC
BTyOQCb4SN1GpUYBOyedASe44a4B97q71kn0nY0bfoN8lBBNMFWsyKUzp+mmLVv9DWpNGpV9x5gh
vC963BpFMnbnquUaG2DSnjByq0tZkFErrRA/cp1ftINxbo6jsUrUMF0lVTqTZjQuGVPdZY26+8xL
pQmtkwkcTzUZKdu+rmmRYu5mJF8S5jetlRfX01IrB4CMjFfendh/gkRQnyBe5Gd95Q37oAQ4CsDb
qXaqyawT+CuETvjlmgWaHv8ibhg5ITby86OK8HNsRG9EzM/0yLkiXrW5N5I6bFGdps5Z4xn14yCs
HBBhTe7agiQJ+yhLXw373hWNgp4V2BFTMtMdP1s6N+kGGmm/amRevKUof6B6GZVtlyeX776HAgwH
rvGgBbS19mE84wbioEPkW5hWor8iQfa9U14AAGKwid+4dQry+nrluNkh0vj1S93oxruQTjNREG32
YIjByg5hEVXbSE/mbNhWKrAQimV6wRKtJ2tHqvQhioZ+qzws9EsW+3tVef3JMNvmXOv1nHgKKV3y
b2ygKG466G8OZic8jH56xvw0gfyj+ZuOHBub8d5kXhTGML7kjW88pTVFiFO3cjfwFLHClgH4kba8
7SMB/STVJ4n5kMCT4i3o2uJqsmz/PdYaIkzAL7zV/QDWRuj8YoMgEYJ5zckatkNgyuY2Im7ZXVpO
4wbLNmQceD02ldNxWCFKdUPNMFn7ICYevcUU3a+jOE+JzhADp65M0aA5yzOnFPsMcUS2liJCC2Yk
wXQLF1EAqCUxgSYTbeCQMtjCny9kHnQYp73kbIB3x/aCVr0k6jOn9uI4KUj62I4QCbBfz2K+NLhI
ibc/1S4mNM0aBg7rVoABm41nkfVNeUBBC7lFzdGu4zBkZwHRMXcyqgLQV3MGLIqS8rOq+TiIGnkk
Fk2Pf2flKEK3Ahi+04b+LkNTVN5EyyZfY2b9OXFWtyp6nl0yei8438CxlXHEEKF0GAOC/dVzb4vQ
jApPz8YRcFskLRIEcV9dN47TCKJbyU09+rjMkIUrFYBWYoGPLghcqUFK4Onbx5Tp+74UVn+WWkW/
A9TMU9Bo2bFghAv2A1g0HJBhWMaA7qggw/baGVRLqkytP1ftdG0RmWyijPfVjT4kQAegnzA8b+Pa
Qf6B3K9ZiCmxn+tg1NMVTkP7oVZSeUvLBqO7A/TRhWtV2ZNN3PlMWdJBASz1sR/fA8PT7xh09jct
yJFkVXRje2ObuneseIYXgyasa6OprAeSaTJCKnLr0CB0Xci4nsNHxrPJS61hqWx8na5MwEVOB9Hy
wC4Ypk9vWVoQ2aNMaxx5i409A/WyBnAIt5Kwkyqrxw0iPC3fWqllfqFwGtWm1NxsvDIDPbyTodnN
v113j4mR2cE2MgvzLh5i1jtaTi1AzmI+YdRZ1V5ojoKOhFLJeyhTL9sZ8AjxXCJrNnewijqCwTWf
MHg7pF5bIGFBZtokDTcaBH2cXTQ4PNq12zUpqCjCXetYa0ecxGQH0GMcc2oID6gcxFn1VGXkSSox
aasi8Cfmp4Fsbhr0hs8uozWxlKpxorUK4IzpOqmPwBZEVS1FamUXfOrq4Iea3uzsUgeFmoSqeW/S
UAc4E/SBi1jds5xdMbYAbmtF8u2SBCUEtaEesmDbk6EBCGqz/swZ9JJYsryFtBlIo3wjF0EmiJg7
smjCyiyXVl+9ujQGdiXJlK/K6iagrQNqeCDammyW7EzTGtR/PBsU9OCJYPX6JAmVfSCpFbYK6TPx
WWcUd27PwQeRWhQYa4em/TGrm3gdZ12sINHlb0wdfLYyv36cckIg6irhnnfKVudDUuKuYd7cAtqE
lpSpmOZrakP12+SJqi7jCFY2QvaW831qxiGsqQrwSaSSWtHV4LyzCaToH8cwg7uYJBCt1xoikKNm
ucGdQn/zzvgVDa3f9WmxLlQxGctomtOimHlUq6mty4pVGR/fomrgRziGSRK3L+IMYYTy7zswMIvK
DOttbbfAluF5odsap/U0hlsK0l2iY0hYcE7NN2QklUvsGna7SAYGE6YLKg8GlYU8xGEJjLKkeegj
LyFNrx2W7PusJwnfykPgmv6uDdLyVHRBfwuOrF+m4HtWKCWHJwIH03TZ1Hr1EgCsBuobhubrkBVL
oNBrPymmJ6aZ713k17Bb9GDX+KIjsGoE5gPazZVfKZXA93yaJnBrQsToYyhGxIe1/mhY7EYPYVVo
GVF/prw0O9slsqKBqWXWKdbvoC2Jd+s9DsUstHnyUgaSSdXEArGiowoEyHZDDc134ZW7mu1i2bIH
7AeE+teFF/X3yDfmyN9U9NuG6CClhfmRzNZQW1QtOKid1mQuQOE8R5OUC6+/RWvNJFBWdoFGIcle
mF/Vj4IegFxlEFzea0tDzEb/gd89uPUVK5Aulko3S0CnSdFcYnD0TpZOcOAKAaV3ieq9vqEpj+jB
t2FhLfoxrz7beK9Qp5UxzgwKNGLQIFi9qsDh6XBauG5HHjwKwygPi2fPVs0tCk3zxCxJXGaD0dzh
G0KNZJYKdLIZ2CP7LEzMZRdp3hbA4bDj29PTvQl19Wa1oxftiinyjvSMsN/rhQNuKIYLhHhjNIFv
xg32VTFbCdI0w1WiNU7wyATdRo7Rk9BDsiY3sC3MFi19rhnP2MvUwbD74KwX2ez7decSDBM99UA2
iZriwGTMQ02ILN8bmxPEJEiHmAJKbTEJX/e2YW5l7ywS8XPc985Z6uoxmXVDla+5ZuAgOzdCIwR3
FYUXvi/Se/zivrHj7sjDai0j2GbLrjSNg4HpDgpPYkHwVP2aVRWZvYOsFnqF51sINGcUcTCNBDEF
qfcWeCWPdh3aycugZHyqS+mJhRO5Q8YQojZeTAUidNAxikRaIiDJcm7soTjTix+OtY8MspoSwsLM
ML0w4ym/LBw7Fowu8eV6TTrb9gpkR0wDlpJF8tlLdYwSrpKfI9wNL0NaMWAqyUo8G+HTvpSiyGnj
p8GNgpz6KEhevIE3zfnPYQ85x3Hp91vQwA0QNEe0yZIHSxebVicRC31ojZMtkOsh61vQ48QRg4RY
5vkN/FtkkSGf+woVA2R1vLndSjmecxyDPM1webUpJGoz3A0TxcVszZzCJYaL8M02S4pF+O3rSjrZ
dg4GCzYSMe8xgFp3aRt+iN+k126BM6Q3rBfVKTD5GFRGDHu6JBwh7bHhjrCGbkWPXIwb6nP8enJi
VtvBs4Kbqph+0zL/ONKhG48kg56fp9M4t2d+yo8jHUBMVWaW7bRNcA5fob5sz61wFrHmhnOImAtu
jVkI/esW18d2MNoUnVRvmo0ooIRhfmhBi8goJt9Jhm0fBumJKqO9pK9JB1qPw9tyqgFdjCNWflwk
v2mufRyRzK9M24TGGiMJoAUfxjGllMRqZ8jDK7fEYOA6yBSGwtaOyBqTCUOhn799/az/7ibbP8qU
flQp/fd/UisO9RHtq3/WMl2qN5r673U9/tSO+/Zj39txmALALMyNN8nKjzLpTykT3B8Oa7TdIPgw
7Zr/5g8pE84ESzBwI4XA9lxh0ST7LmUy9E9zjgs9QlMwHDK9f8lkMD8aPw5SbFZ+YmMIquJ7xP/8
8C2WJSkcqlQVNYx88rGANi4lAok/EOF6zkhJNfvBPOdU5ubrD1fq8tuL/Jhs9pev8YeX/jCIFbHh
JInekAxs4YYMQnCOYTztysR/6Svjtwlj8yf58ZPOAzVgPlS86HYsIebn+YfxSOx3MboHHJkdkbNo
EP126dEcWg2uSDZjUz7qxMZuudPVOk2Vu/aczlkmpS7hSqhHpI8wXaeZn5Zcjq1zJuNhaapULlrd
f6gqX3Cp2mgRFfHRwB+1/vW1Qvz2l7fP8BW/OyImSfKT9WGNEzVEQrurLEKXW4YapgkWAg4tQSud
NddVE2nSbFirif7Ypafi6Mby5YUYZpwfIBtwe9VjMtG5AJP9pFn5KTStLW2Al8AB4IeNZo8IjRq1
59+KrEfSPKs7gx7WUxEibHDHah9UQr/Vch3hpp/WO4zZK5ByMFyvxkJfxvheOxleWzLeBWP/AtYQ
/kC4htm4GvyuXQZRcoXd4bpMR1QAb+NsncBN/XmIhmnrjBgOqJuds6L2KMmNMtkThaj2aC8gLzUz
7MHlwwwY+qzaMLeQQ4JbO9GvAFbSQfR4ZbPq0pMA0focZ62zLcAvoa9r2SgBPC2sKmc7Zm5UryxD
RYTAOkj10r7a6U7CLudwHIMi5B0snBwn12Uptby4uew730Ie2kB4bAr3s6kLBy1pVFy4COopT+f+
M302yM++t5Z9KF5KOXXvGNH1Q2ccexH2570+zcYvt2k2sZkUG2mL6ZATu4oZbFpC1jA2ZJmXb1EU
v0VBYe97DuK4DQDigW650pqypvkcHvwkfUKle6iQgeNPo3rh1shmrHdGww+Usc8hPvPjFftDdcYB
bD2o4tZJud+//kKKuUv/4+NEqUEbxTaRYVIOOh/1dGQoGxUQQELe0zSHVQJoIF+idCBUBtZeSadC
mrdRJIbTFCrtc+jLucPrwsb0o4qWt2PeYeddTnPLrlfKfR9yd7wxEz3dNoClljaOmevQLJIHvIGK
w6Wvf/n6Ef53U/uNQFdQJrG6/GpTy+Pnl583tK8/8qdrjmqLjQuGnGvYjHD+3NDMT6xQiHLRoKG4
1GfV7vcNzWS+ZCCZ9Rjcs6XNX5fv+5nw2AUpZvhBKjiESuJfGS8xxvrwxWQ/tdlNZ8qe5L9ZBPzj
Oj8HWdhRLvKtUl2zq41EPeeRDSWME+8lqVDNsa/0cZVCa4Sk74bIr/JgXw+4/z09N5aKrum9m4/y
zauhdZG0qW0cBmpMAOLhqCV5iI5KY54upX+wMgY9wTA942QAex2tTCXGhT1kR01LrRVPsbNwCmjO
tRfRKOdgQM/jXhTWG+jJpdlBckiastoK2CX0GHXmtFXJ3guoN6L36Rh3qYwwKlWIeg60RvOzMhmn
C+ra7FUlLLqzRuJljDjA8Xr9Bdu5thGWFvCswWC/x7eDdRt4y9IaGS7Xnp98lplKV8HEq/oAzgHK
cmp+63Szw/xdBA8WTqS9lhfmitFet6ry7AoDWUGERdgeYmPMOOC4w4UCNYaPTg4wrhtax2TeDOoy
xCy00xI7PxZBr67HrJHD0s4h3oAEEkTTgu+th+Emis3gvAkthmkob7f42C5pyHd3racH71Ua1Y+R
3VtXGeMy8CSudxm5lbkcauxWGeHUN+hMBB6J8T52uuoyhPnG0lHJveJaH9vMj05wjfL7nkEhLXR9
xlsEjHMCsnqrKn7uqzI6D0OXRiFQBsNbFL3T3bDaZ+dOGb77FnK0KQJ/1Si7erSJEKAVPJav9oTB
LB7daeV4w0Moyl0SSkRKIllHpWFcdbj01pEbJ5dgxbxHyx7KkzGW1tHM6tnSMKVvTARwsyc153fA
1PJ8JHXrPJ/KeYtG1vlaSlXBDocD0AycppKw7g9wZPzznoCUHSs5VHPiP/e42sRZNTrvfn00xCOg
KX2NUt27oZlbHFLZNKuJGTzGvxgT1RSM+PEzrczBBxqYs4HWJudeOCFd16bxTkypAeSaQWdgFdWD
0UzjeTqSnBvonX4aRdWtAlqFS3K4+pUyuEGcrgWIix7sMOjUstnpIYHSIDZaSLn2F4RvLigbQhwq
UXkbu2WcFHKM3rfsMueccO4IgqtWHvjtDaJVd8Me5tx69KYYC2fpsx1qyLyaiGAMiU+ehjOtvrim
8VVNI2jWXMMwNqpiqY16Rbe70NfWFFFGAkM4y+xi3IlKOduUuC4o/M5FPtTbzMyxobhTeea7vrWS
sYuQzV44pHNsp6BblGiG6thfIuoAJyGKFxmOW5pV0ZHuk7solZ5c0c8mp3gmaCc08CwCwoGXzGMG
AE7onHT3KYmGkXhSPe+ujKjqr+28fLLs7CWfAlhpzanJnde4y+3LCQ3NrtRmMJ6R+Sw+82+EyWUS
bd2ny3K67hvr2sU9BiqkblcUmeNN4MGYMntg3owMYCtHBH/I4ryOpmFNuzBfGsrWrgtgHWCMsFfq
RjJt68TWmQLQZy/G3Ph/3J3JduPalW1/JX8AHjio0XwoCFKiKFFVKKKDEQpJqOsaX/8mGE5nhGzH
HW5k472Oh515r0iiOGefvdea65oxan9VQZvzh74233sUbTujMtQb2ru8TJTRfkgH5QGUKVd11sgg
W+zZ7cYRni2APKyQeelbYtkcDms9f4mAEh1UM0XPnVHhUIhXV7MpJRsLuAvGKl0OuJEA9QrquEO3
RmsQEo96Z0WrvqP31TmhGpnOEi7k+sLldJaMMDmdBC4MznEfZHaT+1JowiJdBqrWQbc2FbP6WiOR
a/inq+VIY1G4hdzPVzifwi80q1YXzC55JPYE/ayZS9KZJ2sfQ2V5hfncX1Opya5lZ/I9LzmSNQQD
oUM5aCTofib1yfhJm9jAE9mFQRFqMTBo0t1w6iVgytKRRvUMEfxttosndWoav16SQMqJcORC7Jmw
mB4bhv4yltJ56KbTkvDLgdjE5K9tbXxAGUg50xfyJVfGN1ZKAgY+r6pCoRu2uU14JL5BmqJxB4sV
AIeJodHtNihHX+p4FM3cz2QGNXGEuRdUmAPL5zikOigflTZWpmrX6QrYCDnIQ7mO87V+4X3opdY/
kM+QbDO1t4we2n6qIuGF4XgTl8kZzIjmZak071ZrbN2kk7Vdj/A1wJFcB6rOCq5vwJEZTDykd6pd
BjbneDSfUqPubQdboYHxsV5e6pRlA05iker70Qhh+G10Exk3L2yXNoCasikG4J8kVPD3skFyDX/d
za1xH47R1z5j1c+TR/owJ6WI/GrjqBR5VPg0LmVH3ygr8cZbwSmZXs1Vph2wajVMt1Xti74RWjrC
z72ksbIDu8S+7MP6IcIaHSzNEOquGDe+S7GhXuYN+tJs+BcTGNd1BSDqnak7KGZ93rbBhUPGBozp
OLB75or7sjMSdAbz4Bvy8DIAm8E7uvH61pMoIo4xscI2i2MUkhOQGrtJKnzXKYvqLEii3AJZJrU7
Imdwi41so8TAabRUJUuTcyi6KqdvUpXAahzynlj7A0lDzjxb9VFh1IDiIH0n2sLWd0bJ4IhpiNI+
qPgYj7X1bs7q9EHmc3hqZszOU6gr1/oFxjNewDxVNfXfV7ah93SVLa/eMD7iQvRZjLlhe4NA/gij
Hor2BQMEBh7f9pQnzXkZ5d5bajQ20sYO0vuCwIZEWeRnlp4U3xIgyK4pMfIryxTIG4NotYiQGwi/
cBcRGw9SFs94YZe1CEgfCmMP9OVjTW9+7hrr1pLwrjq4B5+XhMSAuqJEieT6Pa/n+bEuzBzjpWns
Bi1n91bVwj6jJnqezfGuKkdIO2V8ojm6MwYI2706vIi+fWo5vjlqmaln+irVDo3/smPbg4hyoTUx
qTRf0g3hVFFWRHr2I421gEyn/dqREJiY+6mfBkaMGiedVSvgJ2QqKAUsrVz21K9SnWhTGd4dsPJF
ku8zOf7BhvaM0uOt07WgmSf9RF5Ls4uEZrtGiiNCJ+ORfZcqLIx9HY+olxrrclN3muyGaBw8ddGa
E4L6Xc4cLPam2ew8O9aGU7ShIMy6gQohMd3wUjSRjyy/1nG5mBWhRWk0qW3iNAVVpxaf5CpLruHS
Sx4uVHXfgBs+U8UtD1WaoxocJ/1OWCh3i/QNeBP7zawN1wM32m3y4cZIu+pKiivJ6XQd22ynYI+v
waGHStJ7QgUmpAIlcKtW+p4ykSJYCmoL7ejN090YPnoH2hSdMXvVGuvHbgrFHeV3c4V8QtnXRNmB
M0uvC2luvmL3N5+x+lgYvVG3ONki4YtHwXXf0u28tUMhgimtvls5hD/dbvGHs/s4s2kc0J2QpdH0
Lw16qGasdC9RMLosBWbjnlikUBbSFz0prJeymCQ/Ib33qdRarzC2E7y+oH7Bci+9kx6AsiARxnlC
U+PODCWYZzFhvCL8KMerhwYFgfZenXqDi1pERxI/6zvTYpOKqhwLSjl8wVTVHEnhaL/CikMeozfb
+NRoJBaeLR9xykiXAs7Js5OELpEtoTtFNiQ0zPHuqmt6UI9D+FQucXOWI8XymrgJ79W2hiJIkvyB
Gmy6r5S8/NJGLcLOYkLahKH5XpEK2QFEmb9VhTADCHPlh80kIZinWnOthgoa2YF2BD5CMukqlcV3
AgRIlB3XlOAVBDDXlbwkD1FElcdwr0meCU/WWGprtGhDGJ1ELstBpBbySZCj4hF1Afgx7rpDuCFG
ZbOMvpUaDBxSiRVvkqbiTWsG+0S8j/68CCE5KIoMBxM7pDPCxe8z5r0PFarkq8myyLpLRTJy6ZlB
MftMfN6Y1O26bXMt43OXarsVTTsFW9c9A5DTmOXN08kkIdk1pqY8aR1ROAXh7v4ahu8TdOKLUdrY
lflC6Tar4Y4+mAVlsEWPURbq/bQanT/3ormOutSg/jT0/dLrePt1tre1iOz3ug8Vz+YAeIgXq7o1
oiQ5QZdIgIP3FORa2VxVAGXYNTR7h+OPwZGS3GXSBLo3ojK3Elug9RFMbkgNPClre1vIsQImS8cA
Y/b4zteM9mGt2IeeNuZRn9rsgx/a+KENzRkQCU23vCfsbcqXDz1cf/RFtjiWjEqlnqwIKdOMx9wW
m2cPt3WRl+F1GEenMcuoHIV9o9RL5qHNHMHo6smXREoXb1rzr5U1giqIUvOmHlC46Gu6KxGYuJXS
TdfbIZ90qvKdrIWAEFSs8729+GEbA2xcmvQ5jhVJdUyIrF7MO+flI7NoHO2lNwytOGqUYG6jKOVT
RAEfcpYbnyNZN7C4yA/pEoU7LdxZUxiIrMmuQJefoV57ZjSxuCyU5LK8A1SzwEddm10fEaamLvNt
qnWvPJ4zMVBFeiKXCB/m0pIB0pNEN2EMDtqVJqyTySVgDpUHNQ/hX7SpcUuwzNc1lk8R66efy4q8
1QbJDiGqBL5MUnzOeeHewuDhZWApz2OdJ4R1dM1+7OzVl/QND6F36ZUYGaU2Y2HdDuuiBR3SNBxM
0c1oqjKq61aOAMENYnLIqCIeL0uJIhdVCP50tZUvcETcedNBNXnqEPybR0RkSEz4Mn0fV8fMsgBH
ReN0pJdHYrUlzeNDp6fl1yIET47MSYSQ3stVcsLYJIRUjptZduUxPRetkO5nmGw9JDltBBuyUWYp
M/WRXNOsPKV9KiBBlu0JLyXHXEjMLsSwxnJIr5xRtkn2y6Cu4bMioMA1I+cWp0/I7XGKEp4zkawi
gH3XB8SVGAhF5+xq6Y3hoC+Vfq/OmhYMo9L+MNqUYf3GdP1aIYtBPFAQ91nXvIwjiyeXxr4OcSwc
er7k3lYmBBqGloF67Ho61q0Gtk+enkfobA99M2kn0OywhkVZrY4ht7cq9/QMTIYvs1r9c6RM73We
Kj4nIUih8ihugeGQaTyHSI9UdaRvoG9aLIbYt+y2wi80An2oPgpnWaQjWa7E9hJEvgMdSja5aKRN
lUoekEJgNGU6GVgnubbNBzOfJaTJykTBXRU3ciH7iBhR9kY6K9YYJXtjGbMruyVvzu6rx9nIvrc1
9OMlkZx0St6yTEsPZtMCd2lR5DD5Btw2f+k4/Fi8w7CqlhtCYr/BQJKuCNOJz/8rfc//h8Z06NUZ
hW3G3H/f1Lyhy1cP7a9dzf/51342Nm2NoZtKN4i4Yba/C1rgp3DeVv62KeNtOosaxC9r82T9t3Be
/xv9VEI9hMbQhh7m/0zqFNqhyNx1/qLKoUAlcuO/sQt/H4/9CQemXFj0v7TcLZm+JnxJRYdXg0Lf
+jQw04m2qSU5s/dpmxT7JZYzRiqMK/pVdWoWxwg9+PyYWSkKtjHHwhqv81PBQemBLHnqBLu5kRoy
bTmNzdemMo333aidRUnbIyOvns1fS/bKXMlM/Ds6iHEbPmPfLm76TDp07fYiDdZwzdH2XiozVnPS
LV51iSEGiVxsbGMOgSO1LIcIRZC3HWcphi6DtpPMxF69WjfGRyK+LKrCnmVwWuqbNtUYzOvNIrtF
XG3skzANyHk091LJUHVvdxAt86GIX5K6fs8oV0wv6rdssjlJv5H0/DqB89snmnZKMT/SLsOtO+EO
82hvdF6pLR/I0QtPG8rmNCO0djqqu3vkICiTWWvJ7c4RTJFb2yZ0Ktd2Eu7YJGiW4uRlnFPDQfbK
snEBiHXd1DiTrh5k0aLGx/tSMFbD/KMUgrwohVDGqS/qe3lK3ya902DPhqGrxviLsPRM3Rbf860Q
7FnEApYjmSIwB1DXRQ8jwrtenaSHcTDz85iDIQcyTQxLrYXymXE/ZxktmuLcRdJApS02zxJFpIz+
auPhs3LFcrlPehggoQIErW+IXnH0skX4IZEets8BfkugRTHUY4XqU+BZSpa42tyBtlzTsCcoisBC
Ui274UuvAHg7dA3c24Cok/Gq6fUGSYm9AmUdoeagrTJlCq50Q4aTOqTJP4xGnZ/LkkRfgGCdiQjX
vNj6i6K3/UVa7DsU6JmBLh8WgitsU4eTP6023iqRJi99Z7Q3a98TKSeqNMJuIELtNqY+Qwk8ocVr
t6TrpG5B1NvleMtgvRPnJevJ9GBIJyEO1Mzc9CdNYMW2WzFN90hSw3hPe29ornjCVAAPFlGEXmc2
ykmiNvuo6qS4NlukkX5P9lcd4E3puOecPBn2ZQ0qbeDGE4WlfUZaf2BLAlmLsBCBY+b3cl94o6XK
jmqaka+pJzw3L3ln3s0p4LQ8QSHWJe0+7okE11v5Jq/ZSyu1uh/V8TWstYehNPxFaMspsZGFFtnW
T22OaRR6DAkPRnxjFOSblKadeTUBUT3J3K6mTLrXF/ThIzlT70huld55nGE6lI49yndKnwC5mK2z
LDf1jrraoRiWd+xYYC3a4UNdz0UPgI9cTU+I+qWQFJwEsnyoDXTDU9sCOYqxisJEN7wqk940HPAP
NnGNAEu7O4sxbbepuxr8YzwMVrQHcpqjq40fC3WMgww7NUWqGu0bMwJyahQLPjlCd0VRde6yElfK
BFv6rqF2dhozmEvobKsKm2usSbIvLZm6aps+aAgv3dRWKy9k19/cLMY3e4keMAQlXmIpQzARrskr
k+7IFrU4iJJxioLS/LFqa+e3YvGFNXdHRUkpG+lQks4RHkbdfGDpu4kgADtqsyhXWWLt+kIHnpYT
HMy5I2hsmsW1NQSUv2/5BkKbDeTJWXirIqJmhKMZO62zHqV1FO+or7LXYY1+Tif/rU9d2aA5v0xY
LbJIDEAlCH02XQYq1k+DrJIwHglSr72XItoFcUFksU07iawI5OS3MS6ExJXWQYeL22TdjVzNyQv8
KLKxZyosvC8gtlgne4O3jiQh+y6Fn2b70Zy1nJMTOpgO0zEylDHrL89VW4of4xLyPot2mkLXrHMT
AWCxtgaJ4EO7+c/b8SoT0OWCOMLhcWihw3zpyzq8Hpd0HHf6ZTWRLitLc1llum3BmYknlQ5Dv5jK
nvcSe33blqD4ZU3aWVTG930qLSbGbtlEqtuwTE1G9EMJgTgofbQDJT4c87DbTQwpdwOmB0dNx6Os
xdO1LpcM9zPSW8nk81OlQMCs2LFXcGhzldI2UP2q95xLe2S8RnfEl6gHDaACSDpAjUWVdF4xg4kv
S+VKZVzxLqyqfCL0u/I5p+c8q6Rdoj/IxEC+yUjaumsQXx104bqp7OW05enWLFYhrRZp9pAsnZiu
ORkVpEoRasuAjBm8bbSu3EgFQSJR+Rw39npHvL3mEOd2Sqo2RZgntLsBth6CxjAqv7Io4LNozHUH
a6gioGNtE25ok96O9WC9Rb0++EmZnlviadDYJSXS7yIVN3j7slNhJ+Z2BOmJ/s4h+yWkbCjGdTwD
ES+tQgqIwdNImh6lQEh5fxdKCiczM4p+gBTlbZ2TZoAzwOo1WqNyG+qDfMa1l3uVEK9aHnLIn2GQ
dcAr4JAX7V0e4+FKdCXIi4qJSSOu2O0gNQ7SeG1FjeUZc9v4U8z4k3SwpEXc0/QLMUr6CzLF2efK
fckjtn8tw0xeRZwwJSumI1qLR04alZsBL201VCEIaeHjq2+RDLiBbsqPRk0hjJQk29JxuaIJ5sUi
PeaKuO6K8EuI59Zq4kM1Tq80dJyosk/wHZCtDoO+m9fhrYhxMGWN+l5pkX2TDTXpEKbc7ixyP/aV
6L/rVtddxZbg2Eyi19ti29MVcuXuXFTKcug60NxpnVhI+DMrGMfuB8WizklQfRu13N6hGjbcJoss
rxBJAtRG4vhZRAG6aHFC73uD9WkBaj8odC6lxYPIBC6+r0OQmKhLRkhlLsMcsoUAPdjc7EybUr+3
ao8qYcfcrb9ZsY55CC6XwNSAbdBLhrgWzjd46sgQK5TyKInFoPgQ5JvPpjhnBO/cYYvxCdNKAEBa
uRtNMhmvzAuTKyAzCmNZxsnvhBePvjKI+iMbcQKwfVc7bVgrj7Gu4qgF6dWcjiIPSUsawJmBM5cz
//464wkkb2pelC/mMvSQCVv805yj+mcYgjgbyyRNIVgncEoLeptuSs6q4ejK3NWBtCXp+oQsFdfh
tke3224NRJSNu75s4sZlQ1fNnKOWddnox8umv14KgDoKKQbmS2GAi58iwdjqhXirHP5XzlH/34ki
N083vIc/Hbb+T/n2vfhe/tf38u2/TpAlX7+3/3Xocv5n9+sB7B9/6e/nL/VvsEVktj2VLY+EJw44
/zh/wbBRIXjZdEt0uL//OH8J9W/8XxSOZ0AZTBm95D+UJWgodTRKaCyQzMn8E/+RUlJ8UhnjpubN
55sxeQENbfHXfhOW0ILscL4yR46nAmKQzki3tjKf2q9z4rCl1lrzj95IamAU2SvkQ7x6gF7dZiT/
N6kIfrfKzgsZBRBXlTyP1TK6v1zkvx8Zf1VUik/al+0rWrQZOady2sAn+ukr0gPl4JhFbWAVVMES
TjQ/irHdL7F9HJvmu6bOJ6MbvC7CTZuxnfx8Jf5t0fJvvgCMGIVLxXl5u4a/iCyVTNTWpOWwJzaW
r7rOo7t5b2Hahn7c1DgmOBKhmeuvhrgZaPXyPf58Dbjdv1RN5uUSwOuShYbOU7Y+a8E7LVFaBARN
QFXP1izMxwGVRdL8lQDuIrj89TS+XWvUNXyMhghb+YwFQwrS9ctSNUFZ4aTt0cfvzL4m7q2wd7CE
E3chO96l6CCoZJps1wxlVuJZOeuECNDXsySsu2r4vUv1yW9nRb5XM3aZ7b0IbH1uD0PJZtoWoL2l
GhQmbSPT10kDctoBszrdN/JrB+WukYC1xSEXcmmMr1C+DnLbWR7qCniiJdohic4vmro1vlnCp3Ui
CTAuQKoJS99p8zSfKNo+hLpmfjfmr6VUWB7OYbif9vsYF/fqan758x36va7d7hCvhGzB/kM7BqVg
u4O/PCPmWsos3Q39ZIpyAg+WrykmD8yaPXBuhQMOw2zHbEZ79+fP/Uyd44M1jPTQdUyU09sy8vsH
F3Tv6s620sDqYrKl+pw2nLX2e0WpmdSqKGYYOI6MsRQMZQsvdMl0zTWtkhtK9oifx9EO2qnt6thU
HWjymWeHpuVUzbSgNEFQbCFKo6kowVn+i+9OF+nTY60ZkM2IZwKKCaPhk/xXHmxtXMw4D2xB8dow
6rmO4qx21RFA8zRUfkaeUUC0Q3GqZ+swqgRGZNEVUHDEFYVx+LkAafOu0o+GaVBmdgOIaokfbTKR
cowcpc2srj/+/L3/+V6DWgQFgvJdsXXNZtf49V73AIXlduRrT1K7+XJZFGAfZT8vdGvUNmVOj3RB
y5W/EKhuzbDfX08+eWvW0TUj1fYzW3JQinDCGp0HITGg7jjYloN0pvP+/Pv+1ads5COLk70Nr/ST
FaPM60IlPyoP4sUsA7NliAHa/PXPH2JdHB2ffwx4TAKATebD8I9/v4yQ900TSkweMPH7CE2kIWij
bHT6pUquu8ZLbksTewuMGL8Ua3ZV6PmHiLT1XK8pw+UhZt9ZbFdoQOCLXpeAvEfyPu94yLN0UtxW
Rq2jlhxpDai9kD5PCpSFA+5qUHEzc6ERFPiOOAvw8UxNfKvSAxn6uauLWXGTxpYIEecf62JdHKHC
IAwaaIGQZMRK1NASXFaU3srKf2tmQPNpFCHmgQG8K8mApbNUaztF6Z5naKeU/cjPwz595ejyqqfq
uajX8CqsIe5pavoBSbzag+qwoaKWe2m2ZRdTrr3Lq+SDwtdyBrRNOChNBkCjzQMneL7LqOM4U+ev
xsgzqGXRU7PWRNLk9iMAVp7APuN7q+cysXFSxaPiE1b4gvfKdqdt9V6WrPsCoQApjUS00jyXipsh
E0R4nmrfhbywLCtm5uVT8tpFs+WpnDLdiNA7okD1b2WrpC40CeBU1UTxgFzrhAVa8s08/RAxP3qM
es4IMEMceCX3QMDejYzdc1LhynJm5ijGwj0NdedTvgsvJaTALVrpxYRf7WkhGYR2rFpo5NXQHbQu
Jvl3LQMmfa+qxu3A2Ui3oGMHzpdeJbq5ODLRfUiF/dh0RcFriMIsC604oPhR2VhGzc1Vbk3ZtfdG
sspOUQ+3FBhBaJavrdzRH+SwBE4DeJI9czeLhcWybVJOGpxMmib/KG2aBkYzXjf9CNA7+8iBfAdz
t5CUp/FDu6nQkcDchCpPoIUW10M5dspCElcFKA0HDU/GyBnRf1jznONKkwhMob7CdFuj0ss+pIgQ
BIM7C63+QxfVlk/V6M9jhpOBeMkSVAsxP/DxPiqbZ6KMWa2hrVoeaoYjegpS3zN26nwtXtFz5LcD
AdmuMUrWQ6fkuzWNX7GfV/t4wUBvgIvmkMRvpDw9GikntsuNoTI40bzs/UyweVye3WXisWFYpNDn
JYe4jpNXC62to0fqWbVyO+iX/NViWkffPXkVPa/G5cFtV753WM47cybzFY85LWLrkfTqxYkbmfno
9goUPGFCqOeuZ+Kpb357TavXm3LmZg3JVm1I/L2qqImOjnmCVMHt70juRsBYyZByxvg4yYw7xRQm
bm3x0FZ98nr54nxdqpihXHcpIMLAtvndCvbxL4M9ge/oZdbreuZVM+P6prLtBhA+985ccBivjXkQ
BuwvMpgkJ+lBX6bzeKR9geeEoN/d3If4BFnAAAawYJl0UJnSnnl0gdttN5g+5VnJm5eq5r0y5vSj
MfjWYZO+XpaLwcw++pk62hq5DGUa8QEdgtA+ZwepjSWlndUDZpi4iBwGqIdW6imqZJNjtNgDlKMx
QCish6fJAk8vMt9Y6xddqY6X3QnpceXIGEV3AITDK8VIP0jmCu9I+IaG1jGahKrjtwxhaHQpHuvp
Gw1FqlyFJ7ek6HK6LnnqOt5jTeLvjqy1nJi5ILMetGb+2lNfbcvZAhyLTFXjdFmUBp3lJe67l3Tm
uyWDcVIqY903uX7mvFMGdAAJerLS14WERtdSW+zq2F9/nibirWAxEhWuBduOUZmnyy+cluxjeyWa
RD9vWwGhNee+5otd7gEig1MCDBnUD83CbDpaNEO3mAweG/pDCDcgllb4n+VUE0e9TT+yOsr9duVR
Ya69/FzpLI3FRI+tx2rRWVGNVQJYaE+3nbX0/izx/qa8mf4krfxblibtmRuFV/12d1DYIOsFfLRG
pYwOl/dwxpp7dVmJiU+jEDOi3Jtw5vIGU2Ytq4WJBWqAw79h8E2sedfN/H9J6J556od6l1QDTHfY
/6cKJa1n6TXbT8eKwDPMn9/2FTXjS3Vb8ZwZ+lkQCrnE2RKo4dZYWriQ2xM2r/yT0DbPoO7q3YiG
2pkqHjoE/LWb1zxWUAYw3Y/cGtWmoNjuLs71F1JvEELErPqcgsqgifiDzcip4LL+5tvqGKKLCJic
qY5kV9B3cF/72x6H4Yks6ZinWh94gcw1OxrMzx1l8/6nNVEXl3J4SIhGGRCG3Ehhvjwx88cIhpwV
OQDFFTQOelw8K2VfvELC/6CZ+BjK6cKG0TbOOHKpt90GxAcbY88rACkKKIppIAvBxI9uBNuw1oPl
A6syALUqmx2pAhj6jTY5TZBoPB2Qnavp5o7WPJbxumLDW/rmxCrZXCda3B+0qcQQoBeGM6vx7A1i
tXfZMFk+IgC4mbR/nKqblgndgi7vWwYirwgYBlLKhZbsRlGTnGMlqNJN8BfQtT6qpnoJaRfvZk5W
PyQ7Wx/UPK2v5RI/cVT3Dym0noBzTuIpiMNe6IAmDjB/3OSmmnjxIBimqKtMbF2z01eOSZC+t9Kg
HgFD6LF5J4aCDKN1QeY8EZKQbakoZPImoDCok5u1Paki1tAFzPQ17eiVgRoZyKbSuWNGJJAyrd0u
w+B1vba8TnXJYr8d8/DaZzQjE/6DFuIO0268tyV83eDHcLaXaeJOVd4TNlbI+AyQ0eME16hRsEjF
CDWcctPfo4RAoknB1o96DWioJHwlrHtfMbVDbzcvsEXAnBFK7Yzkot2MKv189LykVDKjBDJJoG/M
QJiHgj+G7Y2/vZaDkwgx7NpBv8qr8VuURxNJoS0stMYKvWkOEagpxo/anPw0Wn4MpMY6kohZtOCE
uAiGMvQ7PZxCBR9AmpUJrjpcDaQ/o6hGFMiMLFH3xL8R19mRgjdGqBll406aMldqWQA6YgMjQg18
fA4/4CbdSFN7nQD05CGcnpiVXuFJtxwrKQhCtaX32uDhMydsFsqW2JMN0ne9Z9VNG0FAxqqdI/Q1
gA1kdMBq5pURr4GcDp3XJkLaN0mM3HgueGu3k8+a1akjryxLyZB8iLmydzHpfAAhWWmqMl6e1F4j
StlEozPl7EBaaYQfE5gvl+iv/LlkpH2trfLLxVcpiY6MZlocRda0P6LV1ljewLCuholwvaIIjhHU
7tD7tQeZM1zmpBIypss6Tqj7Ebv4RxOxODDx732JCUMw1C3/1nai122KO1PlNbVqCplSFmcV+oST
lwkTa0arbrU9ohyYA22aXu1xsIIM40Fs8cSEaBYZXI8smmwF2/ccLZlxP4tTZwiOhezWjk2ZPYj4
NdOrF5kutDvq8rlb5xRfq8kTGnfzlRAxeH7ZJNXVjO5Q0R/rRXzjANnssBe1152stE+DlH1N2dMi
jJeNsthX5BWqsM7S7IY5iATKhk2/s3uq6205XZlL0G5nxxutvt5NuvWoJnA+luJIgTHfrebMlLhR
b+qWukYS9pEpscG5ERhJr0xoseeCQCA4ogq5kT0zwdZJWuNEdzy+k1tRf73EXJWUyb7IzAPmqPYa
qIi0x7hUUWBxTaGhcJ0103qu1LKFzZRMj0WDrBz1FoXn1rxKosWdsiwGvcC6FkKR8rMmnpkeq8rg
GPa2SG9m2XGsqb27fuXHUmMq61gHNLkZZLbVPo9EEMow/5ETfZRS/BGx27ct+1BX6qdI3WbF247e
zxzCtnKn2Z7ViMfkFGoASiNqAg7XZDeR9IhAjQ/Qtj2zXKocBQKnlnWmQWTCGvGGqH2pEOS74zRM
t1HNK6XoMje77MugH5bwaqEz6dhyPpNr22f3zTAmbiELX8Lq485mTHXHid6/7HJtX5XHhGm1a0N1
8SLLFseo5mNyhWd4jtX1WwER6K1NZlTNSALogMBOt4mVdgeJp8leQKHmU8dfaYsPeZXl1yIcy2PO
rnd5+jlvog8Gh8hh9YMmBL8qN+6tOQkMWzmXDIVgy7BzpTXCXBpVurYiv43s8QZFLY3NbNsDI57P
ocJN2lFDsShE9bm10QdrvV27sSA+TpFjzBcsYzQjM78wEZfiPLqSBghEY11fL8q6+hrDJGdBI0D8
O7cjkZTbvB3ByWsYhaV4Esiv6UrxtLPFDdyisdTOl70XFFPHkxQ+/vngfwn6+3zup8eooG8yQXpe
RsS/tMrGdDTHKF2yQCo5dGYqDVu9R+BMBCDE54LITUlk/Arucr+i5I6VYmCpqZ/15ovV1I+ylUAw
IVl2t5UZgylLvmGaj0xz7mRlXl3s1tKeiDOoSRNex3oa74xCQudr9RTAffR0aWRezkiQqt+Svog/
jBn4N76pM84iILZSL44KI5kro56L4ywJCrpxK0pNzkC9yhrSmpnC+Vqn9gI9+/MQNuDUv2eQmRKU
fl12je1qaG95ogjWNjjzenpkhYdMiPk/b5EzESB4Ar0YXlNEWb+3UtIc6Fd0ofJ0HDkscwqvuoGO
hKFQdBWZ/pxcFl76+Ewded0Esuy/aFH/i6aYZTPMMDSCJLdpwu9fAUYB9EYlG4LU7JgBK2u871rq
pNhoyGWQ0paICEQ+Y56of9GuurBVPz1QHN9JzUGRhun2M0WANxvne2YPgdXMZCmzqHsECYr7ZIID
p6014Do5Df1QXit8L+ldNRYj2g8lIDBNvPz56f7neQrqBsxkpNqhbkAn9/tlGJRBrvGoZQFuWsnf
GgZazyttdnPvt7pGFjyr658/cruyn3++UGAoMJ6QBYX37x+plsAa8MAOjO9Vy8+bBc5NxH8TOTrN
riU0OJYmkqnbfJ9EY7H/86f/i2YhcwIatDaywG2U9funF1xUvAFSHzQWxVhGQ8clVa77iyf8X1xW
uswKUkWLvuc/janYTRXUjXC+V5Fo7rAC0mvT+RtmnVNn51+XPk/+4hPFv/phKkASi/72RqX59MOa
kuyKGdFdECVpdx32NMyTXmsPLAm0cibrEdE8HEOZ7pliRK/FnC/BOIvamSNyf/MxeVv/w8iCrde/
zRHBgfOw0wT+9HAhbW4TW655x7L0W1Xry/vP4jdLqfHgCJ/+fGsvsQS/P1nYwk3kowLd5jaI/P3e
DoopGSE+rMBKzFMLwMMrJb30q1BLwImzAYvR+K7l6VONIRUs1FObgOIek+kG8/Bbb014MfRk/YtQ
js+5KFwGHYaVrvOo82obl5HILxuICl1siRAwBYU90qfJKZ6NhqVmkEu2TEU5DFVzjGmSfUFzUO+Q
dHTsdFi9Eql6wVJAY4o6zslrRQFtUi4UGeppwlJFinP6w+j2ei/PWKIoQXqTTCP1jL3hY4jIkSui
IYVLEvmxSafGhH/hghD08m3qmMGMAzuWpy4yRdwdRCK6uEpA+oVl4cohYLhxa2VtY7vLxoZLrT38
+ZZ9JqpwbbZJso5P1Pi/zJ1Zb9xKtqX/ykW/s0AyGAwS6G6gM5M5aLYka/ALIXngPARn8tf3R1Xd
urZ8yrr10mhU1UEZ8lFmMsmI2Huv9S0fhtP7ea5vDRN5K2Z9iAh22cyIWbaqw3OQjwV9MaUhnsUi
oXVQOJtuGMy3j0lrdevkuuJAqGjVhux0C8zns9rsjUCaTImG9dy8rGnmbREtl6t7jyhvOqHEg320
nr0FJf162ym8rkQSrAJjE5/Xu9tu6FjnGw6bHEpbzJ+esaOnNiIZbHAkkjIdu8UFuPwmsFLUXJBS
9s1o1h8sq+vD9P5dQKdxbTBYpgmh5td3UaSLqAeCsg4E1Z3ZIxfG5k5IysH94IXs31eaNXXN8wEV
oblW71capiChtvOM/Hb4aWnKuceasxWo2pU/8qWlw6HoSiVrd1lDPtmUWcObQU2/xVsCJLSOX4kK
eU0gA16ognovowTk+mYBqiNaJxTv9LcvGsFsXuS04QyiWz+Y5f3Vl8YAjwGoVDyev02OSypX21ri
+hC3qFvtHPEUNop6W7ScOhHL6UCM/be1Xpoz2k+9jn/MhffBigWk4/13hiyCeSIxXM7v20Ru960C
WVAfTKf6LuCib7kMvFje4POcP3o1+3dlgsK4oHzmvsIy1Zu2/eeFCCkV+nYb9RYHqn1WV/NuHUsu
Lap134okDVwO1EvHkMOGpnldLNVThZ8XBSyHe8eMXmsPXwTM4eU4UHiDUs2ozOEcorJuh8tUjB/E
4P2+j/KOQS1xIHZZ0d8LCRo5qQIKa31QBqbuqq2JXyBBOuhN6ida2XCVzPyDoeVfHPh5Ne4IMHYm
y/b7Jynn6DBWGqNLmNLYRAbrUIhP9kVaORPW9Y5+KpJoKtr+1NKeOvcFjcq1Z0i/3QgKG4dxUtJC
CBkU7Trc9zRCISXSWrH2mtNsLSgxY2inOyG7J3vhvPXWEyktCieb8fO+U+tqlkj6tev4xbH7BK53
xN1ZAQx0FuUcIvIdt0koPufaXjYWfvhNbbn4hxg67GO1HubD0T/IdUJJHuOnN6bU22yjyh3Mibn/
da2E3aTj5SaTCUX4RRi4vuu6HffLwm34wVL/V8sGqCIEPMyEwX+9Pw14BOc0DstGNHfxTQYxMbAo
X/Y29r0NjeWKPZAiN/HtV9rmdLMlX3Q5olwcezsPShcIh5rpEb2t9Xh/GI3OCapcp4Xs3HX289to
Ewmoj+anIPmccfdVnPIl/PmT/H6A9VhfObyiOMGc9j73pokcRrAkJBwIap43/TSWu0Ktj4QTD+dR
4xdb31uKZ4dsU6SEQ/bBnrmGa75bNWDRQW5C84L+xXovofC9KfNHFNsHE5bCrrKbCds4/X4vpxMu
tO88lLUsyIaKMyyqPCOZww45GfSxk/X/yazUu95UBc54blP2LiZKq7zdJZbZtPqzbK6ewDsn27f5
A60Ny6DPF05pEBO5+STrdRqAGYHZku8dzGLt8U1rO5c45U+NHp0HM5e72vQvmsFONtKFMDGvmhcE
wT/4H0OP3DC/O22aH0oPgU2mGDf++Uv6i5MFZGMyLsCtOOzK7noVf1rsBmZ1ZTrG1UEzpHgbEBSg
/3fCYiJUJzyGS5fDSM4g1prEui9AYbdh8sDwoF65LrQozR7hVOOLLbv1p3xd37R7T6B9wly8fi6Z
6O+imVmEwql5+PO7/33dQwzMiYLnHrDObzVS3xl1CxEJKI/nHKyQ+eK6VGQz7ci3bhRWyg9Wvd8O
z4p7ivMpRRlgdjb29S39dL1iqw3nJqMSpLVdb+a6U2jS2Y7fZjHt29fbMxQaWF9QciAa6dcx4NDh
WRRQh4JGN1kgEbNskGp8tHi83yjf3hxkKsHztqqG1p//9Obc2UtTIB7ZIYk1PbqG90CQBFMAvqd8
vSp/vvx/8XLrI45SSVgUE79tO1ktWwaR2WGU612riovZ4EDltNw7b5kJf365N8Djz2c37GQOKwqK
ToRsZCa9u1fjZmDa2CRI+mO8+X4yOKyFjdpNGJkZNeH+HTNOJEkZsWdwDD0m2F+O2LhxWleOehyd
AmcBGbYYuq9b15sC7aLldcYBxTfP6I7uSnuee3VJSO7sYlQrk4tSpCCvB4T1ydKB1Ej45cnQoNY3
jE+Q9NNT2oPEq9JW74zKJlvP8+ojNYxDSElFXKoTSWKaRDycpnDc05HUQRNph1iuSJyh5TCYqGTX
LYldkHiVOChbcA2tJrlANJ5C4cii65I6eb/gsdjlpYePPeYHuJlfrZpmqjXqHtSFZ++LHJyeiqnU
wmoYaBsife45cy+4kUIGv1khzhCoSnRgmZ/u3EKX+7J2sJ6mzTCitCgzumShOAilMbqS3XJh1CGJ
3MZd3TnXUZzYO2Kt23PPNRbaP4v1pR99ccAuJT940MT7g7qyPQ5hoNGoC5HheWtn6qd72Y904xs5
uzwKCu/4VveIHNVI2ZpMtjlL4aAwr2utS6L9RodQ+NkJyD3nCwStsvMazCQoezjXqwapfZLHX3M7
FURrapeIT+x1khsIu5eX7oh9ZRBeNuWeIYKzXbsSe08sxv1cjc6Fv/76tOquu9i+Ry7ubMcJF74v
exH0TVEe7bT1Pmg4vd+8kP3xQPEEc45hoTHf3eqsnBaG/szbxw1MpHje0CL64Ol9v3i+vYRCYSh9
EL3SfHeBqcIkjYDIQzAAmKPCvrMdGkKFs3pBDIJxkWtjfFQVvT8U8KKsnQ6HG+oJlo13KxRAIjd1
40btdaV0wPCrAR5lasZumYVggJGeIWR7qhoz3DodYKI/LyHW+7O9glPLAdnmAE8/lY7Lr3fVDNV6
SItK7Xu3NpjLpy3ftlh2MPx5wVD6p9rvvAOr3T1th+yQO+7w+c/v4U0B98sytr4HWuQQ/6AP+qtA
/Oc7m8emUXZjuPvUzUjAnXV7LBzRUIivhKFmSHwiAc32ZTKX8IoL6VxVE6rTsrM9eDRq2QEvwp0y
OukenpH3ZLY2l1K3nO7iel+AYbuFBtKeZKP4OF2sLrR23AtVj/rBjlAlkPMMlWn0uxuh4C/Eg5F/
cPiSNp/hl8/IAZaWqQt1msY1e/Ovn3Em3c7RbKH7nqfqYhRE95l1ZG39oRrO3j6E38f5jTlG6qKN
+QGDx3DrL+ayyy20IwtHsJ2gF4EnNYyOfhR7OItSYu/Rc52mxf5Ro8U4GnCatj1UiF0SiU+ZXYig
bjCBLksM0wq4CgqABSwsyB2m2u3KRCAWeXHhKbjdgsKnWmfspbEvagKym1BuIkKf9lmjWyy4i7ev
3QGJRRzdzoY0tm445jfzUj8sTSpYhPozOfa8WYcAyUjHw6WdqO7JqP7BtP6XWnXc179fTprwaCoV
rWDCRn+9nLXvh7ACEGgQ4ELvpDeaLdijiyQa78gkx7jbO+RJd2TEJC4AQJuO1zaVtXfMvFxtSKRI
t+R8WcQK8pil5RCf4/MhJGVOFeNlfznnt7gXA+lUTISd8kgjqd9w0d0DCMCvS1oDQEhDqA0dkj3Z
tc5e27pE1Gc3W8OtHkDv9/thMuAwjc0uW4iF+PND4/y2WpH0RrVJ2wgzuUO79NcrkCYdVl47l3sy
BvprD4/CF3saGYLxxkN2UPCxfeV1h27EUiyMwkCIo+NzK+284+zAyk9j0JbkqhSfk2iVdyQ8dtnS
SogVMgVEOdbcmC6RCEAjlp0J/yYg3j3dWgmos970rGBu+sM0xxZaAuduHMSTY1jYs+AshHHyjVqn
39TMp86LzlDHCNHGJehd76bjPBnEORlL5INRjpdxvSvGqTu49AYODiO/PYNJbnQMvdjvcvFBD+ev
7h0mFw5Nb9ad3w6F85TEzCi5d/DZ/8Bt4N2sz0rT1ynwvmj4oI2rftu5YHNLgUKNTq7tA1H99Ysq
enpVZt+xwiKn2pFV7T8hLIvPa+zgW3Mppr3AOH8Vu118bnsNC17D8csauejToDnBg1jZMk18HPzw
Yozcy3CR8IdQ+Uzu2YxpdKdnnushRfLK3wW65S47w+e+bFK2D3vkaebY/qNq9fLJrhDzWRrom1VV
7bEXPAM1ReFF2ppukEUi2sdI4j+PQ97cMvAnwMGOByCiCaRjG51G5li0uNxFB2QHDZeIufwTE9lP
Hf6Yow/xiWml30NxLNVFg7vicjRZlts6y/bt+naYmObrQXz4LGfurXZgmzFiMmG30lYpLJdujSoy
wOyYFeE6TWl+EaEiaojoGLjXgKz2flPQdia8dE/iB4uRstwgphfECZQHYvngQfuLu4WbhF7MGzyC
XfLXr691XchxEapYr0GUk0quXwNAbbtUDt5OyQPx5wf799djqoginSMWhbp8X6W7WYkyeKnkPi8g
E4C1SffI5vwTmiMAiAtQoT+/nvX7wZKyTQLGICDSZ5jnr+/op4Olh7xN21Hk7NExiSCZUYZa2Gcu
koJBVLmY8fnkO7CcWvBKeImPTcty4eK7DKqCh1+NJaOAUYXbicp56/dsVObAV02qMRZmZXWHWvNR
ErdqbouW5VqW6+YuQ5I2SGjHzVi9kDBjAeaWIYprbjrXyl/QLxKN56IKTStc8RG9yfvKY7MDAHWZ
D3G2Z8rwg9imareM8kem8hc75r0bZjftZy9czulr2QHeXxorVXPfgsjZ4plN/7611hlHrcaL4icU
ZQIoDIJ7C5EvGhGeJt9nl4y5Bc8rjMTnY+d0h8pdd1PoGNuo5lySJewzfdGDAV+f1dlm/WiKnhg2
IEFBNnCfL5pbPGua9ogqnr0nY9lts1o/JElm7LluIsgb3lCtVLWj47LsfCNmCjDr6R8/zbnfk7k3
9o0yqObxwva73h6BhyIt2MzrrpvGdntykkzxsLBcJNbIeaCbFi7i1J7izvQuLc0Av8/5o99F3rFV
PKFlzF8Bmw9vIPRBblSIv9F8d4cmapsraEKoObqwYl/gYxoQI68GY8HGOVht0M+Ve8Cj5GNRTbh2
REIe8sX97M7qa4FedwuMxz7xdA7gDjMRsIJxF8sZk63OObIkHKPfHndSciACtQQ+GQa7APFO8DUL
rn/si46ina/j7W7/f8YNX1/oa8UoJImQ9f7v//mPF969dC+//CEoOzbgT/33Zr793vZ595/wmPVv
/nd/+B/f337L/Vx//1//4+VbgRM8QRmefO1+NmJaJv9xV3nJvwbo/J+mL1++xi/5f9w0L9++t/Ff
/4J/WDnV39acAtr9wpaWT4/5n1ZOC9w3q4QvLdLNKZT+6eQEBM5+Cn+fpjveT8Y7/3Ry2u7fmOR6
jCsodFYf6L/FCKewYDn6+SSNBAJ9OY5RjGCepPnx63KlowJQK5vSqUkgnx17SJjXqpV9txMhnILN
NPV5eoShVveAFkmO3CRe2cPYULF9oi+WBmAbmtMSl9K9tKB295uBFIN+g6YkeSaw3tfwxnHQBPi/
o7OlcjG6yAacLv08yNeVlEVyXJHSz25uAkurrIT4KXbziDo6KlovwN+pHtqRJdXq1AglpR4CUvII
OU0857Ve5iwLQkoQ5rXgRfMdOVDesl0I3/nkW8Q/HCeCOpetPZmzfdQTceANsjCUxwNGixsB0Tnc
OHWN9WOWVnRZkuL8iXNeHW4yPSggEOlYy602dJtwfCjMH3FiVgtyCY8n3XEM57YEvocfLSyiJ41/
C02JF85fhWt0N3Wah6visuy3XloT0SgaZ3iJ03Y6SQ+4EGYSN3lG9wGgPXTYuMfKNJkTuM1uLGz3
ZFkdquaSM+sG8aoN8Ayzwn3n2vMT4yOv25RESZGkalYAizxFuSCWBsyFM6eAPGrwM5cwecbLcVoM
2NsEAOnFSZYrkRS9dWezRwGUcWYd7R2/Fv7jQPTWadZxawW5b6JJWMrI1od5sgwyrvKIB+qk21aa
18BqxjoL9CJIKU7xQXj3LfaQ9TzCdDfEnvnE7BMv5TysFysGexGT1lTWY8CvAQTuO/roZYQKXluY
iGByqxhWWaQ8Js8gZ8dtOqaAWcI1bqQ3p9suMX+ksyboK0NGNbLOnSqD7jA9JHvTaIsU2r6dtwOE
vCu2ZhKFRSKxPjhwtTNrRj2IQD3ZRO6IBtfv1R2NVRIgDQtn4xp2YUBXCpw0vONoFV2JfHi0a0Fl
4zIF5f5A0Ce/AQw/lUNzGqeoBG9sFutsx96uGuZA0MC7jGxRnrncNrfkMBkndxqybSocLp3W3gGz
0WqFXpMzERtEhgO1HpvkEnqXFCjtJfxWZGEDWVIgXRXfqhN/c0g+PHhktD4mnSyvBgGsqR9WE5Vf
zcjnY4idQxtdZ16tApH31a0CEHHFHJX5fCZJy2PCtgrKzPBzlE93GRinzUxK3GnuybHXSjVnAG+Q
GPhVuAOXSypyleLaTgUBVVbGgYnYUBXZoLFhogROOWYb9FTWZoCDlVhdf6mZD2t07HRa0ln293lc
3wx1g7LFXKD34S/h9Bx312EMq0kuc8dZBUUXkFWkVTbbGLD1ebil6Iffp4B0lfX3vocaib5iI0Ps
KXlH7FqZtuq663jKIs9AqMdPmG1n5RPd3JrFSNw7A/f/XBjwW8NvuRUfrL70b9hpze9NCqK4qerz
2lUEpY7AGU2fyMwmm34oGNiQtcytHg2++ZrMQoM4apCCxMYved8hb5A4uclMwL9N8bHMVXuRxobC
FEaCMIX+tB2VQos7y+XJ4H3v0zRcqMscfRBwly+hu6yMbWO8Q19853ZhCpm+UHgy8oHqsFGBB188
yMRUfmrapA0IS442jIKXK3RLvbObiwkgohVCuKJR2++IWxPm1lk5vHOuDQCRISEASdpVm1mE45Xv
k47nZioL/FjKr51uftRaiJ3Ze/psckOxj63RDyjqky0J1cWN9OlJR11rn00oQ1+ruiz3JrUrHx5I
+I3TmRHiXJNmqR2yEgKdbgM5a+8R7lj0rc7AKX9ULLwN8X7ZnYAgrIoOkxnwWja861NWVaPjlHjN
k2e3Qwf9aCzcXZdU83WLx+TzWHUOa1yFs2AUeiHAsBnK+1IbM92T3PrWR9pPL+iyWhakJYmGwXYx
JjTrt49432KbGs1RoYxVIQU0A16IsaVnxSfZF954PeHfJ20mW0ZS90R2O+NCEkRd+u4gz+tk8S6X
pc9uSE9giQL3vOZyC9Ehy+7aV3TR68Esdh+zdgaVVGYzkj6FX3ljan77JlTYFIihaE/jqOZDz/p+
vkSQxnNSSTeLGKYjk3f/zJ9pngN5IhUjx0FGe6F78FOj3rkjLKmmp5HOUTZvSEOgIW/RhELUzb4F
EIxOPFLGFdq1zEfPbQyyFgaLcvSAiNVF0YP17tiYsywulJOQ9NSQ/8rEzfiOwms+a1vbOYGj0cu2
cUzjFuxJHUxVJ6+LuRU3LWD1OxzfwSIa6oekhppbLqtFNrWq68Iv5NZDY36NRFY+lkYtdoPw9LbL
oXHFHVzsyGRgWptxtxeRdxdLr9y2OETT+Xzwu5eqsw59jEPBpid/Vaevw0AVbVjeRWVR30ganTsm
Uu0t+D98YxUXjvPGtuxNdFV01o1jafbJC8d1NNw5k4xeDWedUd7aY0/mBbxrxN/CvYGufFQ0Z09s
Kxk9KDd/aFQNX7alR35aVE/tMdftEKxAlRV/XD6lM0ID065fpzEmVaRx8CstWHAt7s1rrbR1l0Ty
q0KqcFvFPHmoWPqrtpNttAfnQ9KuR8G2nDxil6Ozcoj88ls+O/UT/WB6ZF6mfOeAzR1S9lIPNouy
lNOjv0xWvyNts36Z0ek8kznoLHcSZlHJ+1N63rqMNZ4tEcVXXt0JQn1L93VMQ7VafJgmRFIYr5R6
LTJ3dxi3pdXJg2+YCUMdIovtInXvhDC6rwL1xQZ6VHFng/uPA+hly0FCogfE1MtLNcXNZV/1/sCs
FsaxLLzo1nQ65zJPWW+0Htnn+zHauc6UBK5rePeaTsfGSYT7wqk2U2wnU2QdR1PnZ8moDexzuGrM
TZsb2S1pm+O4ZcwlSB5vssSkAFq1cQ4HjjZgsav1PpuI/IWO5KKcbJZeb5mbRldFF/lcTjtl21fI
2Jkg69u5SovHtZ/8va/c/sjRiyzZWVTMdGqdAkpk0sOD0JfHevYXVj8Ps10wMrN/cCWejWzOxFXl
FMNtlPr+U99SOScFwC7dhNHtYpDTtBFmU97xNrJ7a1n4dnXC1rQ4uXnmeuNwHmtHYhD3WnURZ/lA
4IGvZQAUow3sxn6ecUqd0XjBPWHOWfqcw1l/msPxB4QrA8QhaP6jZZZ7GxgfK5ZMJWi5efqCNquJ
N0TV6Riaq1e84G0d7ixAhE/hpMjDtYshJO6nJUJnk2BgO9IZEl+WDB8xm5Lx7HZJeptYof9St3q6
t5y1dUXTPaOFbxNCxylcHp3UHPKAHjSIIqvKCHMUi/u1d530WBt9R/+KfvkUyD7r2VcrmsawFLv5
i+k1BmlfYAE2ZZgKf2OXYUY2cKovnV6NO3Oxh29m0eA7MLvWe6RiB0yU+rYhzqvMjqg0bDN6svtx
hi1fk++xrY2GyWjHZvFM/6i4kyNhBmOI9cyJ0Cziw3FogjlhCZjC5yS2GQe/PWPRA/RizsMEtyvU
YL3kNNpfOgUG+jg5Y/w6pxVFcwHj6bJOl26jCSDFWpSpdjn3OGObRLBF5/PE8rJHdaK+Uc5aF2Hi
9mdxajfZgbnU8oBtzIbZ2FloQaMJonor45vOLb3XarK6Oxx9NBnXW5LiKSNWvvEjHsIC7DmPPFBz
Z9vQm7rAMGOdErzK1D8kmoIv6yLCUmlbRzdYB5b7zkyM6zmdWOyVufLGpiU3fnQw07CTFTYYz7Y1
5dXiJzTxGGoOlxqjG7AtIV5pM8549FJbf5+7KDtZ2g2zbcWg+amc6FzvMzSq8FYc54edDPDpaNbp
oOgSjPY6UVMQGkM2bJo00w8WascV/TsVAUISr9qwiY6Bn3kznGyjnZj1xUt33oI/vqZZ6d9yfcqr
sbM4dbpt81zo0Qq8EODcjnmcXQMy1fVz0VWd3hRe1zcEgycysKJxOjUk0R1EwQoA45/2yTZFrBLB
G5uqa0zfyXUPQeuoDdES8eBE4tiUCTHaucoHbMlp1tnbOHHoC5VN5z9gGgNYKiv12QII9kodIyoQ
ronjbEi3cEmhCJPmqpmnmUZbhwdrbsYn2zTvBqPT98WgNSHiaH9gaJtmdTNkU3wcFlu+YP1d88Xn
vLtKQHSftByzAOl3+9Rr0f6YItMrdsZYeXeViWtrcdLoYR5zdqJsUPGpaIoYFa3yCJnFnJbtOQgb
l6DabLnva6M8xXSYGBmIGC6fa5/NpegaqI25mR58EHOU2o03XpV+3FwrD1tDHusFZkExQSl12pNy
B+8ZrM5013DcmnYW9uMTpZIb7a1J5Cc0+EWz7/Rc7JaeuxPv41ypa20xf9lhIzC3hKDMB1OP4oVk
oOYEkaC6Mq1sIqFazdiMGmf0qSdrTmAxzcmIrA9jujGasdgkuRy/KhF136I6N5BspV7RYDwc1hMr
68QL5eyAeans1BZNv94RFUMAwyRHxbEonR+iMSUKm0tMurDv1ym1dB3D+lhTqYcNqfXzvI2GRewM
5elTuvTdvSPz1IIJMdHZNnNRRocIN/8GCYi+9AxnOjDEW/3j/fRUVyLMrgsDViTHoHXdrBOSoXes
5wJsAyOrm5rp2BAMVMLJYdLOzPkCHCHcC05FCGHsKkC9PXIz5/6yqXUXfV2aRZy3HrDUAJsJSEO/
gP6+I9oIr2AK5pEAo3Cez8Z8MGCqKr+JA7yj85fa59hm9mnxedK+/i6z0TuZhl8+SpnFD2DceiDh
tjkeRtOwTpVFQ9V1p/40lzEgc1yXPzKL4IB9iGwS82tR5tNWt96wmy3wkbD2jQNb0po6NVPHmRRj
ha0o8yOaKQjElPzqoJVffX21vF98C+WfTREZ+e6ZQtewn3MGSSBBlrthms2rnO7MzjayauOHLSku
yZRWt63rh1+rpUYvLxt9l5vTzJ7dtv2+rzqDerETyS00dsWgPM4fHd8YrvLMme6rWpXowRZsUFxr
8zpRKOx84JqXbW7Ks4EH/n7uOPo3Rj4fIzVBmEomGLaeKq+l3ch7bntOwqlzZtHVPk1W2D1F3eCc
F661nKuFmI5Yiv6EOh8OQyfKg53pTavkHWfy5hOybX0OaAH9Ty+qIyF67rPJN/caipXrN5hyPyTE
ZYSLlV3UfZnctGre0qYifhuCCGE2Nn0GguCjH54Tfw4R/R0d4KRFkwtUdv64ragzg1nI5gIWwbM/
wCcBXDoe/NhvAkZGuPZd9Ea0zR99Fizay/V4km3y1VJMBuhWAFtr0jXVBWyItPszG4Tg0Y26/Dz0
UnvHFHDlBk/5F9TA5eUCXH/jC0oEdof2iIClOzLDJZKp89I9n6fdq8QRO3SIfsXm+VNz9Obv5dof
WWymdBCpM453IINblvtuuGqw/JYjC8nJHhJg8eV6SvPIlLmqx9IZt5JbaN6iRLA2dS/A8My9OgGW
Cz90vP026EZnDkkWI4i7qryE986b0vQhhlJLTaeZoLJ0aLtXWuMjbKDB8dtrzyst9yYzscsHgFDG
22GuqP8gTnSMZwee79gZHojnkPTJZruJ9gVQXgvogCz0iytRBO+c1pCPGhfuDUN1rrwr8idPk8Al
3hpyxThYrwo2NJBwqsZH2h8GOJBO3NnDaHxt4pCDd+9Fn5UJgxXWSQQQOhGrGW5wLn0zoSkAcOHR
I+uE6K14+qQrl4gYOrF+MC9mdg56oNmJuRIcJER0PWK73XbIlW4VYU6EtEziss8jtsNS5nsx5U+2
qMxPnR2dqZGIdHttWqq1fVm/dTJxhrBCGui944CWq7yt39qe0VsLFLGX+aN+a4zajlbfIJ55N5PM
mluCzaxHhIRabzQgGtpf64F96mQPXyzykmPCAOUznB7u0/ztdG+9nfT9t1M/sSFUACuM9yvgbtZO
JmDX6VudYHWVOIZYAzYdXkkbKdlaTtBNcl+QMBDJk/neyQjtzwxI+lM9QWYGcy6DbJnlxkj9atUr
ULOgRaB88dZKplhrGkz2/HGtc8J46uLAW9if02qG3WGNVERrbeStVVIcj6RH1oU82LqhR7l2RLes
JsZr/lZkTWu9la6Vl7/WYPZajQH9rp81lIp5Sy+Hcq32Y3u5c2WbPUs7r1+kQue6K+ERTY/YgrhI
ssrlVbdQXx5Gx6UXTiO9fmrC2i2/GWCAkyCWffSDWKdK3/z5ebV/s2XQboFYiD3QZj5hee8DomFx
pwPMiv6UcNa6rI0pAl5DRmHbiOxUFqZ30l5TjNuQkMmAKMprL6/Ci3gi4IecnBEHbBdpummLEe3o
AJA1WBbZeEvVU5U7hz7pEyPrmmjAROg7ZwTzUNupQw8wGXHlTtcIDa9HvNKgBEZruLAw1HUMFKbw
K7pPsQcs6YIE19knSGsTLX03PROudVeLGCljeAOiDnN2GCHIIOLGMqM7nnFxhUv4ksIMe7bhmAMr
nikNzE5Lz5atPfcYJ1rC3HA5oLJ3mMehVvmN66bmjagstHyVI6N7pGflIQK7Az26N94Y5iO9N5hY
Vywu+sZrWoAsnGS6naS3PG5YV/0hkFOenS3aJKiwtyA6UIDX5TfVt8g2Mq/nICm7G9sf2oclGgH/
gnVetUX5zsedWuDVVuFzzFQBoOxcEMlYVM0+7LL4kGDTz9h1HcXMIu32qZpXcvga8OG4o8vna2Ab
zEU6fCtCmMtgac3wQCVcJrup9edV6InIcKP6wT+SJhJ+Cgc/fi3g/qC7jJIgDEtSVOiM0ClIPIjI
cjjLU5QRtplYV7QWF+5KDp156k/niGSNLz4suIBf1zEf9srbLEk9mz5vrT+b5BpuO2ymm2Hs6Jkx
yYmJJ+vZ0hY57GecZs+DbSX3RtzaD5CjyyP+WzPeVoNmaZrG9NPSdtEOFKQ4l6xSW0eRq0nG4xp+
BcBEgTz+XJothpgs9lG9Yy91zhJhOjlFjBteYJEyD66KTZ5rPxUXdVHdwTEGb5PToHDfdiLEXc4n
oN7R5bhMeUF7x+xJeMAy692UWQgssF6HSNbbPMnqpn7Zhm9zJnMdOTV0dRdm2uskKmxzplJ+MqcA
lkr7lZxIplY+8yv7bZLVInXZM4BWD+T4MekqbcOQG1S9K8KB1bvcsbrVzxHdveQokC1FVxiTLTNY
97FvTj9ODdW37WkOAkzb0nWgvambiX9SGQj3EmodbPIc8t04SuuEqqrjXE3uAMxxf6HVBJsqS4+p
57bMv2lgyF2TWNW56AXnCf3W053W9m4mrSdSx5D2dtE9oLCnpFkfEDtlMgQpWYcLCv7BV/vaqvr1
XYN5YdB6PsWMiFqjkkfSetuXPy9UDEh/nV2CACTE3nYciLgI19bZ5k9SC5POfEZLVJ38CHiEf62z
5qIePr29yL814/7vgYvvq4L/vg2x/znU/vsY+59//P9nxo30GWXKv55xXyZL1bwU7yfbf//X/gkp
dnA44/ZF+6X4cv6LULyqq3n08CbaCEn+a67t/M0RLnY/cmBMaSnJmP0/s6+tv6FadRELI9Xh33X/
rYSY33YwCU0VZSjuDUbaksr011tjstoFulQxHMvBqTgUlPVhlLo4NKl1JZDcnJJw4HkhrFlG/Xc7
dMPLSNKp+umS/cXJlyT6d7fo+j6Y4WOvxRDt0Dr79X0IPzIqsq6GI08EgXnK2jsiA4+8BeQfx+dM
QLV7E4Lq6hO6fzMN4o0dhZcpZ5CNbsR9r0Hq2YQvPizJlQDxL1LskYnXSconPFmuOq+tmooDHakj
u09zD3U+bEklARTErOfz2DIAAas7hWWQFu3NlE3XYwbSQtCNQiRMvuKjU0TXRloXkJyz+z4RTdCK
6MVRWbUz6X7vSKuZanhwRAxOvNCu9xDDs0w9tW19TwrZPgtnOJbiZvTZsh0nizdc2JZJyFPsMiyM
qsXcM0DcVJN7MZBjspckss72ZWVUe5c068F7JDuH/mp6ByX4DGrk/2XvPJrjxrIs/F96DwXsA7CY
WSTSWzLJpNsgSJHCg/f2188HVXVMtXqqzXIietfRJYmp1DP33XvOd7a6Ye8z5sXYExgJlg/DYL3C
qSUadyCt2TRbUmAI9B7M3NkahLjhNTtXzrQXg/WVk0bnqG9Krd7m3I2gsU+VVV2Fr230Jl/R9Vj2
ul4udJuPAVzFG1siTAAR5kn3GZaGQAZhaPgZxA/dnfxdben0ZiYj5URE+jDY04Ea4aQ4WK4grhCb
o+nU9+KBONZdpV7JNfbwHAhs0v1DOQR3aNPoG9KtejRIxkmycQXApxH9nlTTWwoEY6EqJj2xhzIb
fnSpsxtq9XWCiDFi31rIvngJ+nA9WuFBLw0LRT0tBD9fNbZ7Y3ktYgtOKW8EdPEpNXa3GtXuHCj+
i19Mh04YV5TaqLLt9qYRIaJpn3manmu1I9dyoK3eBst8YE7LNADVMcHJsU/dMTS8HRtPJ1MJoFry
YrM0SylujMjUBQDnT7j0xBPLdJnXUcqoGtNl1HxXG/KDfdWH/TvuaX6uaGvzwpPPUao9mumzXVXT
JcLh9NxN6aGOzXt/6LqNM859IxH0O1Mn9a6LDwAyl6LMto2MX0Trf8VKfiLvvbButUl+mkbGJXhU
9Z6blKKzn3ZFED2bWtYzHM+XXSRJlbaP3VAuYZysO8u4mON95RQnHKdeXUnuWXPMj7z7yLAks68V
NGsHn+DKqOGuRevc0CbBQ2rFW0fedYF2JOSMpu2uzozMAz+94Di4C2fWK4Tv5wJ88hSLD38KV1Gf
MSVUtOpUulrFzokTBHvGahyQhjmQXBNnXcZ3jPy9vtDu0zQlEM9cJ+r0RINw2+kJIT9kumIAfVYI
xTSVZMPSsInf09OdkbcmUzy19fxOnPNW20udOAt9uoWdbi3L1n6l82t7Mc1TTH8AWyky0uFi6/UG
WJGXTY596LJ+hab8u+jMO82nl2YG+sVVW2LgGe+FbrDD3/iWxeUubK3PPNZ2EYJXXERA8PQ8XcdJ
trUytT8ye0ZoamPqA7N2nXVe3uSrlwDezSrT7ioxeWqt8s0zlAtUZecU4QltVr9kBI28tuoImmGA
qQjrzqL6TJMIdUJWPCIz2nToarzQkhod7eIjt9ylOYqnlN6t4P9YEneyTpBYL8chR1lY3WzCJP2s
eW3HtGBW3kq0gM7T1I8Pds84anBh/DWHPPAXXVo90k+7TEb52iTWm97odKX8ozq2r+UYP8ejnW6a
gr8HbIpRyVdVx5jTDvXraCpX1+HrSRFU0nDa03gPvRZq4qKE+oaAtoq2ttPvekblum5spqr4YcTp
Jmujd2K+wwXzDDqtUj+VDJ0XWVkMnlY6X6jznwYLoSDtmRVT1XVpzMwmE6osQpZ4UWvZ1pncd70F
OFXWLuuvUTeJQLagR8pN58U/A2VX7LBzM2rPJeneo40NxkzbzFPT+j2KbTYGChTZ9K/on+9gBT4q
vXNUu+Y86Wq3qHk+bGqwiuRx7abA/EJyybi6AkFJJ+048bWS5HWiLlwjMiJgkyRsdJMoiBWFDEdZ
YV+vBn9l0Ihg6+0a9BcrhjJ3VYHgapRBDH1BOZkq6Z9hEH6ixyAvMrlCkwVSqgT3ddJuSpv1UDl8
k/GqEvapdY1dPpn7vkY5VO2FbLwY+Nk2R5rAi2IvrNfWiG9+Wq/ChjT6EaUaE8gy5xBSc3/dSH9T
EN1T5G+yzsiEsZ+7StsNibtsEvPQ18227wpapdlSQ0PP5FHs1HBA/hU1i9h+KP1+Ca1xO4bnMm+e
R7r1fZ9sIV7C99VekCte9L5D7e8GC9vdhI0PHrL2t5MiZ9F59Sj85r2KeUNIk4hIUT07brW0Erqr
AJAzV9/2SXvU7ONA7xqFEFmzWXWvTMZpHDi5ikEs3Igtr1j2nTXIr2I8BJ29ym31IocfaTedsbih
N0Hrrho/UJkykmujZZtoB+o38Gfhj1DPPmVgXgzRnA1RbcM4eERCt1IJGCGPy31xIkCO7Y8GtWk5
cnTyxqyt6myVA5swf2GLPJWjtbeTt86BbtdlbwEewTqOjq3aXgga9wyAKRvdlyf8L8/gZlGx5LSU
hnML/nYs0ktppW9poCTLUTE/XLs8d62+zYfxxCszXTaR4UWutk2NGt9A+95O7QsY0BWJWlssenTS
s4/UGA9SAQDoL7JBx1iRW8TtFqcaclCaaLUXMfwJH/R0b3AoSLyRHMsthiaCac2mXTVDuumN0xQ5
u15PLqobfhHrg2YqCJkRcH/mdNEHRC4JiX+xeoKOyeTRLY+BGd9XmQCNKa5tSg8IhVqYNq/ylCVH
vb5F4AGMUlkXdYROoSbaqc4XRoePObTpOk0k2kj+WtEd7qqstTfJ0G8ZSn4C5zjIkCFkyRdY6UeT
EE9wv8mOhHQU4snBHLBR2uKpGqoPl5j2VWOaKdBbCdZMQUoVN4SnzkMCAgbuiZDTPOKHQbupKoVN
zpgi7wwPpO8+jhKPIRgYENO6I0bqlYHKd91vn0k62ABEShe2WT1VcbHN+znQr1pB6fSE3m2CgWJm
euwYmrccvICxPcNKr2UBnsavN6NmrexO8fTg1PUWiHA5HOl8EsNAGl3/I5GpBzahKaEg4o71m/AS
MZENx6VIbG+4DpNc5zW8r+xSMg5fKvjoGRtK7o8Q7Xl7bbmK5tCtRdRvJvcW2Ppz0KvXsFU5D5xN
yGs0jDf0wbdtaN5NWBqLqj0OanrfaXepwQICTjqFb4oqF0OpxYu8RRxAWGLfbEWvH8nRC0B4DvvB
rQHEleKHSywVe3PMgz0GFlCa+dZ3eUigOgibY6iNwSJxHgXsDsds3kOohKrqtkvLV2k3UD+0iv0c
NwwUx/KpnAJo0CR+6QeANEBIObJMStLBF/syFQ9a+thZRGWPtMHbnyl7DCAAZqfpLUAI52UdPEAX
53NrcyPjTZv2NmylU+EIaKGWdPE4TvmOCXhFDVm5zQsDx/ypbKYOL73VQk5rxh9ZQ+fCjZCuE5DY
fXZ9Hq9ghqgby4p4O0zCR8jR0mBxrGGFIJcIwyyR946RioNaBqTDcdinW1cv4qccR+kq0VL3SnuZ
b1Jp5FtKNbxN8ADT+ETbvmpgLe4h8OithzRHrhi8sWGTcKfNzSnUieoXP9L5jhFl+mDgpm5Ta2wA
Q0baQy4qY63ZQXNxJAgdNYvSg6rY1QPvPepjCrOBDKWsvi/T2Hh0+MSe4uJGHyPZk0ZZF4e8M5lg
Kwy/7CrgjpuUYemPmrML0Jkw3AK6Qf+rKE8Z6Yor7hoGz4zVdwqE0ZOe2f4el1W9d1ELgYRWeHoN
lcv3Tpfp1GAf9zJ9POWODrM8GNXoAVuY/aRWKh3zPGNuRJtpHYgpuJjDlL8SJOGe6R2VNx467B+n
DtIPJxLti5IYVo90U0YXs2usR8uN5NU11PG+7t3irPU02zszGi5V7srDaD51qFkZ4VUbd2qGq8/Q
76aY5tiRITXqrxbawvVQFhxldK3uq85uIRVP9nHkwnyTVmhv07x1sKwNwwdRW9ldm/TNnQUo/JK0
WrRLQ8j9yNJnZ14oFzJ32jWqWUam1PULYRToEboJRYGva15uRinTqqDYpPMDG21bCJk9QIgbJz3G
EEYizwbjNW/geHqLrEQ/F0NrICaxtQN6TLRKCIsxzIV3+fA2yNaLQpRUXZOMF4bO3KRFOnYPNStz
1EJiFtNNnmtEaZfTd2a6NF77uoVu4XePviJuTjZdiKR/FeE8aUt3EpKFObUJxz7icjEcyjBaMZsV
K8u2PMQKwdJUXOSL3L+q/dIr5Y7cPtITNPNTJFxmevRuQlJAO+ThHV43kGZg+/ZcDKY10L8nsfDs
BKa6yfzqedDzRz0zd6HqnBOzXZra5MnI4BO3my7Ge1U9aRrZn4VSv2AdlYsxCKkoU/HYmd3NJ4a5
GNGY0XFchDI+joOyC5wRF2LQ7QqtNJeWoifbNJvd05N+GR30IrqZeHmUrdxS0tTuawgBFOVkGS5a
3Vx3VbPOakVfFitCTBHRLZq8PrjSQeTrrIMk+1Fk9e0fNzuMn+at/1VrYiS3mOiA3hKQtvBbub80
XZiTUTFZot+K5JlnfniYhna4DD0TYKyM414Vc/RsHkz3nE/y2ofCetTAt14qvxT9ohZZ9+IgRf2w
f26VeN4147x/rHknyXlPxfPuYopQHrSfO27ee/kUxA+9kdFAydma7bxHnXm3gqmZ9sm8g/2fm3kI
jJocmFjZBz57fZx3vTPvf6jjwYpU7vKUurW7gReLBIrcJmcX+fG4zLQK9j2NyDVzwgBJPqcMiQj9
LvA5edSGQWVp9sajbY2cS1pNfR5I2TyoUV4/qHmdHuCMILKequYSTLzG3Pmk030MYZCfVL4uzkFr
PhGVINe+9PmUrMYm3ElyH92ilCuGWhym7XyuKghLVunPw5ZIm347xo58ywrqjEId3asZxe5KGnr8
xASHBwN9XxoosheHcuzlvenm2nffVYZVCpzIKCIu+Z+XQN4SZt7PN0M93xH+fFvk870RhS7JwfNd
Us23Cv2c/EmbbxpADlw6/Gvmu4B0ghUjlJQoRW6ner6nsBnK3TDkx3y+w+R8myGev4U/o+6cqZ4+
aRIekDy4FXorrX7qK5LxnJ8heWOY6M+jZdPUSucUvZ5YDXaNwbC6CGhAxazNVSs6UpJTCjgdWtEC
4fTZrpPsDL0jhNSgy3NBgxoBVLkueLRthSJdFPEk4b6bqUVwCva3iccNMtM1fgYbLUrz8ycaFe98
O0Wtxz2t2BmLKZPSq/M8ucuzSLw7pa4f0ohDYiN6h/cqM2cqBYy5Wb+AdRp/GGpx3xkJzr5C1a1y
LZFbFxWvBa9lXEPDKwUSFaFAW6hWMawQFF0lr81tr5ivVUYrp1U7XhITdeXE8h1xJnDZDCtX8R+j
qHxMGpmulD6qlmg9UlR2GeAhHuxfPGKeFUe1Tkbruqu6MG+oW6mAFN1YqQhlOGERiCD3Sq5OL5Sj
Ew7xiouexBw1Dh9ttZEL0dTRXgrxGGrRI1JGeYhKN95mNmV2m6r7wNDI1unkwOxm6Ch6GijuMNff
Qvw/W0cLfxAjHyMVnSRVcdyudG08VtQfiz7ll/csDORb3YvVavk+w5K9zsRg4iDP9U05JtVS69x0
UU/mxpE5UMysVxZYC6w1zVTaKmr1zgzrnrpQX6hiYPah9bciH56go2QPvVLwHHMSuTHbtnMgRscg
rexCLpMYkg85ZYyKFE3bGJEo1g4qUZR1Xb3udPZa7tDX9NGTL5SAGNZgqN/6rLN3oxYz8ZiyN0tL
qCAsrA2JjRs8dQ1cAYwhWFYhOcApoauVNovjC+wF+FBAyZF94jWRhTQkcFNKi0LlOX9nAVwlaIuK
aZQ8+aXj50+53/AvPPJqhXwtvNrtHvl91i4wrIRrF3jdrXZEdkB/7e/0wlXnmUp4yn37UwNU9Bjr
ysQq4EBRUvTEXfIjMsQjBkDwB1qIm0QJkFHnGCsJzAUw6cpP8FIWGeU1V3tZp0uqAuwpY/gxjvpL
n7wi/z8Bq2NFEHYwZvbdpOX6coyzH6KerqOWC0rhFih50oB9VxxbJ9wgDM51pXdLI+Jw1FQeHl1G
rmaOfxUNpK7eIKfWvF6170OuGiurjG42lFnm/+5KwXLNy7hAdBFo8hjYxmG0e9StBvtrqLgkiBEM
lzSkzwT8kdXa2nlJ2DcBBlJX5Dbog+klcuZHZmCM62mA77wYarhgXtR005sfxineH9g5dpsoHgNd
/WI3UfEeydHYBYpQD7J3o13SmPXFz+3mroO5fYfGevjwOX8Oml7a22GuqLq5tsIf1p6Nud7qf1Ze
cw2mK/A/0fgpS/9ndcaJa96cuWSr5uKt5Rv/efH+WxOq/3v29Ed75X//a0OszVd+fk+/6v8/Yyy8
kX8+xnqswqKtmCv+Zv7cff7XXxg7qoyx+G2/j7H0b4ahIwjCoTnjoP8wydK+MTsCBIWzWcwWTcZV
WU7n9b/+opvfLGseVwFYMR1hzBKJv06y9G8udk/TsQxHn8P9nL/81a76+8iIKeCfsjkY4v4yQqKc
EmgEkE8JZI+uOv/3P0w5iyxWlNHU2i0tipFGIw9xenbbtEMUTMjJC0qxYNGhoPOQk4ybKW++Bl1/
hhP1ktqJevVLrC1W2X82yMeJO0nnRohol4qiKSBdy+whLtT6MOPV5wMwWxLlXWO2ju5FoWCsISVp
Sy3JURoUZ5I8oPeEo6Q0tl5yihPm9+M150mXFskd7wWI+AHK24wwMPIlyEwPDLx0QF+tXCnf0LbR
cGKetOUkxtJI8CE/NejeQsZjGPWPGLg75MM9WR6pCO6YYrhLYsOUlVry8NbIOD4S1GQcmsic9oVS
iKPMfKhghW2mPRrP8cl36W2F8TuR3y8xjcUEPNoIfRaExYq3j79ssN17sqVNGOlmeyWtaxNXsXks
hDbs9Nhq15M/5ku8QygrSg0BMOqIcWB+Y2ntD611z/UYiJVWGfY9mjfVcwu5kmUdb8Ya4h8C7+xk
RzlJakPtfxi0ULeCsmOPpqFYAv7Qkf+59i6utGKvJoH4aMT4Vg2u9AxK0Bk9X886Pf5XZhQfrXCV
ky86dYdMQSxCVB7LKbHM0xRX7dpK869Ia/oNj2D7UqkRqLIAbEkbaQgg1dyhVWpjK5MknfRuWdF1
GPSrQ/VVFCQP5QDNUNq08YuRjy+mU0gyHka0i/Ntndbq0Zzv7yI3JTZ67vSYSyXMnHhr5+6bO9/7
ouOXA/Eb5brX0GJ0FAj5XCnwqwhowTF8CO3kkYHEoz3XFc5cYaTBED7WPqldsQ1esoYWA9aPmgRV
iEOZSJ0yxa6x6ufapaGIsQ1Q7Da96FMblc+sV/drmGseda5+Jj2vlulcEXVFzXPQB7I9rEQ+kAhB
8RTNVVQ311MMbuZIEvM1yQZ1GzX1VZurr3iuw0Rk1OsUYeqTGnSExAkH9Z/7SPzHXWbw3OTFw/NU
YsOtO9pKC7cjnHQY6nlYi4W42qQQW3eZzzyISq0q7kwxYAawFIWM9zi5uMSooSBiwJWGWrHG5lNd
MNt1ez8wQ3AuMLgSKTnO3HozNcVphs9L+ssVQhcaFdc6Mp0NVS2OT6t+0oJ6eMBgRYuKcftWawIc
N6YgLybSN3HYpU9JFIce/1TdqrfGjj521KA+bhX/lZ57t/JjvTyGTY0je+wFWlwcq9zWVqUvW7/6
yosqWwaUvXQjeX+J1BzuaQS6y2IgbwF9ieE1tdgTMGpc0AzBVvVJ/xZuH973WkKpXqBpUqMJzI8i
pu/N6HJJYxEVvZ0zmo2aeFFM2r0fNwQj8aKZq6B8Tagaoufap2ctArmMmx5Nniho9evSylDwJAiV
RkUVS7dX2uexdsWtDVp7Wzqj/wxKHPCBCvbE6tDDhyaC+ghX1KG0rfBGZhV93HyWe0tr0q/JpCln
vFwTRVwSPaPOeVYlr+ZcjBhmAsxA9XBXNJ3+hR2ju5IK0C+VsIZUAUgHKOOQT3tHKjT8mUzxOuq/
OqNOL3Zh9Bj2eAPzdqL94OMcV+wkXmtT8OyYSXFWKoc07xRTF06WgFkk8Ryql2JIwh1aHobOBzCO
xD9apkPM+6GT9sFM0uiun/zi6GtNdEG9RAdGbY+tCDs8xU35jNOtXTCXY/RTjrTdRnJz2hDGeVqP
fJ3RFN06l4+R9ON09eV0P1hZutQRvC7zsQ93qOnvuYfoVOKQWVuqFXzwCpq2WqI8BkOpYvHLyETT
s+aSx44F0m4Kl6RkIlrUw+OAu/VaBmZ+b0WoxNOQ8Xyl8eJDFjG/zMCXkEBHRa1YrrYDddUuEYBb
Sz900g0Wr4q0DFwASlraRLQSAtPZBqdwaH0RuJMtXcHDCY7CPQny30PdAWEdMTlhdMtUWy2AjHS8
Y422nlZd63O8+BD68sx/AujMrTh/BtBO+N9C8uXyxtWfnY7dnFi6WMEtd0/E2uCn1jvLJAvaCPoP
JWjxJkfQph71wvlh1dEp7VtOX8LzeolrRXcuHVyyBfZuQ4HJKHtchbJdMx3BfKxEV3vQ5lGziJ4K
iOurUkeD4U7yKc3ExlL6ZCm4EzKkiO4rU1643W7xmQ8sKFEnj12JpjUaRgIYEvU8dRN9CbSj3HbR
DaSFTntTcb1q/pd24tFfGx31vJNy9DQ4CZkEf1AXv3W27vOlTgYdWKQOKxsqySyFCffEQN7B8KxO
jhpAX4WcHKLa9kZaEF6Ofw7RJuIDXgMZ8Tq2sa27uHoMsG4spxq2ucCDvTWG/F1VOIWICln6ur8S
jfUxZgyzTOuTiSPR3o3GlM+wPv9T7v6rZBLbsFEQ/Xm5u3z/rN5/y5p/D0ia3753X0n4d9Xvzz/l
t+rXNr7psyQLPbxtCiRTFLK/6bhs6ljNBGJERQw/Sf9D0ryuUjJbRAVYhqVZlKX/W/yq31SKacT+
KhKwn+KvX4rdf1T8/kJvotlMvi4DD3LcAQrY6i8NxShq9MHwE3/V4wKOomEjTLmmv0YQr7n5w/f0
f0i1fs205+9OcT2TmGYGHlK0X35WkCo8jRnbkhGcrzu7u45pua1je51Bj5rc8jVVLa/pn11jrdjT
JUgn1ZPGC1L6hR4OhyHhUmf1/5NP9YvE8bdPZeizzJGP95NL88fi3y/C3IWj6q8KOa4a1BiJ6Ino
0+21hgFgwuNpK6knKoBa5ORh2VqOPhNCn8a81XimXtz/4w+Eqe1vnyPzJ3J0w4EPSlfL/TuuZ0ov
RSEf1F/VUys3yLZ3gKbMKzwI/zJIPLyFpSSXIunaCqTaBHCdQWEzWVTbcWfOoJg3pcqse06HBJ2p
4x9Mk/vHztYMCHAuZP2bPXxPeId0iL5Fnp0Ew9a4x6LbIQyxyDDAVUZMjlEjfCCTDkENs/5pWTI/
AGR7UktliTtsXZjZMkowTWBZbWW4F8q11/Pr5HPv4VYySxjczjgPGZd9S4qqqu8DgTS6zI+10Ld4
plDgvQCT2Cmy9KbuQ8kOgrbBglbvvqBc081t7D51bffctTGhxyMs+GKwd2bzROA2wYnYpbt8YxAn
nNYJhoXgHhVDaEfnhNsHFqXnWCMJXP7ekiQOmz4y7mQW6z2kXbY3DHs91AbCwYARatqsy8gZ1wpG
OoQiS50pITlcM3731Emxht014KmllYWdoqdi79ZGmeNgfxaOuwcF49kZbs/EAlyFSzfs1niF4K/l
26ruvSCp+Xr4Ma65LMr+mlcW6Bw0z4qxbRuRLqa+W9pkm+p0HLXyQ9oXPSuPGVbZMHS8fhZiqO6+
MNmZnbNSI/gZ4UPc51ulOmNNX2Nmeu8o4U3zoxzyt7r+DqkBLlAJ4se91KAf3fEurOhXk1ObOvYa
y6IX+HV7Vl2reEBS8RbYqXKCU2MubXjGCp3rqz7BIvAClpbe+AyXUzP/HhilHy6Kgi8t7YqIoW+W
fNXY4u71KcjfXSOk7jKsedP4833uy53dmw+21uo3EevdDtBQ+9p3cyiM4Qa0xG0MtaCJgqe0iDMy
ow1/AZOGYpZwU8y3PqiIB25hhmWitpdNhV9wkfUQj/gUYni3qjHZZlaKgGMou+AkuyI8oq++WFUt
7qups6+Nnpbrn/v0Pz2hx3+K72L5z+E/f35JevI9+wy5HuUvF+Pvv/P3i1F8I8ped00mEA7Nl7n5
8/vFKL7RC+JkFJzKvymff+8KGeo3m1xsiF4c2HMzCV7J710h/pNwbI1aj7JQIzHg39M388P/KH03
VdvhVrS5IFXyncgv+9umUCuFnappNDKAqMpbCu74pbSBVzkocGYTfTW8Amj58GOt+nIqI3vrZzSS
6KRsV2bd5yu7y6uVbSnuS6V1+b5Li2CpOWHyaSVB+/yfxfgvVmwsqdmE+OeL8UydlrAe/34pzr/v
9w6l9U3HUwiKmcalzpQVo8PvWnvjZ+9yjrTiIMQTyDr4a4dS0IaEL8ckWqcYM/6wFnXrm0ZlxVqk
9LP4I+1/p0PJlvjbxcg4idXucJGQyUL99OtinJwa7SD2xt0YGtC57PfADl1uhio9S3P0j2HCqD5T
0ltexKjJyazdlEiK3wfTsk+RU2u06J1NZJF2gs+VfgstIjNzbgFA/WVSubT32jkYYiR9tI/N7r7D
ZLPodQNGWtEmD7WEcs+arxDqmojTaJ/V4jTWXE+OhVGOUE1iq/z7lpwCATdopcY+McuRfxuk76yx
0icLO7WO6MvEux1qCVN7hme5zljEcadTkk6UMH2D8gq656JD4QXWpl/3dVdwJTrriXE4qqA2NZZl
Sqk6aPaS+FEFQ21/X0qT/p/7SdG26Iv0CHdtNdb6FSDoIa+KwAM75LW5/sPSwmGvSH8W8sXOtNFl
9RDy3V7yMKUknZRig9fmNqBkEkp/bC2+TLcpjGM08lcOjfhsZs2mVECPIFY6GVaLQFHN0004NN/p
HE1n/6nmAlzUJcnusmz3piYTzInNk7DGJWiXVQJnqkzN0tOc7EdjAr52BYRbxPCDI0hZjR5LdEiy
oH1R2ShqCQxdqMw+l8oUbZWxvVd0q0O5Vg+3NpysnWGnqwK96jKMcyzySKUHuwwQogTyATLrVRrd
h2/RGAhqM1kPw+hAwk/Ni4W7eYH0D/COD3ltRGy4cRrQmbAxrR2i/PHRSPOrEZcmXgMDzUWUyvFB
TfyJYVHdFBugt8FlECcgRDeChckAjER211eK4pFgdgpU8yLRPEI0eg6SEfdagTOt5VkR9dUxqOqd
Qty3StOmD4jLBWMzWmPIP1V9rqrmR5w9YGot6FO4xtayi8QbaSMD01qZQ+epcDkXpWsonj9MFMR6
eR479RhbOAVHElocxwHNO84qf1SrTzpwk0UhYUoPYv7Z0a5UlUWVFOqNVOnQo5C0wLct9HqNIwKp
o9NrmxKOVWZp7yaMjMOkuT/w352MeFqYaopGrLwzGofBW7QEpXKtJqm9dkA2VKLrwpXZus6DKwhn
8MlhX+gjmhgDTu4FRIh1B54DYJ4LPC2Dw/y9MMv2QBR62Hj1aIm7pDSKveHX4yEyK4fyppSe22bB
QeHy2yGVaHdJ5CfPkRHMBtu2Do9Sl+pORkG1HZFkPdY2VmCWao2SXR1fsU6SIVf2+Z0URrez7Sx5
o6lhQ8cAk5yocUwPMBMHKXL3UAA1odDq+3WjabPMaxpOKJDSx6kJh0eiodt9pBbpLaUaX5cdHu1F
VbjVe0ODc1lqsiMW2bVOXODFkVK1v0egbJwtbWr3DVnJr1qUtDSaYUkRho1mIhHxrpKudZmqXH4Z
5kAZV6dj9Qm5lnkD2gb3hIE0PEWF2x8tP2kOie9otOe6Tr1znEG99kZXnknU1o5pnMsbjTAXWwDW
f5aKfTSUXj1SuDY1xj2QuoTp2hst0ZMzj9UA6Spc1CiRavZPXpbGz7nRH9U6FBA60y5uAYc5Fo/e
vy0hYtreuVFPYCeCIDkXZpV3u6ju6nM5E1lanzTDQuv7xahDndL6eFr24INwsoIuQE17E12trBNj
xFBoR/PMu9ZywmpDdY0apEa4HgYgqlrCu8jcsu5EpkaHRk3Pti/gyJfudMfAhQaT7ySnMcDXzkq6
WaA64Ie41pbAsdRjEmUt5Gg9VhWyqbbt04toAyI1+rH1H4u+15WNC4Ru8mp7KrOlzPiDF3TiaCQL
+D4Al+GyezVur2GjpoGMVh18jVdgU2W4pBzPV9akZTeSm51XAtj2ddJMa0UnkddWiK1uMm/Ex1Nk
IwDQxoYoqyawetPsqBgBivBUw0jZGtdiaI6yqB78ynZAhqsNAzkLoGQ4wM/0w1WsIeA3yFj27D4a
PU1ifZnM7uBX+dEO2f5hOCL1Bg/WZyGJTm3Fw5DZzqLsRfBddlYP1qo31wr8FxINhXXO8ZRyxmjJ
2pZxdC0mESyLNkjP7dTbM4qUpTQxcSFASajHvrAQArZRfSTOzD21lipvUg30YxCK8hxTZl5zitY7
GRMc4hF90xz4tx6OAGHCU69CoKA/yHqn+Vl/2gGmugU9JvkF8D7zhsof1tW8U8Z5zzjz7tHnfdTO
OyqpHShJ/mCcY1BB90UZlkdTzbifZd1BgOCqJFSsfgc6g8OIFyh4onkHu/NeVudd7dtx9ggueTjB
1w12OAl62qWcAzCw3cM4oW0qzBxpS5nN66B0HrBlJG8YbrrdNJ8r03zCmPNZY82nTjOfP9N8EoXz
meQqhbqLka0cs0BwZA3w1J+xkrW7KE7dXdH0wSFp8JJ0jXDeo0QfD4WvMLoDPHAnU5eDkaSx9kAB
Ir4zEZGbAc42uv1Q3PGrlUtbBsLT0Piuwv9h7zyaYzfSrP2LoEgk/LZ8sYpk0ZsNgrwG3iVMAvj1
3wO21DI93THafDERMwstFBIveVlViXzPe85zEnpLSJtNSyAjVD4huTnghpIhf7U7P8jg20jHSzXh
dIq+NkRD3GJtRpaa6PCIi+Gm9FJ/LZzGAYfN6mHeyADzKobzAKBkiTpbv7D6VogETlZ3dDFYWXeo
IjVEZ8kMi4TfQi5Z9Z0/9Bjfy0nzsUtIh4nIIPLkx/EUbYJpbPDDzc7M85qAt4D+t6i8dZlWe7/p
rFvLGOS1H43O3WiQacwDq90qEOP37aycDARtWIh948Z5vjWUSVg8ZB9KsKVmHzq4DUJFAOZgpbw5
NrZ9kXMDYkeBX9Pj2Hydc/qe1yhFJmfLlKYBbzGzMc/K6uR9RoIZ83lz54UTlN80JcXQTvW6k+Wh
pSGUBHz31A1nl2gP6r64ZpKqr+0EZUpC4IcUY0FbUqSqyDaSrA9BPNRBNG6KqtYrkqlskYf0HaC5
3k2p/maWVrNmhAL/OslLKBp9U3V8RiFYfSbeJ/Gn4GqS7FJdb5JoVjwGrKqxV6kn9l5c4bgz71Nc
05sx90la0RgVF567jgq4Fn1je6fOHd0D/AS64hLrKvSNeyBrPPMS0zobPP+3Yq6/5W1lLK8RfvSp
tlYq1hce50+zWSc/HRBmx7bHnKfzaj5BW0EsA435bPpi2qRmM/3Eg8J7kHL02iL71omUqo7Ei/7P
iPLfZYYv0gGz17+f8zYfxUf5pcyDtPrXYW/54l91h0V2l5hU8COgtdqLy/ZX3UH8grPhD1o9c9hv
wx7Cg8Xk5aMQ0+yEwvBP4WHR6skdo0kgcAMAhaH6NxT5gFHzT8IDnUIWEUzooHgafZLVf7411Mqg
WbA0bXJcyc/ec2885exrN3hMw5q4VQo2emJeG9jCY1S947n0xkm774P3WKOdmkZ0Yv34nPXunmrN
nWkY2/RMl+RVp0nzesQvw+E61uK5ITqXddGunp19OiusBOsqRkHM65Op1m7v71zN11KLnKfqAODo
mLnWnaucG8e19rqx7+zQpJhtJenZxj66m+qAcsbmwTfqh5mMWsjGy46rdQbzNe8+5/xhiuAXF5Au
R3fn2fraq30QUcXZrO2b0h6fa4vyrq68uI7Y1tO0zwuXeEhHWUH4OE+5zxbcfmxdzLs6vS1CG6pG
vDgZHXWYQ+7+aZTfdZF3sMgJEWsc3jsVPIJJfE1tfmWMJHsrdI8YRLcAT75BOuGgK852mm//8M77
r3Ydy4v0+9WPN9byIi6MFwhIJu+aZaD/g6VoKpRsYyLH9L4Tjy3dr3K9SDe3zjTdeor2wDjG7DF7
W6PH9cAr859/ABuz1Z9/AOQH4bkCLQNRw3KWxc8ffgAuaT5QuyTcGuVqrhFE/V7tRsHjb5gcYD2x
vLXDzN334Xwhd/o8lIl1ZhVlHAuXAdZb/Zgg3+1mFh9rNrDJzjPDYhtW83nM1QEOJ+enHxlHgdGg
oAwZp19ebPZQqACD4NDkIpNvNV2/qxFrZVWFDhkf69SMjJ2wgDmZW/ltAs220uN814tkP7dczvns
vViNPGE4uvbT/lRCbbyqmjo6ff1+/pZ6+9+z6/3b/2v5Xv/TsBMcGeQSBG+Gf39Owk/66Lqk/Rd5
9vcv/sc56cOSWNaMy3uZR7j4XRTzxS9AKQL0MqQHsewnfz8n7V9MweG6bBTFwgLjZ/lVoDW9Xzyb
mch3bdCasCusv3NOIvv+5S3uAq5Dlw2kLwNO37/231FCNGT8M3KSVLHcQaRQMOtTyZo9gNm/smr4
dlvaoEpoOFGIruR5S1jRHuVorKAQ0QOItHcu9VdoDRz3qg8Bw2NnyB+yRBuPzrK8iMZquLhFGZ9U
4YlopxyCy7A3g61ncSC3ZRt/x6kwM6RzQsV0uNFdHI4wjmlqA24T0vh4iszShvUpXcxXvOnv3LEq
QOrPD1FvTeAED7Tn9P5KDoC0+kSpU+wH3Pt5PMgd2TxuK+EYAWj38glMZyl1cwOjG3dGn8/iIXSS
/NUax+ihkvCfXCHTTxw70TUoXzyMkzHMn1EVOMSAbI/UPX5ODRGdMuzs6KQyoBOcAnLSLibYf+oU
ysvYtqwY5yzdlga/nVKOpwjwwNYsYirPLSWBPuURZAMaYmicMD8XpC908KonoNT5SXaGZJB9ahek
MhuoPPgeVUb0JDGBLdZ0mEHgcg1pbiI5lJvOEXg3rMxeCSsZ2UNH8irlBcCLCUS4g5V1omHieUqQ
UzaeHKGRz205rvO0FNV6HpsSbtycWRuLbfd17+r0Iynt4oeQIR4yNUy1AXZ0wFokgomQdcD5xCaa
NRKRFBrQgqGLxrVbRpDYDYsWBkn4EF+2DggtlvVb3IZtty4oScOpPSZVw2wmyZMaVfyKZYrEPoWu
8cFq+T7mZJUDJTraD9ZZhPkT5ogiiFWFKiBCTw/cAbGh/47/S8c7S1YjuUoj2Hu9xwgsI3ciWtFD
EfcsH748oK32qbMteYHyZJ9Dt28f4zKuPiIaSVN842UTnHjkWeyp/bH+1hD0e2uDuDI3BNKYiYNU
1e9mTyvEajZdJ9unaakeTM8KLjbdZeFmrnVwTrOqvRRxA03OL2NgG8Hoqzu88ONza9MrgmlIGD+o
HHNwJpmmeoVdUny6VObs/ZGnHcalQD+2ZWkRo+gK5i7V4fg+IMniuBmMuMRPigdQ5xInZUemIIq1
fg5cXd87XTUfLaYAPrdZQ7I/NkBz1S6zg0Bl35CPHJt1KGT2GfHhWr405DlmqzxvDiJpU7W1B9c/
Dg7zYI73idnMzkfxEjWTeAUvhmQu2F8vMzsvoA+ai53x5Dsr32pEtGqF0uaKqTaCAhPDTA/dH2Eu
5zcdjVuTlC1zufWtGgLW4CJL1afjjVQSALAY38YhLTdNH7NLNVr9iG+vPse+FR4yx5ZXZZFrnI5R
x3/2knzbADV/mVsPs2fUQteUFLBDxe2IcYuZPAPqOHR1YNUQGi24Vti6DjRNkWGa5m2FHMpNgVg2
FDZc7g0dfbP0wudAsg0uO4QoWq4Cd22YPFvpn1B1s9ZR0WziuaTa3Z4TYa4LPRbVVuLfKtjtN8mP
tK/jp9mL45PIzCzaMnwCxzBsqV8NPihUubMF6FdZ0/RvhZXGio9IZ4BESWY+2nPhNBf6bYppB30B
91Mx11BviYisOnZrZOV6t79pmmyCflVW1bEr2va1XYyEaDzfs2JIMbgpzukhz1Egg2zxfvUG5GUc
IU+ikymdbXLGeRGPw4sdRupshXH8ZiKJ5eizxbztJYZN3rAMdjScFAKzQjN731oyEYeIa55oEptu
kZIlHI8ShucILux324gYRA1F3pFfntbXSd9HCA1ONDmb1oR6vzZoJYzXtk6h/PP3dL1DH+Qk/No0
Mq1NJoL2x2S3LMj16K3AsPKUsYfioArVXIVuUsK6ZUVIdS+1YZtC51m3l5T2xCTTgWHYiduRy51L
pDzQPlECg8512Nf3VIzwtxd2u+Gt2fwc9eSj05ALMVvYrivAiRxOQV4+lAYfN3rCEiL1umneEg+O
P7O27991tZLPk1dB2SW2Kc+CwOYT1N3mlRZO/8pP8wifptdRoODXkXVbU4h366JsPDUTahDHhsvb
xyO8bnGvNwl1tMlwPXkdtBFqNKLnwOwFLBxSJj9FI0z/xE8YW7iVSaKStpn8t47uA3b8uWyv+dw6
xSG0JQ4HpR33kbNJnYciSG90WMkdbhhaoENMqPS3KxJDuZEY8Tqfc3NnNFXCAib0XqZU6FWO6/g2
SwOxzmUDoUNXyYX7d7mOZ9PkKutWKEFx89xHInuqA6vemBBHauFZjx3hwktGj/amz1Lr0DiFeASv
bPyQKQWtKxnJfgOn2jpiscRaCc46fCxE5F28KnmsKmFcwmoKNxk5nWZFqji7GKmkBs6uCVFpnDO4
aQLip9tElOVERMlknTZ56WIXyhGqeSfkVv0BdyVE/O4j9EgvQzudKw1LBcM64D4w17mev+UxIRyD
iICibaGKbys3b89FDZSCiG3yDoXjjX3yvB/7YNyHCWqX5xbJR9hP+DJ9nd37ADr2OEDnA/nnctcQ
aHDhbkhjW+rG30x9DGJHUj+hrj2nKN7zeGAX5JtyxF2SZ6ieYEGXaoqaw6W1fPuIw6d7bGYsJ6Wh
Ykw/Qm27xftaeBHrv6xiRSha29rbHEBromLDo8Oj5Q60jhXRdgsTC+YDTs1K6PZjBjR+7beEEzDQ
tvFxqML4JhKDfBB2X1/IAKSQIiNEVdzilCY48dSsc3uJULaW3Kf+6N9AY426U4m5BVy1iPNrN6VU
j46B8K2Hsnzf4Rb4qZrc8ngqc5VgvK0xqZrNot+YkzLqNWyyMr8kI8XZK4dlCc/vAgFJtV0Cnsiu
phc500VHDKy+ZDVszJWN/klLVWtaH+7ApRmuRhQ/u3Ybq51m6DLoncWSb0fpvGmpLw/3VuwB+4BB
P+ljQMd9RTIjdV8GysafyPAO917UNPsuK8xbLWNJfYfTdgSvDI4HaimjvVvk3Rvc6OpOsacLMFf1
NH43ojm5ccZndSY/fvYmiwwgyh91Tejgd1xgNWjYYIhfY7NjS5PrAYM66DDrUaRj80K4sr4ELeBE
lmLzjd+70QDoyrbHjdPQ5bNSKpkLwJbe98q2YZfRnj3dGENYXgV1KfZqDtjEKd0Z+F4999s8+51J
va89fXRELad1W5TG1p7q4TOV8Cx3SJj9TkONPKRI6HdDBrvmH39LRLpyzRpsANTsPVqYEleajsQX
PpzkCZqkrC/+kleJm+LJyfJ7mBewNfOoPQdFjKHKCrEJsbZmoVA4EDiBwXab0pK88GHoBi+1idN2
FdY6Ymq16QBcMbJbz6kbNueAYtH7oKrceyKj9TXDS35uoyl/NXDcp2sXauQ30EPxnqiNQz8knd83
rGoHUD55N777ySSmq2q0hgmvmjlkV3EpTfxMUTQdgGY438I8IsJYClbgJaE1ioZruk9WUvnBTdlE
OMB5cv0wzNb9EUWh6rdDmiEL9zO6xcYteK1XzmAlci+rIMFj3sodRWHp62wY870ICoKvUJQDnm3x
8GzCB71HJs1vAJjPlzmxuh/W18NXhelSPDzTk6Oj8H6Kp/ZzrPz22gOB/6jo0DCbKHJXaODuR0xf
AQ0dth+zyg8piV1LlzQPBH7rlu4UvaH3mbxwnEyYptt8QRqI0s4yQF/pgqlsWg6NpsLhnffSeRWR
2eAwaLoWVFeiIGAJUX+zjQYuUKUIWNLkeZcUunkhT05mskFwz6ELPsPgQoIepzE6BkPfdjtTg8Bd
FwCuoUnYs3HMykYcpIc/NFMWpHVnWlgMS3ifNGPXn5PYKup95vqdv8pMUH2MBHC8lZaHehRNtqIn
KiBFEnMPnQaCUXFf1vXGqpegUErmgs5bj1BsSXXrVVGkWNoGPAL5RoZmdaFNZT70rOi43UAE2jui
TQ++U9IaRARW3pM/tQ/adMtPv5qL92XK7vgOtMRtetsyHkSv+gtgHfVCTGg6ZqZVcFXlgb8mtjWv
a5Zz/JdBcMUwZHVqxVSfqyAi/4HGXoXrKq/Sj6LKVXyQXRLdkk/gr5BlZLX4PKTpXR8UP1WHfMnH
BTQP2a+LoeghXBF4rtZqdpxTFI8mPQakPgjD0iExynTe2v4sbax4vZuRTR64kMC5gRuYYF3duLNt
LxkOtz60HRTiwSkTg9E0hu+Qy6RwDqpreWm4xosioGrI0aiPPJE+kgwpfl0mYRuuiNDREFrSwmUv
S9hwYKNCE+qsu7RcZa0bLyUYVKqsROZuyRTFp1aSu1IgMr4XvumSPR2LbrlGFvXW62Plr9mQJccg
4142Rll1HamvKF8UBjADPPFUOMtM0flOTp6Ap/ha+Ka6tXvWAIXbhQc8NuVhoJPkWPZT3FDLVozP
SLVS7IFTV0eDHkMURT/BrOrO+XVJv548WvD2ohevHzsugJ4G8/r3par/leHTX/UojHn/Xsx66gB7
fWSL3/BPkv/vX/urlmX+ImzpkySlV9ldJKt/av7eL45Hayf+fDyHSzT1N6uh+YuN4I/jyrbwq7s2
P8hvAVT/F/4DsU+2BYtxka/6G4q/6/1VyTItzAMm7jK0Wj9AcfuzWBuHU61wg8t9lDoFzWFY0GH6
EedkZPWcj3YK5Z05cZlu6kysQaijfYhscrk42xyK2vH0GTBoQnqQGzKswWYd10/9XG7KgV5Oz8uc
Tewi4HtcgT/jpO+OIk0stPUuMpJ1MJd8sAjsgOiZCj9b+15CqjU34QZ0zXwrkdNpV6TSIKX6q1qx
GohXAHZGbF76AHxc/YgQWdYdt1ks1kWCpyww/RvR9ck5QtLdTjLlOuv1za6QhGXsrki2bZf6p5QW
nnUQz2rdgK3bw3QJvqfk6emOYXgniRDa+2rqxYPHlHOb1W6zX9x2m8IaKRC2Oz1fEVeXG2axdidn
rwQTSp1asoK5/ZH7Jj+ojvJ0X/gNt/BomDK9ju2B/JfT+3c6T6nQamoKZny7/hSUq9/YGZnM2X3v
AnE9V0nKOZof2D2ch4GWFGe6iw0qQB27v+D3vuamoTaj7dGvppCw3YjiSkhvpNwMN88RBYoalNSo
u02che5jh2LKhjgfQrHB2ky9eXqiHtEHd1PYm5AJAv1lwQLFxcReowsUyMCyl9UHd7oJ3IoK34N0
dOhe8evL3Joc4rM03Mec0qcrlU4t0XlDXBMTIN0qOguyl99lLGYXqc8tRu8wtOTrcaAOTwNbAwoh
IiejnWuGBGIZ5hlbrHGsZGN8a62OvujMkf6Kd1q76kvtvejclaeSxigSpjEbZOiXE30qRfI9wSe7
FbwrD4hPWLAqJy73onLK94EU2K0HC2SVk578VHX11vmT9xYEs7fnapzdF9zdLowS7jNk7pxamFic
8Zl4ZzwOEaYiN94AfT+HFZj8QYzlTjWWcQiEzvaEO+UdD2hGgBETH3yljHe0k8FbM8P+BjEru85H
G6U0zyBzwm81zxNWIyqqzNR77jxu3IAg2O9WTTI90NA0Hgvdmhcucb1NoVs9fFiOr69Yltis3dsU
6+Lcvesi1OeQ2f1AqsZ6bIVvxOw8Ks3mPlXvOVdLtc7SuW3Ww2g4zU0gMhIKoS4MBb6IJ5+XZQZt
lJrseKh9sI9dNuKmMfg2NP3qy+C6xbNd0eyzag1eiiYbiZi1EXtSCkytisoeWPcWYdkrLyUdZgBH
uuW4wGSQJTK5SWMGF5+KtIvu5u48EHy/8KRHmpNgdB6Ak5tXdta1jDSNWX0jpR/dim4CtivNVAI4
aqA9jp7Ax2l6xonIH1212tSVyTct01tJYPE6HObs0ipN4j0cy22Xm3AsfXs8eJ6m7aYzdH3n1zq8
9T38YHGBnjLUQGCpgvGtHekMboSED5OzTENwYtXkns24HU8CRsCeHFR3LkWtr2NU1nenZjLmvsZN
ZC2npxqbES1kXP4fTVWAfpdztQ810J1satSDUyJEJTbqcpKbyR7TKZ+tSRfZTRjl+o5iwPGOTZjG
wQqQYF0HnsdkT+jc6w5GIxQB7CHGURiKQ5BB5O88o7mYblBcEsdznhtaGEDJiuqHthjEVwQl5CGc
fePBm3p5O7TSeTbDxnDWJl3qJzLlVJ13XnoCh8BburSsn5DufcqYdf3sVMLcGFRpPCcxvROZlfXd
imateWuZE+BJHA7kgLJ4J9pYA9uLWnBIigHZwFH1YHtFuItjv6M61dfTscpK6xwVybyfCtfZ+0Hn
s0tW8yYyUyCz1Fm+MsF7u6aV/X0TQF7iX8PFhuO9Jtos9kWk4h1uj+ZGugREMO8unNMOjqwpi3fM
tMF74BfFpXeHZM8uhVlsZnGQYcrZFoOyEBoMTx65qTVbE2SLvXbyLL7KuHNeIcE0pIF8dbRns7jU
hFUgUCffpBp9FPj2qo4VZzxPNfjL77U1NyN2Hu8+aqjbKcbpSEVI9Nik+fCjbAWMW2WN+04tOGCv
l425daeZSVFQkBtjc8PGaEyWG607ZdXn2jO69WwToFU9PZ+5r/hECmwtTkrxQgE3xLZeFVA8B0n+
2qyGQxH57JiT6BpZSh04qrfmxDBfpETX8E+hgCh25dQAlfUW2yqINlM4Vn6VWV0rkMFwNMdpX0L+
i3so3l2aH2MC9kt1UFRu1YjjK1bqnXUaJ3NfeRhhtDUi1QtCSqqdJ+YEOW9lo51dGRTDvWXgzN7i
MwkO5F/xsOEX5zY/BitNJHZGoMiLvr0gxNSfNdBWtq6UaLIMKq7Gml8PPjsHUQsQ+zzW9nXc0hk6
oRKiLZbTydRy31nzfIAfMbPMlfkr0+l3bu38seFHPHrtQRdYCPzSOAA8QyKJ1o1T0XFm2hWscMO6
BxeM7zmtxAPkPFCZyoCwF3tUr6zAH9Lt4MTC3rBZMKEBUIy+gK1/jqFyr0wwA898Ppqz59f9wZqX
3XLUV9+LDs68L2vvqpP1TOzEwQgRl5clfLE4xudtNBThAy9Awe9U+gWVODhnfUn5qd028Y0Z4fXi
f7TQ3UdzX4u5usBMFGdwbsWrhl2wHUDtibUwBkC1WmJAl26HZBeQ6PxZGJZFVZ4B+iHLbFxVliLZ
FPk62WLjdu09XR/xsbTp8QCHTqVHPNrwLMexF4jIpQsANCire+4XSXmdR4YRb4wCGMGKY2AdH0Vr
zv5GNk2qb4NxVFc6UDnxPSv5UXDigP2zXb3Oxwbp2XKTJ4s5dJty3SWbbJq4fQec3ZKsGP/uWYci
jJOdlUrC4FUitoBPUMR9mRxEkcht77FyQY27XZpqS5xOfMP2qKqx2vRkrVe+GBmKuVowwGfRmvDa
+F0n4/gTyNx35j/1TuPfh1sPAsXMjqrbwIjcAzBZ4NxekqzLytJnz1L4s2sA6LMtFZ2QyIReC6lU
5zyeWtFbV1bjP8pZY9OUNPhJ7P6bEOrkJm5pqcrrNoJS5JS7uO2TU1qW+rYzQ2Mf0uv1gFTW7bVj
usQvsTm6iMPfWeUQG1UYYcp4tngZ+uIxcSoKOiw/uogiHsEgD93OgM4MwjV3HyJv2SWUPDrXqZzT
jWN3OWGDIYiuJsMbdq2HyKBw03+aLJm3mFrCS5GgzwhdeWvFEYXVL3VuesqR10Yekn5vaOMJcwuv
nfZLsPII8852zrHJOVRKV2uZaG8bhyLepZ0XRtyuNH6LoLJPnq8GeCejfShGenbCLoi3qoYy1hsy
PDiTnUFd1iYNmFGF3b216Ewb9DHJw+ri6Rzho3fZZC787+TVSVR3aHRW3wsaAjajRBmwk9JbAeOy
n3nQMXG7ymc6SFy5tan4vKKt0T94IQjfnmKVn36Z+ddu6+RPQ1YWxNFLsW2IzsBfB5cVNJO989JQ
UNReU/6XhQGPmoksO7cBCwdvOZ5b0d2hhuy4p+LL9+hHgbTxYoTVBndTfDNMxht+23hlRRXxgRKP
iOsrAHEVQ0vteu26lmK8qsltblVIkGE12lQX9cu2hSGeVnHeGChqRZfre5GxURD27MCk6kL+Bqxj
QGaEV3+YLP8LU4/8F1PNX+e0v5hqDJgMqRaUGbPnY0e2MJANKllYEvvJTjpptQFoYDzRmjU++qYZ
vE7+UN/KeI5O/iSbt5AKCnaVXPDhNMhoH/dT/ThawbwTDqWlVImzJ1KBcSkHJWM+tAk4VZtXgPSm
zVWC1q3k1QZXY3CpKUHKyq7csxRYKuOzk+8nxrfIraKNZVDaaaQU0cFzeO6bFiREVzvbEDvzq+x7
LJEm4WWgc9UG+zof2sxxbuw8A19BMMTZFI0/48r3vHdu6tHekaBYEew/qsG59F3/QMUG/N4MFBEW
+GnjzPF0N/Qlha3ZfKZVjL6wDEIc+1sqWJlKYwK0+ahmju1IOd9l1yBBGZTk8HAvuBRuB8OsXmZZ
5AA1E5+qQBW7wzn0vOkYs7m3WAVI966q2uG2pWxnaXQzQwzOmfzhYB76XofzsKltw9sCuJH31Zzh
QyJVvJoxoYltNQ3uCUu9cXAkyI82nasGGC8JGihLYvwxtONrG88NS0wn2dmqyHfO2OQ7yKRs/Fka
rCxadK9D7VDw2BSq81a9w5qqr4Z2C4w0uZ2zkic02u9VyPx6SWC2UIsKvO+eD3pwHINRH2Vl45dm
UUE8eGp/1nHHVbDQegQhpx3cDtwXqGVuAFivfXoZAV9zzx6+rtz51/VbLjdxnsJcytOaqmZ+kXIn
mOXzldAwna3lJo8hmbPJX+735tdNH2YR6uty/9eG352DZSbIlukgX+aEPh8kKIqIGvE21eauroKW
BlYGDPU1a7jczDiMlhHE+ppG+mUwQUvTl+JrWqEla0RajHlYu1quoQoHCx+9MbZRjNEt+Bp5/K/x
x/RUWR+6xhsx/Lrm1agcSvXsGsKjynjjBhnsvIhemw82DJL6B6RAWQ7dxcY3tp98EmccYsxbczM/
1HimN7lR3xsySQ61wS/MAjFwT/zLpnCXm7IxtTh9Kq7CV94I0XSIGdJsFXYu+KYe9L/PNQxLdke5
eSTMF9k4zronincJfCqjGl6DiW4URkaKy8c1TATmSBwA2XWcdSgFDJlUAqdr/TV5ul9TaLAMpLVp
ZftmGVL7ZVztTTc6N0yw9TLKEtbjZV/GW37IZdBl5FXL8Es157A4jdjeLaOxY0T+W2k3byNLmk93
GaD7ZZSel6G6XMZr6I1M2nQSTod4Gb+DZRCfvmbyfBnPi2VQH5aRnXpI72Vcxvjua6LH6B2S5WfM
n5eBP+WQLkKyDB3BqoJc9qIMZItI0C9ygbMIB7Lrg81/PlG/+qP+aJM0bSkC23SRUE3oa/5S7vMH
l2IbYPoBzWnsp863r0rU206GPtRg0MFyqUPF+eVchL0YDswAT7hDV8Z+kJ751uKkp+a78qLv09Dr
K/rnp5Phm+2F9qPglYtB9Wz59blPypacBG2vXJ70vaJpmdY6o854TVNriYtN2QFkVsso0KWsod3I
8K5aPyqpf5n4qaxADtyswrn8oAcdPjE1ZzD95+Ugy77ONHhqnG/z11lnf5178XIEBsth+J9/YV+R
oT/9wr6UQi7TcpG5wIb8+RcWUPg72YT49viDHuZX67X5MF6be33T3pE6LG+N/OY/f0f7L/1KNs88
U4AGWUAlHJXeX76jRmBBHE/CPRab8DMn3dARVkinm2xMZrnmJl2f1NR0BDBgbH2aztxta6ylP2fT
GaGGT0m4K1ON+0563Ki3c2jxDJc00Ir9DPbxhSyh++h6AY86t6xAW2e259MWlE0KbH/VnAnO0elQ
zuORmwznE3LKihTIfT/O/n7g+onYUKQ76uWa3dTq5uRXzvyOCYxeIR3mx6Fx/D3lQ8ZTkWh1xgqV
3bHlik4y7ymrRbOvH+LAnT9snaTA9fRIBfaYqGfAesv5Vcj8/3Nc+3+m9RQajbPUb/17tf7xB0Hs
6KP8+ItW/9tX/lOrt6R0F0QMf578ilz/6s/3QOlg+sTw+Q/b6e9qvRlg6uddQq4QRdIXPnez33yn
zi8LRoByYGKfFh79vwUG4E/kM/bHz6DrOJbpSlgDZL+x6v/l0Eoyn8rjlHYC7rj3Li79Q9GNIAfB
ZOwCo9A/UhiPUNmC4ICPj97dMYd+S/Ty4M4FaGqg4mI7gDVkO2pq564FOAO9LCyPnWImi/NsJMIX
uddMLnBOwwBuG7vo7wrY1G7Ox5RZaqy7TzJ3or1OF4vuSo2J++o6ZvzcwR2/bioFsa9nJxgidQj/
5PFZOeIIwAEwRk6QH9JULGgQTKB9b1Pu7ZT6W5jMajvhVvUzPby6ODjWTlVLgGymm8yrYfLsg3K5
6tK2W2frQtmo3SCvcDGg7q3LhrUFHLAR3jRdNUYJojLCqzPaSANEl2rSgwbR0D70k3I/Cs95wmPC
zl/QdkZsOemOdZCGj0skDRGSWOpEitGl3BU3JUYiY0TpwACY3IKcHJ5V6STZlpyRONFkzeyhpxtz
ModDYrb6WyUwtRhW3tI6nbftLXcUpm5kInD3uek8h0Jb586yjMc488SrUZV0qrmWNxynZsCcEC7y
jBVF3/0p5xceuePyg2OGAlGC64ZWa6fy1aFCmz+LPCFPz8tcfrp97Rxx/pMAGxIh+SH9ADWKZe0+
I7pxKws6iyFGTtMmpBwBx41BBVjkuAhpLhTs1WSijJGZ3wytBvPYCkZjyTo50jEHXmIg80QDcf5m
Ls+F4aT46DBTfERxk15pSL7XvKH6NGSaqg2MI5SqRjnKZqyCzTC2Fa41c9gEs3IPYI2S55qBajOP
YPG46+T3huFBdfFBVjIWRPuqqGCiddq6xZgntrmfRgemL3HiFQWQbLTsc+ZMvDfzPF/FNl0QFQP1
9ZTyRlWV9j67rBx3whrbY1ZhkC1K/7FpNLZrKpNZU8WXLBvpOQ1U/YTxilaH3rc/ErOfTlygqau1
FPV1jHmWp9oXPANvBZaDlemNPLebgaz9AKqo5ES3t9TtJg8FtS8KoGSNLauPnSsA1JE361VW5pB8
xv9H3Zksx46cWfpVZLUuyDA6gEUtGjEHp2BwvhsYyUsCcMwOOKan7y+uVOpMmaQuVVVbd+dClpnK
GwzGAPh//nO+cxGGNMoSIUUy76Zts0NCacge+R74N51VijNar6g4D0zyWKQUvHW+GTy6vaxzKmMt
J9jxH2XgbyanpEtAFfODjRFnT67QuzV5+TBtsstG6QozJnsHQ3BZC/e5koF765WBs7cwJPm4auo4
in2Kg8wBrpUasTSg4sXdh1kgv/KlDMJHv7KalewzLhSJwKQa8TmZTylJu3uooZS4MYITZ1wQOBry
hHCj+yQ7T0FAWG+coXWy1Rzemkw2t1nmjsfZrLzbnN4XFRGZXnikoqWLR1vn0OaUFywt2M248YbH
IJzsJ136417A2fkIi6ykDx55DlVMuh98vrNvBjTHAf9gIUtVs52+W3FBZUILRQqvDbPjnXQxZs9m
aXugIEqn3ea1bHdj0vZ0wntxumt0Xt0RrnUeh5JocKw8+yEvO+eaDBRiBi+KOLGttOBJCbRLlgKJ
u9OmTu6WUVpAKhI6xkc6Y3qACZ+SjzDvauzYz13d9ddF3jmb2FrafYBqRi1HEdxWVQm/oFBzdTFY
x+aViBtrH7YkUD1rkBQh5znZFc+zZoRLxDWDOYfGL1HAx+V0eOvnfXlPN7h5du3JbiJO9E5K8cDo
PyVFaTpUCMzqc1wooDRLs1v5JsPNSnntJVB1lFQ88Z2XddtHuKfUJjbqnLTzyK4lz4L06CBc78ew
ujWlQs+3cDOvG+fCLw97az8FVnkvJEOixxd30yHo7RT/E0EUqB66wcF02GXdysrCOzoBkpt8KnEv
OWF2g+cHRKYNU7NV/XCViNLe+/juP/KlzW+GgZYXWcX9Li09/6qLZ95DvOjXcdhyImJYWnEtqq6q
eZbLqgbGufHL8sPqipqqGkPtHbcSL8zbWxHoFykK8BB5lR4srBtpayN3gib76dbYjbvG34jOmFcp
a5nVUFMyiEB2zAy33Xnag/BqZXe24fr0/Qjj3jIqfz+TpIAdHh8v6gFpIjGZrJqM+RWrNEUqMaS2
ezt2HeTdxECIh5K1VMUji4BpW3oDLIi0eS3M2T4UDR41obIPaQxjcbQ5Z1M2HGoozAncgsjUy7Tt
Y3c4WzTD3EyDAcKenO+topDAD7wfemr2Lo6TqOpQM7qp05BFJ+s2qO1riybHIKpTWg8ioUIG4hFt
b137Wl7ZThUg3zbLDDALisGO0Y+/1bVb7lpHHhW1x3IFqaOd10tqopBbQT+XJPvHZj+o4r2ci/JI
c4p+c1BHw1WczjAR5n5A8LQw4cDQbc9tX6jd0o4BE6UbcE4YJn1VUgpXbu2SovZuXhD+teF8lX0y
ZBtu8R5NRU2fcpgxkgI0ss4wEDYd94HM7uoJOAEJl9VSSPFZ1Z2+4xA/3mU5PvmmIpDns16PwlDP
q8Kxb+o6uOPXElSCeqBMAMjRPRqH/YgpNx6n5zhOf4Z83N8WT6w59tx4KcvuvGsvLqa4PaNHZhH0
/dKh5K6jSJGgL5FHYo4SGvybkcBJTfxiOkpHhcSIC0xa5tjPKydUpAmD3PvoEHh+JPzgKLEYN4IQ
m0NZGv6WBZB6qn0sPokoKK3yIbKpUp8aGSfPuYdLrMRz+M0IVLARcJut7S9UTwUFHs190ZNjHytQ
adHQqIaFfUV3EWbJ6sQ9YNzReTLcBh71qDYHsuds8fPj1BnTsbVpwnHa1jw0pddzQ/K96wX2GTqJ
nQWHVPFaeWG/fKI9mPsg6bu14y3xtithJ6xLy9uh1OzYhDzNAvZI72Vg4kbI1aB57M5b++YYrwLE
DXzhcMf1qGBokIT0aj6K+SQ2tilqNrwV/OaxXLvCWAt7vjeQy491PbqHvJm9fcay7d3jerbqXI4U
XleSig4qc9v0FM7biw3xSuEqFwsWATpZxm3ZdPENySkZZbhTtg0LsPUQKwZ0x75NBn1l2/O3ZXVp
Bs0H0gWOCeH91FQtotPOeYQ3c7gNifdsK2KRV/2SpDvo5JHZjdxVQmUNj32s+qfZJbM+ZdOwHa3p
1kzIH5DK7+jpFHINc6KKwMnBp6WjKEJICrcOlzI43870xh8arjO6wj9gDUybGFf31k2T6tpscuei
9QS4BYSu8hX5SH/bpLRCegjo+ypzUwgvvn/fDNzLY91QWtDG+R3kAGg+8RLfY+cJrkuzyq/RlHIM
703unfiGIrQ1bDCvmUPK+yqxva/FnMhJ9XF150y2detpWxy1KryvMI3DGwEoJsrGNHtwVNuyHBYu
FPS2ygBolP0Nl83i0C75uEaG+USPCfd+JYt14kp927tW8Oa6PVUhLEgqREXZcC5yJJYTGEOc/DMn
O9QlsKAo9ZqZq0efRcmCIEXYXe9D5QtQwf58jkk7LGSW9LHO/BiQVAgdccrn55FN/91Upq+18OOT
SQD5bTSDdu/4tGDNuQN6kTP4nMgWnoKwNqWiOHdOrfpW+ZI7XRMnkBId1o5sItY6FPhpytx7IZiF
jRw28V2rueBxfqxfIYt4l2b7/MhqlA+w6tzrwOobH6lFa9SbLEnvE5tSiVILKk+aZfqM5+KS4+e+
Fwc2P3nuLnsb7uOT7ydXrFOfRD+AhTZiTpkUAa1ZWb+xJKJ5M9+VoJ0OVgklayDhxx2VdZ/DkXdt
ehpKsWmsTfyWa8Ys1NRm/MyyUdPM3pRHqcaZj/UwHKC3WmiLutjYXW6upzKP9yOE9dDEMtW0hTz4
xU/2i+TfgoZgQc1DcYQ1kWsL9Tkb6XxVgOKmWjqDHW2PWL7icjQ3hHfrbbWMvHzu6N4ZcDR3S5qr
06grog6ibj5MPjC3dArBlLHxs2e2BJptdRwnwOrve3/uYRqb9IMl+FriOOs4L8jiPbfChV+lAfYN
uuWTYcwmOaWstYxpSB7Cvn3CWDyesVkCbceoYL1Vfm38KP1Qb9vMbPbeRE6LmquiCcnelQw9fWCd
FIlq6nLJrAQ57T5DGObbgAw3OthYi4VJbshWTcf75flh/jpX08gnaxS7+tLpU8X6xiHxIcgm+DXp
H6EJcgxZ8B1y4If5cD1VIY8PcWMaKqBZaIEcT81jLqA8kPr5asdpPybhY3DJ7AhryE4Zt0TK0qp5
3wV+sp1dRQcZ4tMh57d8w1s+vC+DhWoKL+eZfUx4XbMJ/zQ4M5GZ1BXdfsjT6F6Ju2H17t84S9Fc
Exst3/wg1pyNPO9QmxxptWNgEQbqYWwAC2U4RhZvUnhbjem6rSou8W1Whjusb7B2RoxGHPXrYBsr
GeC7maH1xJ2HhbiI/R+hMASbWzPInxuOSJsmnMNbfG7Fa8s2YTenBAihzk3vokpL7h05FcCFnk2u
ZdVyz255OObeMt0bXTd2EWWFwwpzgQ2P3l8OC0rFOSzBNSVznO2wQTev1EzS87x0zsGf3XIj8lHd
BL1tanqKG7HRvWVidm7r+97rhXFZeagvsF3Do1EBm4+6we1uBJvWzahBrEf5bAcgaZyLicP+zvIq
PLppGuNRgAtyQnCnkblwsmcuHAiJZqfTdWN4+obOb/uoQLNj2JjLV9hrnFwXvzhVfN3p0y3q21gN
3m2B3RY0y8UaUacVsFYqPbtTjrPxjsO1bC4bxXmvpM2lpuUmek6o0YaVl3rFoRFlsMutRT3IhjMs
0am83Jfg+NYhU8y1zTZg1Rb0tgmTDWPt+P5q7vLk2ZVBtotV7ARRuAzyMFaCto0O82HJ8exI3Gx8
HRZneAw5hd5re+RuskjnuSSqegwHS34kvuZeFI/LrbdgWYryxkyukVGtm6ob6EK1QAR4svAOZjMQ
jmS9YRNXkcJ7H1wjJeaUO+Y7vsi8RTxYphc3H3y0Fhl2CA+9awJiCWtN719nbZw6YNptY2PZEuUi
0oCF6i2d4uZ58Fv20Y3LYBAg9s+BXd8R7QmehJ/7x0CRzrL04K0xm5c0084csWRPaWYE3294xRkF
W9CU6V1MhHqncC1QeTTm4m1hNc+hgdryvgmKK4OGj6syk5facO22G7+N5UmCbeCtDd5xg3EFw+y5
IFptzZkZnN/DWtkt1nrC2yLGxBSxGc+puLhoDxYgsD3tftZaGUX55BQmSIC808MGy4P4IKqYYkCS
HJfCXFCZjFGrJEtpNUBvM2ob+K053tJR+JDFsrjJXFZtnj3RMD65oA5+CZr/FFjgv+LW/n9Q2oW7
QnwZn4tNTgBRBC7yPxJ5r99/Ysj+rcL7Nx/gz1ov7BSM1JCuRch85l3Il3/Weu0/IrOal6WQy9/Y
/0vqdfw/mj6zlungkwx/ua//Xep1Lk1DfoDiCY+FcA0b/H/CmM35/HdSL/lzkO1QPH4ZAX6zl3KL
nj72vE/3xeiXl/VdiFea+FC4AoDXDpEDYODKN6qAS7/qjia+3mNNAIeIjOjJNDYXI1YVzF65RhbE
1GTgRe3CYH4mThdi8CQDiOqTl3nB6a8NzzAtu3s/N91p5cuSTZ/jYz5ucecmhlo1gxVvOsekbKCT
rZ18UKpsNGTmavcGo6FzJCU+vg/xXH1wivUgRbmyQb2rFGBpjx43MNkdrWXjLMQPNVPTxkEnnObd
bPZ8aW3k1PYA/4hvcTunLs3WjYWfWAYiu5+YWJIVfJj20QPn9KADfyJnrIeYXI4Sb/acl6dpsmaD
O7PN3UZJ6FJbewYAAAY6Nd9ayUkxCnGuYTWHiXeeqoxiQY/t26f0mJFCWbpHSyfJ2TO8anOxPTzg
ptAvELy8U2mk5dkvYZUYvRvuwdMsu4sJGO2EQ+n1AIwGB5vHyhmRFqGIHfd20Ex2EXnO9DMcJ95H
o+goUCxsMbD8y8flqjGE8z0yQDzQv7t8ZWNZDheoe/u22Ll7x0ALaCftJCNN6crkyXeLgSW6LvtT
SjHcLdAs+orCCXhOpJN52OUF1mEANMP45FvCeIafxqKfO6T5hNeU8plQUHu/yVgSnwKR2h/SGltC
dAEoULvPKVEzEyL4lbjcebgn+5uyiUMM8nl/LStMkVHrqGrvYx7sDi7dkoo8U9X/KDE803Xu6u4r
KePp0RtqkIIdE4dFb6ARrPxYBzfUzdAYRN9MUaz70KXCppVdeEdwq2hZc0oCBV44gPqcjaJGLVr8
KYvKua3djRyIGW9Ld/G/KkmeaY213ItXjayaZSNam+YQIyxlzWwKaQBvQfpqXqr+yKNORKC9yRs4
Ppdzd0n/lyPiq6/xnsRq0quMhTWv34D7a+Xwg3DsEuA6e8ADFa++SF5RA+NvBht/PqrCjr9w0fd7
GiG19QkB32Rdgo9g2DllzPDIz+prSomR209DYVvXOqS7ivBtwaQ9jt2nFukEL63R1drMSv65szvj
2jIyWjkHDULJrZdFnvp0EDpypxij/TiXTy2648+ZFPcbuaIYSyOxjAb3FBQAC4v7VppG7gIEqMZD
k4Ikw/MpfOK+BhUka3y0BUS5Ou8tTsWJ3s4hY0WULnPwFQ5KQHTvQkLvfuERwph6/97UcXcYoD8S
yyr19GAUYfcRKq97kTI1b2k9XraMKH29xtYm0CJUONwbhtu9jMrzIuWNmMMXtqFDQeRkMwXyUms1
xMOGsw4jINgK2APIN7wWgGJpl5JD8wIdML+qrNxLN0KKzokkBusDSTuIA1bsLJHHp5L8NfY3UnIe
xNRB+gItrx4+Q9ZSLQ4hTVKwn5f+piBmfSYMnaK9xXUT0zI/TzuKuryd1RTmwW9yyAg2b+ObCvPl
Z290CVpFb843Ji2fN9pPk5sQKyn20Nr1z2PZZA/DYJDfYl6yDuYolr1LwdU5C0Y8QbiDsJeOlUGn
kq5e6zr1N8MCYKOL4/ix11xywDgky1bmuOVQXJpsQ76W3DRkYfkDD0Z9Jwvlbbo2CaF7T9OBlqbl
5+VIG6zmFJ7GLs85EUaCNVhDgLxJ6ccZk+aNUov8zbcSm1oiNgQ1xwpfRVzD+yfeHTYV5pxYdzAk
KAkt6A46Gt7EyXwk/BzuarRgSnoMAC8m9oSGz6qsPzBhicfeZcwlKampXkUikT+s2m1evXZEpmxb
daGUaLf3ti7Gv5SeMUkSuPexKe3sxmyeO2nJ/GwHsAZ4SxwuOomJ9doxMNZcpXLGOz3w8i/0c/cX
anMzUxlnF6PjHpQ5dxAB2kbdJAt1shHC15yv/cQOb1XrFx9TmqTfqaHqddOZbE9s1TH+FA63G5qY
AE1z4CO9n9T+hl5wVi1J5WfIpij3a6OmCt4d2gnv3xwXRz0OIAW8oSi7VVH3Ncq3zRRJ/xbw4yCe
TmPTOsvaoBxtN5SpebBAngJE1YW7mtDHpm3rOPLaUWjl2Ap6B46Zk+4GWr0xCCS0bHekQlQ3LNez
bBpYiGVFJ23rmvmqFaX88Nu8IvLuXI0TA35E5IQ/hVOrvW/QvF+cgvAH/hOk/WTuvTRizscNV+MD
XCcAXo98bbz6pSR0AGOj7/a+wG2ASQ09yire8JjDZxEXjlnehnSUVmFxTJ0R3xGefMT1rIs9E3oE
+7yL2r9T1tkJpnvbAucYmGQdC+4G3KgJ3xcIrle0AV9Mc3GwcquuPzM4D98uN58d5UG4akP42moU
6wVUxX4ZnWRv91335Eyes0ce9fnqFhT2MbG7X2Apaf8mjRSetEXYi2JxDU4V8/XRirFSiznT+MfZ
oEQOrHFY4JmcrqE+kspIanMdDjHhGo8L+UaOFTAGa2L2Wrl41+hJElacr1KMfbtOzqGMlqzND0vW
1WcqTYrjxEftOgh6ebWEmXulUx20ABJ09xryOSM6XwWfAmmxwhXitnduWQRnjJD+XvZ9RVlVE7Nl
mwz7Z8gHZh13VnXfSnSJtlgyd1PmwGNNr2+ezAq22Kh5+2uavF9L1r0Xsnm+kMcQickyUfq3FdyU
T3oIwc6hK9crofqGpGdIiUjfQj0AlPA5JVZzErAkbyqCVnRy5DK57bzOZ+DyU/zIoGgio2icnjOX
7f8oFwcQba2L6Um4GQthbyyTrzhtU8h1Bkxx3SCyFyXfQqjlvcUNFNDT2+DOPt0BMFYN10Fjbs04
efPNHC9jkg3TD0Okxo9cuypjNpMg8yB17NKg8e+AEThHfIb5N89XnfykY3O3aATcpZk7jmesK5Gv
VdA/hgRh2kh2oyfXkEcC9BbAdPdBooItGKLxecGttfXbqnwPbcFRo+nykeV7F5OXQZatFOOak+x4
q8ZrK0l6rg5ZrO4z5QAdrRuRSzzkBVcq+EZ9AaE8VRkxJUPXO92TYjs0qjcTIKVwsraFlVq3XdO4
L7Y/UidrdzjatnTsXRbdKgBUkpGWv8pY5Zar2p26fj2wQqa8j4oXNm5MjuxD5lG9jX2m5FqxW6lX
2VLENywUHJjJOLYOfEJCdld21rMt97mpYea0kLl8Xn8IuuiuYBT03obt8+y6aXtGvuvySDEPneXs
sj+3BtACtulfZZ0X3Fm4+78ydIMi4lNQ2Rvuu5etoq2ZvnOG6QfyLhkwkJkjQTSqLq3oR1sQTi2D
EeYUeOUQb8fBc/d+Ydes5nOXxUJBl6+zrrlVDDd21jUxGlyZJKsprP2dsPrgXBR2066XcAyWqA4L
91uW2CrWVWhYT6FnzABGDPNnEBRa7+sRYQcgH1F4DqvIxCzA26mBnCVhS3V9ShqySL5tIpPnfsF8
OYeNhcEj60A/uEG2Wfxa3esAY77Cu3ltVRQkb2dObXLtTrTf0XgfcJ3SeRAJ0cXv4djaZ7PiiLHh
1BsaK1WGXrGZGkGsgOSV8V3ocuGMptUBkyOsmGVo660RV9NG+Q5fE5f7MlCNCYh/K8363Qnbxj4x
3hebeCCIwj9Np9osIExUTT1SUd0oKun4VNkr8G3pKcZHeXDygC57TCCK9CKRAiYguwX771waD30e
MnmSmctzstgLPTejH3Trlnag7xpT7BkcGjsKyOgYTOOWJldpLLTiTLzJakJcdVS/ETHBL7BUnACj
OaENMKmQ4vVC4SClUrkXeWbSvKeFoa7yabE54FsEa4weJsnsgtbd0VHoTzf4hwzYywOPEqSdd0jY
YjGSMXNeojg6PsLCRSkuQg7NC0UAZ+7cDcAxOwuv6LSuyG2ZdCPRA+/sTIhFQJopaAQeNm0SZbcb
Yaf5FFUS9c+VEMPob9SbsMbyo+dO3/Ck3SN4MfOVc0C7ITwPfIpyRIMvTVFH/si2gyrOliojPyHo
JXN9rl2NL650MANSpI0jEgZDdg/CqthYTYg30gtC7+qy999wgos3tog/OKeGO5Pv5KbWPUugMEx+
2KrsP2aTwFRk0BO0TmY7Z3VX+/fJYuHHZDrA1FIbxW4xypKOgn56pF72BOIBjjyb8nuSDnwv7QkX
bCy86Rjg3dm7TZFcCdHkvO4io0OSHm7Ap5m3q3PTfmnVAr6nzmpxOaFjyGLbihvd/xPjJJGcZvPM
/PC4xOwzjqWwoyfZ3WAdoil9oDVSq4HmKtvIZL9O0IQPNSyfLGIPXz9SuxBsOcKJk6Bx/cFdamRV
1t2nuoM8MwKRAJwgxfDYGk2CaB/Y9kEkQbDB0pI+8tWL31JhwxJEYG64PCY4u1G6AGkVFWR32GB4
BOJUnAbXFipq8XoAoxFmfuMZjt6n4C5uM3shURxjTL5TRZtgzzdpPoA55x/iMpkpoteyf4ARkj1R
VTWccFB6n3x3rZOFTeirhYG2pUw+LiNhz9DbjNG1Xuy+5lRv5fIACEve+CYWmcgc0DLKnusV8Cx2
hDooafaukHR1VZa7OGjLKA+N6WA3oiEZ405XRsEvm/s8SBQbFXS8PkE69gjNvChudSk/Dd+9aQLY
yqgWfojtInjsU01R8KwJvlDjMIptm0vc2449sXHGpbG6nFy8FX2k1aNVWnIr3EGeatf+9hkGuSu3
OSvDCaLONe5ZHzauqzZDngfVmWzw+Cy4KfNeLi2ivB7q/meOx3b1rwznRRNXTrF3Ziqw2K1P09oU
sgbPNac0FnBL0UTdJT6P/yMq4v9HVeIgcTl/BJZtuxdEsmddOmz+vlP0b9cs/uF/VD//8Hc5z3/z
R/xJZrx0MNq+TU7W9TzT52n8RWY0QT7TQQ4Dwv/FckAC/A3yGfQDzLOL6ukigP7FUgry2XRdOmUs
fp3LQ/5TDeSW89eW0l+4YJsPtQV+iP3XRYf8jd7IuIStD6wKSfAnPdc34aO1TbY4+DnlwVEPLjDj
rdmdnSc6YkMNlP2pazM63F7iqV9n6HbB4IKEKH9wol/nKQR0AvvGlljZbuBQEXflIQ0+5gn1pqGF
XGcvevzBUWhjoOHRwvJwcaqN9nzngLFyjCOVrAq+5h5mwcA+/2dKvrbyrmcSmdV4Uyu9isU3YtUq
Vyy/DRaPApIoaVfa1W+5PK5n6J1FOu/Ky1FQIPVMLrXBxo6vj9rSp51cTsa3U/qDQxkn/PHDDKun
rjfvy3YhIsFdMPKcudl0vmTQ+eyLOxEMXGGgRjE4wSrg6llwJlYAhH37BK/vISnASDqKlYK9N9zy
mINcgt907UyWXHG8vOu0Yj5IMMbCxBbSPJFWj6ZGclN0anJEQOSq1n0z2U3wNm2GOtkA20EHGbdu
l7NAnFeKOmUp1Bpv2Y2T9adeODSPOJ+5L05TzXMd59nDFGY/T9n8VLOCwfG5SVz4izgArSgVTB9w
wxIgltkpKRsmfOwMl6PWbUtPoJxufvO1+RuhNea032nYf/pSmFyPfQvguY+e/vvPFkiQDmQpgYpp
KZ9UTwzRdbvTNHh7rqQbzzbxAPriiF9rVzR3RD12nuVewfDU69kkIFF2Fz9fHB5EVuxzw9xmetwq
Cc1Nx87JGWpahbwHx/XIJEkOUU521VZXpnZ3qqmurBkCeUDsGKtcttx72NsAAW2UxVKTtxB05Ler
vLOXv7Gj38ZcxSm12iYy3yZWuuLcSl6Q4zC9Ghhp1zYp1UQZ+2YxT8pT28FxT7MZXgtWWhOAqnAi
vZ72j7LBF2uJ3cLy0fohUCDpPji2Yrk1a3Qno07YaflIECGfSkhA22aAkF3d+C1RXZqrcGp+lP28
Lwpzn4yX1gwDxHWul+tl6jdBEL/PjbetqXwvecCIBBo3GWsmwcwMYye3snq0lbpR0J86a3ysph+L
9Karxp5xQoM8emtjhwxgCmVMOpu0sXbYKmFGCZfqnXCP0vsT2wiQwXK+SyhiiTjpeVRROfqqHdkK
iOXHP/6Y2JcYx29N7ZerM4RQx4QBaJLJYcXz2yvQUrNwJkVPyXCdfyWGfol5+WJl/WiZs5ZBESVT
Zzwwt4se7pJOIYxOF1dpZOHe2pLoApUQyjX2vgNguLvULrl29ecOjDF0p/wk0+G78ar/zaebFdFf
PW8A/miYJhdwbjAWwIXfP++OIY3tCMWXra/8CPgzoA6esEcYXbMnxmiDpJaiyHBdbAgqG2TJo9bS
7xS8TggrbYoc6Buo+KoFutNQjnSFlrdhTtzj27MjW2D5yYYHLqw7p5hOmdQPDZPWAlsFyvvPxKOh
2eUg7AQ9G2nFfJyx1VGir1FeAy6Ng/1tIm9ESd8bhFmYoOUCH7VoxnM6DKcx0FeNYEGeiYruypjT
iwh/tP5iRYSjHoVV3A2FS9bQa74Bi6Ubz2kex974DlOnWAWZ+CZ49tAJ+Vqi/amhI7tofTcoQinO
o7DiGSTtATdNtIAkBsT5PJbWDlJEGPnqY0wNSuVwLZbjhpq4xBwp10pXzC8vVcOMTNjVjacN3rUb
osWnrufu0Zg2AK1wb1hQE1ON4VP1Ty15PZSa1yVvn5JsutME0tfDZWgx+r2DB7ZNzL3XVg9eOu5N
iBlVLz9js3ko0v6obcihqJhKemshg1NSmQfKQk6jSy6+CB5Ky2ZeKcWaINcmBBmUAc9MUnPLW39t
WpDmh5G7TPaCDL1HG9z0PmxHtOT6uo+XDbVaW4Cpq8LHKtu9yuXhUk2A4Xad6quwyQ9YX18oCyVi
yJDDbgLqLbHnIF826WWmJy33nacMEb04aayZ4BHf2pLyO/CJ1d62C3O1OHABUP37F1n69zXOdU6d
LWhbljFhMwANkZ9t4YLswBQRlIfYCF9cVFMMwD/h6G8Bk8PMqePriq8hA1d96tt8by8sF+rmAZ/M
OU/klWvTWE6kNWox0RE6t/jz/ZrN/5bo5jpOuoo706u0R8rDp32pKe+ljRz8aM/ePK1ek867npTz
XPQB2xLx6i3t41TqfsOn+tDG/vdiO1cx3ZebkXg18ZTkap6wo+iewIJKgmLjucs1wcAIzuodKWG1
85X57nbMdQDFz7Uzv+ct4QgAJq9oqlTHkcNbZXTPKrd/GpbgOPiAORwT+T0/5EBSoGVVq96aIGTI
RyCIr9rWV+Y0fZTTQoS3gidTOHtjnNaTaZ5KSphgsjxjZowClZNEC89CGzdJ/oZnIiJZvQoBiXZD
du+ABuaUjnmj+V4ygMi8YtMUPkzzxfyX7eqeiLPVnmPjY8jxGS3mj4kNXmJPW0uHnxITMebBgXCG
d47Dr5Kh0Q83rnGrgtsGI59zV+kzttSTMsq1duDsOudhhn4ug6dy6lY5p44aJkMlHDyjbCblV57R
lzUy/3Svfvg4IiZDHo2cApNTurbsN508+Alx+0BFgXtvoF0kHV3B2ubjYpD0gc2XXTZH12YM7mSG
UMo9KhMo9v7Ww7uTZxfet+D+cGeNn5hV8Ug5rz1geTHzvc7t1yA8kZGA1XdvXsCSXCtf2tjOVzrz
1kn2MULRKvX3JOtV2YQfk+MU23DoPoxG7DOV7PPM+jmMsl+xWGO0q0PKDFldeuG4ZuELr6oODhKF
NSIW362DpHzOZsrMJnt2fxrKZiMJ5oEtSrAd6dGBi/6YJq2/XqT1GObGWz3PL3W+PC5EOJa492EF
sTN2KnYSSIzFBv27wovP0DWM1Wetl12w+Ht2R5dlo1qZAccpcIYopy1lZ2azGcEhl+TWe2DammSN
GGOCIcQPFuF/lMNwBPz0Fcz6Ecp7s2qlTS6Keqa642gCLTzfxP4lhAolXQ7o7yzBGgtdfHGv6fn5
zk1UEWuX9OJIIGZt1eomHxuuvnBVWu92nvsdWAp77cZOslUudm93xM/Pvj9bsyw1MNuG/abIjTn6
13Rh0vU1x7TGC085LmJWSPoxM8tX8ILkJWrs5EkXn53UOvLaZJs4nEEmNjRo1L5PM0ClgXAaAM/I
az78d42j/wW7yp8tNev3/n3zq+v1Xn+p+fzV6aL/S4X95f891VnVP9b/uf/o3+0ff/uB/vD1H2qZ
dbxLnPB30+qvJ/XrGf+jxyje+6zXP7/+7V/skEbYwMLL8i9/oLIt+fO/9sUfHbpjXdMNzF9//enn
/Oa1+Xu//T/+xf70Mv7j/+Z3T5xvS9VfXv6Euvjfmnd+DRT/kV/9rx7hN786phzPBscCY/PXX0z+
v30Jwkt9knAvk8qvv/5vvQTvP8sMGljXq+yz/91LYCJb0KLzP5m7ut82YSD+r0R92KPFR4CgqZX2
Ia3tlqzaKu35GlChIUllGk3sr9/PNiaYkC6N0QRvCcn5OO7Od+f7sGWBGQthwMLQDnvpEDH0gERt
c+COlQ4IeMBvOIUZOrTcM4PrsCnKZqNIFJK3uSDEsJmZF6IZgCIOIjRY6P8LQgdzpSBukssL1Pkr
nDD35zHdNgrlLUogYChRxgsO/D4OmOG2EyMnJB7dw0exg/6jthLgBkLUPVASY4DkZfLAlDloYBGH
nqfuQleOiwegw+SAJUQCraTA81mIFhroLYvBReJCUKYlDGCEAJLgezgUkZeSuhEJg+AHz7eWB4+F
OD9GXAoxB3F1dgaXBeieGUItKjKMb2cIPbebDPtWy8CdsggdNrzpESKETPQ1gMqoWQURkHEJBcqM
PFvzCO0b0LfBEX0aejkBRHBQqocIvrrGpxmkjeBbKwZIvh9A9KP6bQNgSzHELvMiJBBBKGpCjI0Z
fJyKQJnZaceQIdcc+tFVvNBRC5g+hx4eMCm18hydRCCd3VUcamEr+GwGRsBpFRRMiwVmEUO5jsiW
f7sonLCBNJ4XxtsUifS58rTsc82O/UA7HYf3a4dDGFPCqzB+eF89p2rtvUt2Zdhi0hZs3dS2oVyn
/nv9gIdLG2vpp9JfXucpJ77MKnmjqtFc0Bp+G04cM06TO05JWmaGVxCIwbF7hC4vDHRbMvAq/LKk
tQYjKCNqDvRn8VTngUU9E3ENZm+92mJ7Tbzqtu9RzrE15HxNy4yKXkpjgClMT9slbgkzFCfvaP38
fvKV0G00NyiEHTaGJrFd5SvxDYIWq06PI2knWMMGnxYdwNIlswX8jVZlRsnvNH3WFJBSKspr9Bfn
M+OckqzqlyFRvmO/wPckB/oajpQiBBMGeJl3u2S3zFLOKwN46LuwVG2JfrfbPNGDhiOxRg/GAbD+
QU+E1D0y4jgi/WEA2D/z1So3FBaODIMB3uE9rfNisqBk16YIXKAQO6ktqeWYkD7VUpsrtvB/peXL
5GOK3maFRlYqXWUH2EKfE5Q5FNYLN3i8trttoX/ZPQG6EfBqvDtr2FsD4yaKYAsXu3Iz7X2RL7cP
xCc3JZrLJWWb/nCbXHcIrv/Ad5vj2xNSPNHCcghFmf/ZctMcAGgn8mL4V7Y0u+fInjc5qAY+gPT2
52tppOVeIh4Ebo3+7vztZEEQM7xqDamGjhCtPwCZ5rQRdOoBPgCZ5ukjbByqDKnAWxC4D2BMfk6L
LD/EXESubbnnaNadwn46wH74SUxxyg/Gkqvg+wB8c8rg8+PHQY1H+5o1f8I4KssVbrEVHB13NQAL
/bNFpyX+p1aHWy7Tr4/OyR99FZE+f7M5tDj0QvWpXN/fTBdb/GJZpMSv/gIAAP//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8E9DA587-120E-4ED6-B481-25DCE4F59FD1}">
          <cx:dataId val="0"/>
          <cx:layoutPr>
            <cx:geography cultureLanguage="en-US" cultureRegion="IN" attribution="Powered by Bing">
              <cx:geoCache provider="{E9337A44-BEBE-4D9F-B70C-5C5E7DAFC167}">
                <cx:binary>1Hzbbty40u6rDHK95RHP1MKaBWypu+Vj7DiJE+dGcBxHoiTqRFIS9fR/9SSZsbWcZP7GbGCPESBw
q1UqsfjV4aui/30//+u+frgbfpl13Zh/3c+/vSis7f7166/mvnjQd+ZIq/uhNe1ne3Tf6l/bz5/V
/cOvn4a7STX5rzhE9Nf74m6wD/OL//wbpOUP7Xl7f2dV27xyD4O/fjCutuYH15699MvdJ62ajTJ2
UPcW/fbi+G7wd83di18eGqusf+O7h99ePPnSi19+XYv6r8f+UoNm1n2Ce3F0hCKJIspe/FK3Tf71
Y8GPCA0xDakMf//h3x758k7DbX9Bj9+1uPv0aXgwBt7j9/8f3fhEafj8+sUv961r7H6tcli2316c
NJ8UvKkybfLlQtLuNT55+fsr/vp0lf/z79UH8NKrTx4ZYr1CP7v0X3aIFVj725L8DVZgR1xEkiFG
viw3emINCZfDiHMa4W/P/GKGn6rxvBG+3rYyQfzPMsEpWKAq7ppP35bkbzADOeKMIxxJEv3+I9dm
YJwigrn8cpl+e/QXa/wljZ63yKNbV1Y5Pf5HAWPzUBfq27L8DRaRR5wSEoWcPwcMIY4QYlQAcr5Y
ZOWmfqrN89b4etvKEpvzf5Ql0vZvDBOIHRFOMInw160fPUGGoEchwzziGH+xA0STLxHqCzJ+osvz
Vvj9ppUN0v/7z7KBK++GO/ttMf4GPOAjHmGOBMXP4gEdsUiEHEDxLB7Sn+vzHVt8u3Ftj9N/lD3O
7obmzt5Vfycy6JFAIcX0OxbhRwhCOwT2ryGFfNsMX5DxlzR63iaPbl1Z5eyfhZKzh+Gu/jtNEh5R
GkkhBATop0ktDSWGEP41mKyyqZ/r8R1DfNV/bYV/Vry4uIOE6s4Udvg7TREdUYZDSVj0rL8CdIQy
Iph+cVfRKm78RZ2eN8uTm1e2ufhnZVUXD3kBEPF/o2UwO2KEQTYrvjqmpxE9QkdYCC4hmHw1zVO/
9Zc0+o5d/nyZtVX+WYh5ay1QBlfD3acHU3xbnr8hxvOjCBOoQ9AXyIToiReT4RHjnDD8rUhZRZS/
rNXz1lndvrLQ26t/VLx/92DsL/FDk9/Vf6N9yJEE4LBQiKeGEUeRgCSYfgPUypn9RWWeN8uTm1dG
eRf/f22U52mdxwTWk2/8bwksfARYYAhy4mcjTLQvXDgV9PmM+CvJ9H1tnjfH19ueKP7/mLH6Ppv1
B7+3gdx2+zsx+IjQ+vHV318P2MrVrT/iF7+s1cknIA8FpuB9/iAc90Ke1H3Xd+WdsUDSfEPfo7se
4MpvL4SEOAMJMoUqn0VEAGYmAO1vLzhkDpIAnhiQq5xKCrlc0w62+O0FCaHqh0JTQr0JJCXZXzKt
21/C5Cike1NDvh1KFDL2Bx971dY+b5s/luPr7780Tl+1qrHmtxeSQ0bYffneXlNBEUb7ekqKKBJE
SB7C9fu7ayB94evo/7RhNwdNYM0u1FzXaZDNJrvANXMqNlHLTxqZ8zY282h4GpVlO8U9x0uz0UGl
X5ohCvJY41ye4bEiu4nM5Jz3UaUS7buhTsQ0dEuyTKzpk9Jp7M4jPe+cKMkYV72YbOoHEk7xOHbL
Ns9ZMCVO0ezCDdMwbJRu+EkRmW7YOqd1l3JfVreLmudpg8g851s5le0QV60eTRI2WX4+y5F/JH3v
trmIpnQeI3m1VGi56AMZbHW3VEnkqnbb9a66HnHX3484DO58M9f6bVhn/KOubPMeuzwfEo9dqWPN
sqLY5dTkn8ZQlO9qqW0f9yEeWdxNopKpGPX82oShS5VnAz4PRe9uve+yTbf4+ZZIOk/x1ITdS+XN
EG50g8ox5o1dRFJhXISb2gZk2fAy7+t41GrI4nFAnYnzhnSXekB9FXvkotuuRSS/CxvZlrFqfVBt
p6p3edzTYXgJZQG7lRaVTWynAuUxjZrg1BhSWxA6umUTiGgkZ3L0pklN07bopEXNkFDbuHfO2bKO
sbUGXqCqaReH86B3fdmUH4l11flS0u6qVgP9VCA0v40cC7vY+Wxp4mnum9OuWso2Jt00b7N66m60
aep0XGTLE82cyOPG920dh4tjN4XL7U3fd1W+6ZdIRXG/0PYa8bzst6DBfDNOtr5qur54VSFTDrvM
2+i4UNakJJzz92U+C4ZizJSQG9W4mWykcMs7Z7txOOVoQkFC1BygnQsKj48DOpZ3zIxOx1Fb5eQM
ia4ZYjaEDdgMjUGswfe+Mf1YDttMct/FiJb9mHStsVlsvXBDEnlpbhznYklcPc23JbfyvFRRVMUq
GjK3HW2mO9iwHmeJqfgUxWhQDUkn3Q59mk0l6ba213m1CdtgTGkZuXOjKX7lzCTfVqVhcVQV8NSg
MVon0aiXq6y0pL6e876NXWTIseo5uULFYs/mMSyGtDYN0zFCsrltsKvOhAiyYIPagd93NhQb1GgZ
7AZH7KnKPKdJOBMVD6yZtlHT8tsoL5GMNVKoT1oX5N2mG100JaTD9Y73eDiRZLblrh0Ktwvb0Nlk
WgLik3ay+TVdcOTiviij9+Gk+ndlWMuPfJT0TEyjbeIwAOHl5KuEtvKdG5Wsk5ZMNPYW0TvBFA8v
c5q3fKvrqc7jaK7dZd8sk99UztHTYaRDHi/1mJU7MnTuPWsL87Eoc6njWnhZpwP4gXKHq8WR48pj
z+Kch/DkLByJizNeieKs7/KJJa0SbooLEqExmXnUFcnMXB5uVUWMjnvVTRd+mSna4A4PNoGeUlbE
bSYB5kVovYyrMKqGuIMNe9fSQN1VQRdkxzgq6k++d2hXRjk5bwDhSyxCU9wPnLcvhehYOofhclNE
jqsYZ4TeD06Xl9ILTs/mhavhZe7a8UOwNCQuG2oSFLbRuURl/hZ2VJlwHcGubIal3UEw8beV8/XL
PpfhlAxhT0XcVzlOGbJNtGVivC8HOqciN33iC6+3TTFX88aVyJkzbdHIz/OaL6/B2TD9popkdifL
QL7EOWyIHRf9cGryrnqvPMlcLC3QEHFY6+BdH87uZTVG4Wc3FYuJZdm5Je5tX4sY8H0ehrj9ZEkf
EfDtCoepROAdb+gclDZ2oSbBzo3Gi5Q2A8Bsoiw0iW0Wgi8G4e2xyFr2RmaoRhs0OR9rB0ihxthm
a8q2OCNMfcgt0sekVji2uHN39ey6124aaYKND2M2s+A1BXemk4n2YkymahFVnEc13jq/jHcsmgk/
VjNprqIqwEM8Ln48QY1lJ6Lul/e2Fq7bonaSW9SRtjkeMkvV65DqmcF3M3XTG76EsStkvYsg3J9U
M9ZlXNGlA3c0heiTyzpx2bqafAiCUV9hj9od6Wd3U+ezVFe6sBocCs4Zjwmbmg9lrefjpuYzSdzU
qU/c8SIp1NDKbbD00ZyMYz2JN3ngxs+zUFhvmNb9BzZQMcTWmKFIsjJ3CQ10axM1Z2yM81bobT32
dRez0ct+y5bsyg3jEm6FyvJxI60Ar0UDxN8Z6MpB4K6y43AJwx3WUZ3QKJteV5GYz3CA8XHuxuJN
q10Rd0iO2y6T7DSrrLs13kxZnOs2KGJK9VLHexwGsaxFc87GgVzanl+7Wswbwvt3bT4CMPM2iIvS
yrhVLDtTZHBNPBv6aS7K8CQvIplg1vWJHTu/oV59qCAfjLNePLBZfbQ5DVKk6nZjs1y7xBmFypjl
M31nK9XLbduBJ44LZiIT45ZO5IRyVpHE077sTiaaFVPMgralCQk4Gzd57Umf5KJ2y24e5DDHcyE/
tW3fFjFGFt0UnQyWuAutYsdTVcv55QLb51PG+dIm0wipDi1qbTdhYdpzaku/W6KwPK7yMtjisVew
V+rxzM1WbgQAwmxqosqT1tbhtihLcV0xVO/YmNWbbIyqey0V/ixVZm9rScxmXrz5GPSkTaqFU7WZ
wrJ1MWUZfyl4y+Mmmhq0rZp6KeNwaCp+7ss2CN7SQtV9nE2jahNZub7Z4F6Ny8teNgpvNWyYfKO7
svDbPLMEbcchn086FZCXPRoXldQzydttixx5j0VRlSfRQsyD7DMca15PsHdkV59obSKSgEcYxY7M
obxclpr4eGmG6GJauug8tNj7xCJXfNSdIadsGIIqzsbCfuyw5ZCoRK3/EGJhy42nlkSJC+QC3iLP
FpE2HGkV29BBHprzekm1Z9m8qWCVL9AgMYldRQSP8cxPKz1kSYdbOcUtx+YGkqhFxVWE8L3p/fDe
tbY4rTWTxabBEqsYgtL8Mh+iFiJJNIRBIhDLUGwIKi+dQEURE87spuNBsWxQZQd+PuZKn7AByRLc
WYh30zTso98i+hrCagjPw7VeLlgNME3mSMqNZjV/NUVLewM1nBAJk6o9kYEQ78upd+Vxg4r+1Vh2
ebuROR781ikQea5a4dXlgLL8Yi7N4BKCDeQvPOpf4U7z68wMooszzO0Q5+NCOvCVGPbJyCJ4Z1K7
cDeacjPIKduMtlBTHEBi+orlbDpzGSxPkhVoKWJw4+ymmiArBpdR+C5VYVP1W1lQqd/lrGwf8KCx
uq6sB3eRT/vsqCy6pUszZ+s7SBSyaz/OPj+XXWfCuO2tXwA2Ua63lVaiiX1f4jkGB+3tJisLe1Nl
FI0Ql0N76VqfnTVuHLcAgeFBO4aup2oszAZ1Uf2qWObgLe7D6AaPM0vxGEUPjozhWx/I6UwyFtz6
MAv6JOvL5dXUlu4W/C+kC7S3mCZamjLVDfU+nnQoT8Im9+9a5esldhBj3nEadnZDK1prcAJhWaWt
VSKDpJnUJsmJ7WrIlMOKnoRBDVmMUU02HEvI/k+5GFEft2NBTpTBvN71YcXUhhcQ3WJaFL1PM1Lk
6nSxvDpjjvr+xFFkhliVdR9sXFRHn8dm1PdmkLJP6sk1eGuglrqhpS+KhBfTPKA0LFoVJLB7C3qq
SD2M4LPKrtyxZZpGEqOmjYK7djDi2Je4lu0mWmpWnhRNudg5WUYodzY05K18388TkteshbwkjWCn
dTSuZsREXGbujjVzbHzOy91kgy62cy22OaZtkM4N5ScE8AQbcwmkPi+47ebEETqSl0uXQ8JKWiHj
ULI3IcSb5bTKfPaqiiAnuKodWpocIkKU4/Oa8iBLCz25eqtl7rY4JCEnCdHjCJVK3bDBq7gp+r6/
KJYW0qOuVY5uMOo0fWlL0mSnDJmxuJSTcPySqyybjkuj7GYeWfPKiqoPziWDnOSNr0O8pFHvGdmZ
eSnUCUOlKt+rvBv0MRsy73ddJb35oBcf3kWqrHjceceyDxXPmywWc44EJEmWZDnYfcKDikdjIM0c
5l4lCHuVFZvc4/AD4aOxyWCHySV91uFNppiPziF899NxJZE7pV6jYYuZQcdtiKvU5hZyCZzx+XXR
WK1PvOJluCuGjsi4oS4vL1oqJpEsGrV2aytsdn1QjMHG5hNPvSZRdkqGdna7rpQQu6ImE9lp0zvf
41hZHPoYIoOutkHAa3M7V5Bud/3s9UVNMBZJ0Bds0TGfrOxOm7Dx0XEmo8LHlmlR3ECQ4uaEzraB
NCecpvNxIjKksVJm1G8L7mn5EQGG21e5s37T8E4VcdFnCko7w8erso+i2xKSOxoP3nZiY+B16KYd
lF+OUS7FeFYEdKm3MmOCxksg7E7goefxIofgTOnqNiqDDDJy1OVXRdVBTKRZ9yEgc1TEdbhclSa/
Lsc+dJtBVQY2TzTVOF7IWKbVzLtiozLXn2GrIUw1RZB9XhTkeidIlFAZAcUwFrGtC3/v84GQEzOh
HBLWcDSnfT+61w71PHE8JxD/mdcnI+kDGk+0vna5Ad/URKY6y2dALGQtmeo3mfSMJ3mQjx+NkK6G
7F2GHKLQoEXsoRSuj5UZcp6Y0ec3Jic52EMuJYtrlaNLz0mNL6KwGfMN3B2qmDZjGGz6so2auNXF
jBI7hHM654341IPrV9u5x+atQRQqpqrshjsd8OYkMHWQ1Fxk56KrjUusXhCP65wN9WbRjFyyOifX
vWppqrpSn5TYh8tHgmA5+MSHM9iX9g2sfHRMozyE+1uB2u20mJMubOa73IT5jffKvvN9bssUlQif
jgSJE9dEHiVOovo2r0bRJdWgZZiIFoV6M42sCzdNXwb1y8i5HvwSkTraBfBiN31eRWeSL17Hc9UC
t9TIbOo3HRT7GzNkvN9YpoohXlQZjpvJyQw8dh/x7eMBuie02H3b+UHlxddJxT9+/Q/kr/Dv94m6
Pz/cDzr++dvFtwnJ9bf2xOUfX/tzLG9PFv4xo7eiH7+MS36Hm/zhxSfE5RN69jEFidAPacsnpPCe
CPz9+18Iy0gcUYQEYYxQIDMiDn2zr4ylhFFKGESSITQ7JXho6Nt8YyzFEXQLOIs4tNP2ROefjCU/
EjyEloEUGOhGaLbh/w1jCXIe8ZUBRuAsBGP7PupjntJkc9ZWKuLHBdpE7NKMMLfxB237DBP6Pbn7
zx/xnxFWIzf1LLaWFXURL4v37wrM5y8zml9GNP8X4sEqj8WXIqj8NDdiWwz9MFxPUDzmb/J5aT//
WH0YA3t2Wfb07mP19VJJV2V8G0GEWV51SEchcBwlkGMhDTWOKelttvvxw763VmD+xw8zYPtyyhu+
nQ2RJJYhyYe49Vx++LF86DI9+zIrLlpEfdiVkedbhzp6gdBE9WsoeEIoaqRt5jQQCx9i7fvu+scP
/M4LSdjpj1+ok2E3iv0DxxqK3dO2cBkU0sYV6ouH+a7594L+ZNn/2LUSxi0fP0CqZQqtIwxoWiOm
Uw6UCk66yuDinFVFiS+Qq1yV9KZv/J5loajfhU0xDtDd/9Hu/s724Kvn62icWOlykera9Nm1AObA
3RBgsMJTGxSReAUNBcJPfvwwtLfTc2+7t+ujzdgJbSpmPNsCez72icRAjRP0uatID6G4h/pBA2Es
gvN2ylG1dbhtZRMHucQa+uY/et/vGXS/Do80qHOvx5pNsN4SswSypM+CTeoni/k94SsX1IJbmKS3
bOu9Ee/D1rdQybry8jDV9099rLosFTdkYNuKKPUQwqj+eROoyiWHiV85ojaYgFQpGNvWVow3aOpp
PEONfZibkys3NNRT2XW4Z1vbBsuyDedgHDa8a1txoPor14MhI5e+LsH1tNSVied8pjHka3W0OWh9
1n2weiAc+bkU6RB0Uwo0I63jnMj800Hi5cq14dIHTWu6IG1aoH2vjIIxpRttbfD5IPli5cmMDCFX
n5lMlxbprQeWbIhnyI6Hn6z/fo8/A22xciTQNKG1wz5LW+Bn9G6C7tS4rSeP1KZXBY0OfMzKgxAK
fPvUBSK11mF73PC2CbdLg+p52yk7zYchWazcRN+OfUZmLdMOGgdvqsEXl43g0Zsf2+J7a7XyE1M1
SzRBCpXiYFbbGrgacp5T3/bvKiar+SdLtfcLz1lk//kjf1FI4Oil6GQ61NSfBHoJL6McDXX845f4
nnjyVHybKQ/V6sJTJ3pgcMJyprfAeHbbw8SvHIYbBfAGMBOfjjVYwNZAGFEXAKl1mPiVu3CKNL72
pUypAYZ2W3s5B7EJvVoOfMAKz1UUMODmYfUjpPvmpEP7htpQimW6OugN9kn4Y/MK7IlBwQxNd1Mo
KMqNuZpV3vvD9OcroAlou8M8IxNpR6hVx3aB6jouKj2Fh0GMryA2K99ziweRQoXe0ROj8QidQEeH
n0Xjved5Zv/zFcp8XuahnsDEfQajBpsyB371SgfLyE9z6JpV2znHvnlfa0k+uCafmgOzHL4CXj3n
mWiXCVxhLevutAhMJqBwqCLIGqWdSmrjxpbLmKiCd3pXzUsuNhw6Ee3rMbTcHbjAK4D6jAdCVkCq
aRG4DVGTSKWoyU/2B9oj5bnlxU/3HxvtrHrcR9BvX4Z2u6BstFuWAcF/3MGUi7/MjW4/dwGd9DFd
ZMNezoTg5gILKcv3ssKM/USV73givsKybErWtZOiaScyQxK+RA8dTID0h/lRtgKaQwOXZZnTNO9m
ecsg/Lw0YaAP83Nsv3sfeeme5E0ZwNhFymqoZBKHpAb+WQ3e/GQbfAcGbAVko4DmxNC4Sq2fMnwi
YRAk/Dh3CCBRwGRJGzfKdTrGC+/y+04vBh+4biuAk6mpwcoDT7nMtAOGEUMX3TsKzbKDPCAMOj1Z
uoUuMNrCB7F1PUNb7oEfW3gbbA6TvkIxz4BxK/t5SQ2MoqRLI8qYD135EyfxnT3LVuDkKCyCGeqs
tMRKJxhmcjaZb/GBm2qFTShEWolUu6QY6sY4LNC7Jqc/y/S+p/oKboh3DZ3rfElz6MlfON+EED/7
ApUH7ptV5CxKmNEhg19g1ExHJ9DaqTYZTEilB5mVrtBMOqAbbQXSbQY9oIkIExsYbjlMd7pCs2zw
IkcBZg0sLpKKOJjiqoDEPkz3FZTLMBjCKTNL2kODe2eiJk9GRpfdj6XvYfOMQ6crvDYZK5YFBVM6
BewBKsFq3FFbdU1qJ2ih/vgZ39k7+yPXj70dGcXYlFU2pQSAex3Zttwi2laHVcj7ocjH0m0Ducq0
8CltKeMnMmJuU/rmQHezH/t8LB1ZXWfAyrs0NzU9U7UWF91cH6j6CrEQSbOqQsSmfVtmKBkYtGAF
jOUUm8MWfgValuWmChZgXrpGzacV9JjOXZbVB4JqBVngR4MRudLCGFk+mddkCmV9yQbJi8P2DVmh
tkJq7PMRz5CzuSWpOnbrI9/8ZON/Z1OSFWhZGVRUymzc9nWBYmIcjqFF5Q5UfQVa0pUUZ+V+KqYJ
bgcMCVgTzdlhZiUrzFbdMgQBNNW+qE4xNPjYyA9VfY1WJjMnCzRuowlIY7yXbg5fmBVaoaHWZbUB
6XMZFdAdqlzMOS4PXPYVWgvKJHRTQ5BO8UOvaL3LVX4g2URWaK3gb2hIlYPwaHE6rUU0QGnE58Ny
g30T5bGjmS0RWe0rmHqw2RTPaMQx6jJ7WIgiK6zqosNNS0K3bcb9YG6hHly5oMNWHa9wapbBdm0x
ua2uChpzym6D0eADha9wGmZsIL4I7Fb0YbMxs7ozDqYMD3KQeAXT3kRzCZmw25Ycusi8hG61G7A4
UPoKp4KUQa6CCFSPHLow0B65ykReH9aiwiuczo7ihoLkdEHwF1xgukpytglsIM1hewavoIr7OdKu
y8fUUw1T0QGBkdVuwvb+sLVfYRWpDMO4gobImpn6NCoN2piq9NvDpOOncHJD1pHcM5faiHxAJX5l
KHl1mOg1Uo0vtfeBTVURvAT3eOuxOJBfwyucRkppgRph03Iq5MYV7E1bZe1hBkUrnDaVCYZIOpcG
ysIsXynOBQxSHbbZ0Qqn0BaeOjPDaYqmnj/B8Pw7zPTZQQuOViiVasoDiNd+P5NvbLxgU/DYG5If
5nrRCqdjzlxR0cGmcCI0fE8t+AGY71nQYZkGWgHV9TWGIyStS2Hef9m0s/hYqC47cNlXIM2k6sWo
BpcyP/gETsOA6tXPOq97Ic8UB/vhgccxKWpgtrQLtE3hfFJ0IU2OLuog694dZtYVRLHFFiakFGzH
AkbqiZ7eC6kONOkKo3BsJCqzonLpwPYjcXK+rXt5dZjeK4zSCc7tKAKyg9K8oc5fMGouDhIdrhDa
TlmWW5LbLUwwBklQZudqCQ/kB8IVQhHqOrEEONjC31y61F7cysHXh7mWcAXRoIA8fWhhTeqiedXm
7S7TxWGePFyhk3aTJzOQ3tt2GY+HCZ9RdlgEDVfA7DyzvO2gtuMaRlXbOW2G7LDOZ7iCpartXDgH
Snf67TK6pBQ3h+2QFSTrqISjcxUYkRbVx2GOXsmFH+Sn4IDhU7RLz+GIE8x3pyEcC+pgWN6WJqmC
MGo3h+hO9+e7H7sTHSg4SRUpDaDEr50Nr3OUHbRJaLjCJHTurAwH0D3vGNuoAQ5fLA41BzlZOOb8
VPGmlDKowKJbJIbsevRB97op2GGVKExEPZVeqwa5EJs67YZGvuo0YSmcKpAHLTqJVsjslkCHmYYz
d1GhWxjFlq8CmqsDF2aFTedt451XdVpxGL9JgDjqb5c6asefyCd7KP53BCLrSRn4G1kwxc8dnEDl
junLHqHGHatq7IedN8zhHYyccbPpWT2354EHqua8E2WvbzEidOfgTOqJoDDlHkdL5qBLAGcjq0vd
sBknuu+9Spa8yJaPbeaV2zUdH9rEsXK+J5rSs7Er7alXxbiDI08TiIBeThGHWtHlTYEgDXxV7fst
bxolO5gAdYIucHWYkiKE6ZqXZVcEywa+bdTF/3B2Jk2S4soW/kWYAUIS2gIRkZFzTVnDBusamkEC
BBIS4te/E3fVHXbr1rPYllmRBCCXy93Pd0haT+7HLcuI5FdvlO7Q313qdtBoJP0z1CHiMe3S5rYe
IMmv3ukUSTplsZOndIt/sXR+J5Lmpp2T5FcBl0Mvh5lUL09kN7pQaXZOJwyL/+/Hcrm///apXIXc
dY2GZjebPM0aPafzYnblKxFMu1Q+c6I5A+Ol2q//+49dLvrf/thVGE5mAWKeo/IEsR87ZNKr465V
8+m2q6f/jghtqNeELESe3JS1VVTvn22f/uk5/W5JXUXhJG66VS6rPDG1dh8sJrJf8rbZ/tr6JLr7
3/f/uz9xFY3jWnCICWZ5MBuRrGrtvEDx5Jal3s+dx8HvDweD37zy6/GWJZXQoDHVHID3lPK40i0p
PEaKD92w52mZQ978h1/0m/d9PejStHwb6kXhoY1pVMqMfUYgum0sAQ3pf7/uCH25mo+jPCWj+GaJ
P0J69f6mN3E90sJJLfMdpapKNjO3Z6EMPU45RBAH1jgV35RI/Qdm8M+NneLarOt4hG4WRuBQEm6+
iJnfVgEiF7jVP69ugpi7Liz9iXNqjzWEKwV0Su1NmSuoQP++uusgHCdr0p46sBiO2oWhykX3h9HV
3302Vws5ZjpRiqu6Slx3H9ekyCZ24zO/WsaBxMpALlhX+54dajEfhy49/e+P5nd3fbV8AwZ6OiNk
XckufeA0epjZ8Icg/ZtLX8+vyCW+zIt3QCBA6XbfQ8V7iij5cNN9X4+1QjjSukAifOxJYw5aLxCU
C5Udb7v61Sq9qLxrGkfdiXdGP5hl+zw34bYZanI9F9Mw3kQuXbuTChDYr8KOd/Gs5Mfbbv1q340C
RF3ZsHSnru+ho2jzx4gv5nDbxS+v+h+zDFsfz6shk6jskHXbMU39J71IqW587Ffrs50uqrFsFNXo
5mepplO/TLdt4v+BoPzjzkMLVsjQIJFSFlyTcR3jEkq5P0Te333pV+vTAQey4yCMRWTcVOxiKTXD
4P1tz/xqhe7oZRtndXda8yGUY6MnqHqXUdzW9YRu49/vVAwhzrikosqzaU8h3K6Xh2mT3W3lAnI9
/7KysR75TEQ1+B0an3fJ1PzhySS/ee7Xky8Z2xPMcDTtKQkRcQ9xN9D+HkPmIfmIgYLp1FFolgs+
u4Ee2Ja2vpytpA6TnpqF47yKeD5Atd+kfw2cpu5U56TjN5V3yHUjXAlLIHOi5tDxbTnS2mIaPpK3
lQL/Qwf650IkPiW7ktYciB/aEkXkj6g8bH94rr95rNd98NXP6CbzYA6BJzt0cXIpubwxPmXpvz83
KlcWkdmZwz6gk+Ft+Dte2ttK6iS7WojRroe5VgToH9otlfAQ0sapvW1uBez4f9/6DhxJ3TkEU67T
72YgH4Y2va2kDpDqv6/dDjixTzpbD128xMWm0/pQ14m8LfGhl6T6H9Fvi+YEvVIbVRgPts25A1dq
PbRGmrG6KUhdT2qNXWdZnrS82paWYbcM/TqWLfh/5Mdtf+Dyrf7jFyxWrrur9XpYp1ZDP5z5Sovs
ptkMcj2rhfMDJZoM6yG5zGp5OqO6nvGbBCnguP37zjV3maktLu5WSGCUyeZiUultXU1Cr774rF3R
wVhHqKn7RJdEAoVRj+r7bQ/96oOfZA7nBFLbg0vbocijiFbzlsW37fbXg1pNHmScRcQeJseBbJBL
86w4sW833fv1oFbmtSYJm+0hEqMpM7k3B6C5bnsw2VV+2C0+mcZJ2QMGf9PXcdjkdxYDV3HbrV+t
1p22frbg5BzGkakSAiB08bP6T53q3xzYr4dhVCLnVE4kP7JaUffarkM3HANL1XLMFo1d8KYfQa4e
Ue0IMA89Ahogn1HlUtqU47ZOxW1Xv3pEuq25tQxXb5qxq3LWg801hZ+3XfwqhZY93kC+p8tBbzqU
3TD3lRnq22INuQpkQmexHShdDk6u7ji0eVpgEH+/LdiQqwwaaABAaUDOO9h2V8fEyE970tMbX+lV
JNvbIdsn1HoOOm95OaitLwGDW258pVeRbOSBW57X+hAN0VL2ux5Bkgu3DTgAnPjvKFxnmVqSnulD
Z+e23OmgyhwKrNu2v+upmDUJKDkvTX7s+3H/uIOo+NbH458kUZdP478UINOrpkFNvE9WzN0cAJ5J
y+QS43Wa/KlG+LurXy1UCMFRrg5CHLMIpXMX/ZjU+PGmhZRerVIJ8mQN5Sc/YhymBtZwb9Y3227m
y22Xv1qniZrItMeLOFI9jCAx9RtrH1mixvy2tXo9FaNNviJx0uIoTFL0Ir1XwGPddu9XCxXzKgDl
pLj0kCEVXvLDOs43foxXyxQ6Q7BJ+CyO+2VCQPokA58KUKTbbvxqmQLv19o9TMB5gBc2Lvo1ZrcN
3ZHrgZiYxjgyDUNWscmf+jF6zMbu3U13fT0OQ9FtbxcygibD1iE5ZVppYBr9sH667fpXS3TUydyr
deLHbEo2SIEyk93PYcj/NHZ3WYz/JQRcj8V0kdQZUE7sOOjI3NnaOaBXedw0h3qYeX1uht23T3av
/x+H6/+cDv7bH71avhwQy9H1s8JJYfPjViaqU6k+SIlVp45tvUlVzNMAoXUxkhl7+9aHZeTnSWnW
DkccrHsJtNYuXTi3dYjqvwjxUp/GOPBJFqQPoBgVOPDo+VGyJNdPztQ+Yectyjh4p8uumqgrYiI6
0hSL5RqHoonh1RVUzFPzl17aYU2KTHJQucguoYqoAg70vKnC7PxSykD67QMmrUBBK6iEOB1qmNBt
ZiwSsUYsK0SAxEneJVoySLgG1CztACzdolbcoOHT+EmnA3LHnvf534Me8M/LOmeuYnmGSd8VT0iC
z+fT7rSHdQOcQMbEjH9NKNrytQDDKU6Am8tZ034du0yKH0OzQqJezGGflqHAUEwfvoS5ze/0PoSt
GDFbYUrvO5PIivtprw87WjbpIUoB5i3rHF+aKB3zgQ5V6nYaP4DIx8Sxo+s+nKZ2nsId1G5jyZl2
7KmP1y6v4o54UraczcjC8iGv8gFz4sU2N2weSwOGbttUVuCIBR4tdVsz4c7mceEFvCbAd5ldd6oz
jrQRsYQN6z3e1tSCIpojsytEEgGhtQ5j+m22A6s8KJr8x9rtgRz1MlH5vC9pzt7aGTz+Z2JrQh73
us1BoFP7iunGo/BrMpnTzviqnnoIQ/G+dNdp3FwTAx8F8CiG/5GNDfG0yzsQczb/fc6HbmrKyaEY
fOZLn4uPycY3E0o1ZgBuNHl0mZZUqxp9BLTCrmbwgsF3dOsh4F1O0zmlKKSlZybHvC0kk+LIZDuW
E9v8sOAAGyLjLpmlMw/xasDaXRCjntnUrP3HbUubMcfnMKXrsSfUbOXUtFmKYeo2qAo1jjYHjJeM
04PYdhSBWhqv21J4bVHML2CVxlNkUNYSQsoL7Ll/l8h8YUfHa7k9jKlPUNWOLUaQdrSZrWsSYEiD
YbYYWoZZpFit31MV5eG4OJ7pD5wOSV61taH9d9RBcrCBliGbXGV6OplnucYN+ygBmBiOfQCgrhJT
PNH7nUapfExakDJ/dqOawNzKlmjKnmcs2vYwauBzz3pI+vlzGwHrA9BSJhtGCz5kQj/H1srke9bX
oCAB7SiG5gQ2maP38dJlEyh3LNAS0rBYx+DHkURAAUGZ+lFb30jQi2aZf6dgQ+rPdsl2kM+6DnsX
k8kUnjzq7zn+8xRlP6Ye9MrzkOoQPso9TpJSt1hJP8Akduyuken+bEXcHON0zoFWXVbODnHe6fb9
LNttf/UgH6cROtHqMnBxGdhnID/ZcfxbonPTPvRsJuE0Tb2qT3MqkuVhncHCL/uMZOlXYLUz8TPx
sn5OJhfdo420/xAqGcC2pU3VxBnIUlu35/4eWki330nByBclukxUWmU8f8dDq8bnpKm75OxBNgsH
YLj67U6EJWYnzjYZf45ZLev37SwaXQKBFGF0sI9BmyrEwMC7cbuhy5OJdxufiWZafYIAtZ5eVhgm
tce4lROv7AYwliw8zZf2GIUxWZ5m4dgPtRl82DWqNP6l3eLlAgCcNn9gdLJLU8XoVrkH2UMHcKyb
VffFFnHXfGxzI7LzoLVmha2jhX1vW9HrshmNtH2Rj0kdQ0Ofke1s1GBsZT1o2pU1Y5oUYFJ6/ZVY
gTuoaNwkmPrbcBdd1Jil6LfIjIdRrM4CxYjw/Tz7rc0OVC/+GxhmngEM0gD9WUIxyZ6QLjW/aixh
XvaqTQcwcT2dgKICxqjDSOGgOlMQue/d2Vu2+I8BGBdgtNvZ8g3xftd+moreYpv2BSrezvzwqyP0
DVLSBRuC9KMQ7xWucnmR2q7LAawjdDoPo08HgL6dHulJiUTIg3MNUaFoEpvvD34zDSqYGwgJ4i6u
A3JEwHvb9mzAB4mKfem66AMIpEtatRlbo8rELhEVD/vevy3xTvo7Z3cvTisoqnU1+7QOjwSAltcY
4OvuA6rIaQBgWikrjhBXNfZeSJxgngOqEPkxkx32O1vXdC6jIWu3x6EBy7Cc9iWxZaYXHlkIGwEq
80WMLyh5b2M5ZMU6Zta+dlvM0zsAsef+efLMdnPhQgYhOOQ3xQy6ZXJOiDD2hZo5Gv9Kuy1Xj0wR
g29sbAfV/iQKuM6+GDKKisXU5J074pdt/YEOMjOfGHCONXDCXU/OGPxmCmT3FOyIA8KRYhUk/6T+
tUNRAOmPaXt6Z6auaU4OLIsO30gOCPc9WLFB34FYRtIGbEnv4oPRgAMVzoYx/YC/mb+5pLXbNwVt
lQQQL22Bd50xpdiUEeJTXW613j70wGWSu1zoPS/oOIr8bnBLHpVBrxYwlGXyW6kjx5MSDYW8BWaO
Ufqy+dB0d9GYZugcdbWM1o/DsE/jfbPF7Y6saNy3H9g1zCgxShzHybtLp4bEJWlnvj/tscgGg0i8
h/qc93j1mMcGQDU8egTk+QUiUbOcY9sKe7dZJuhl595a0xYNHqMxBQCpKo8LT5p9bcq58yG8I8Bk
iwJAjpwdeQaQGur0xPfLS2yTfP5rX4zO+kJZYDPPISPx9pzh62+/9GaDlBo/kkz1i0Rp3L/PgfYc
7/e0X7ZqJCu1d9j/I93g4aaDA/2Nc98gebLTjpe5NO7ovIyGTzwJdnh1eGbuHvjNNXnpXdeChdu3
k/myaZ7Sr0MKQjfIbkD1jRpPiqjm54jR4vgV4q7sAtFmQn6b1SxTnK9AeCTl0Kc9vxu4NQH5Wxvn
8B6YozVgK1Qbtg9ke5isZhF14AoCfjiFIpc8+g7xVQDaHJt6f97XWX7kK77vg4y9YmAi7+i/DHzM
PtMUcxElCXndlziLZhwsn4mvp1RxylwBhu0wP+t2blOw2zHletSiV9MTGbSPVMEM3/7qATndjjTp
MveSjPGCMXX0WcXHLB99e3SgXi6vc9qSL7mBGLoyWY1SQN5Flj2HUdf8GC+9T1/QfyLjeyW52R9A
7J8nBMwMawN2ChhUy08Ss8bLUz0oAeAmvCOa14DJlwjk8m5w783uZzcXiiSpLwEsrGUJi7ZOv0iD
GlPRDo2aDyQARa6Ow+wTwBbJOFZLXKd4E12rkqds1RfgGTOX5CdPzdg2YJ47mlbDOsfJCnDnFj73
uZITLfYBsPqPmkaGvDWGTY/LuCLjKltQjsukbx0PJaK7K7hnxH4GiD5sdw3zGvs932Kk6UTpQdsi
kCyy5w63EL9bp9FywJ6B+ZOhXUfQG7HUv9J48e6YcqkSCHgXs90nWUfyiihMYl74vPtRYDPyFhT7
ujfPK0anxFjCvoKrR2nqALL6hRO2Lzt5MHku40MOofeGbRQpR7XsGcK+Vy5qzpKN1H5cVZ249+Oy
JiXK0nP6LSiAk8vat9kd0jXwnmSbg3cP3vCy9e1dC6plOWYqlNhsSbnvVuhiAjOAVQA1ApeNfOCz
Hzh5aHKF0jkT/WzKNklZg9FmnRagT/fsPvdN+Jk1Yu2fUiyd4bT3ZhcwqkiX19hjEhpHIGIfG5an
O3KnJFteXaTVCWxXXjLRyCeU0KO1BHaLQLTDaPsUljz9NPmoOci0Z7IYhs0+OKnES+MhNKskPuOS
bqsv07bu7jKYzD0CdRnum2RT30Lj+g+g3y5lF7N3ii7DJ9qLURRNrA3GTlYl5VxscSc8nCmQ7YZj
AAUl3DGXNm8s2fS97UMuKnzO8HzY1307gvRO7wPGF7NPPsr5h0Z5YJWr1I48uqsH7rwqany5OcC7
oY1/dhZOD58o/KFC4bphyzHKmTjYAXRxtIWzCtseyyJfkqABoJtnA5Lz1pGprxrmkujeJVk7ld0C
AM/90ia1eDbRZuzRgYMev+1MpQw+DpmzD2umafMNmesAPLoF5/xOd7rLHvvNKWDKmtGpwgOjkL+R
Ven4ZSbrxb5h0WE8KWZYe4aHg1BfoxbIvb6koQMCODZgHBcr7ZCKCrvyrlwUchRf1CQiRBWBhrX7
seWUzI9um9z+HewGj3SotQAaj2gQsYnqAvxe2h9mjAempyVXXf9uS3D2P0xjRoajhXAornCiafh5
vozfHWY+pORlbdOePmB+lgCgLzYqzgk4rNvfXT3Vw8tqwHuNyyAa196b2QC/W3RgX6AjtYMeHN7h
aMxTnIIxsrk/GKMM4kI7cp886QFL8oPEYdV/lVSKcwY7axyQB8+/JobI6NuAnhaOydtEAfNBEbot
8XUgWSrq1SG6A2G9VW5olvwz8wgAb7lHbP9izCzSvqJ8jrBf1SON3Afm935rCmDnOSmsrRf4YNQg
pD6bPd/C31ndC/Vz6YZ2POQ9iDjvg2o3cehjOi2vQCFSuUH6SIw+iS5Kp1eGVYaIGJNlzhGe2o2j
WNiO89jd9SRu/R2RrQSnNNsXpACFYow1UEtNOH8g4+thoeD0JReB2tn6d71dlsafhGzk8qZMNLnj
1EdWnI2BHwre2C78Us2p2tw3KegWfWetFOabhU2LO+omHqJSyDV56OamZuWM3qMFsb3PGrwS3omy
Maiyl4t2M5LSmUH79LbusII8AR9VP05NOp98veXvZ5IGi+yA7rt+CUqpYgF2qnBx1qwEGI68n47B
5zSUDUhd63knBgc0WFDwwlg/XTDPq/XmHU88b/92UADnh13GcVuBcYd9tQDrNrJ3NdLsx07BBucy
qjiQ+7oH+utBN2H6DI60XCpibZYA/duhy/xmgKGPkKWGGOzoHd/1CXlAwu8ttoD+L+9Jd8IRIBFf
YRgAaE5JAZrt3oPZ0LZQTiQD61Ygsj0lZY6oGnCai6godt4m3XPe+3gvFyz4TzKhsDeoO/DjAW1e
7ydA8dsn1CsIfc3Hjcl77xbxHZWYL0g9bMqgPGYYAZ8gpU7fj2lTfxvStO+qZkBQ7PpFPlkbIzPb
Q8T9WfG8LeHcA10uJujju44vRD3Nlhj1BHMB87BqPfV/AW1of0WzNKD0rxFeY7bxN7lml+aOzLG3
b5l/Y8glbNXsM3J1zDXZrYCZw3BcwUllRa99g9wAYwsOTJh8Q70WkdCgvmP7Z1DZkbqPgAsPFd/U
Ak77zoEkxgT6GaV0YR7JnM/RK+EY4sNQEB8bd3asaazCS1lDbAo+1T1gwTHJe37oc9a9a2YgVA8J
hALz35tLJaxmWlSuvtXok8aHheYmg11IGlJ8ml36YelwHjmFsYeXQo8Aqgu3LoC9NOna/sjpYNI3
4tfWlWEwCU47PFNuK3qXq+hr1yX19/ySmtzl25rqT4HpX1YqC6A6zoQJktkhk+sdqOddXgrQkn9N
FEsWjiNRXkI9G2cHJeCgdSn+Sbgj8S3kh15ldYajDNijxy0FJvuLbiLR4PGJGpXBSAzwIDK63ZsK
Scng7ymbph8KdgYJ4lzW9uObgfl5X6ZL68ldb7PwE0fnZn9YVFr/Glq1CwpyZXDp49DCRORTVMeM
/kqgLKU/cbRsURnpG/oopkUidsRtKNMmmf3rImquq7FDbylrWBO/dhGcNSqG1CN+oD7E81G4haXV
ZveYHBxzxhVqWLcP2caS7LNehHsXRZn5nNc8+YR2u91PUw29xV004WAMg6rNHeAjJjsEbKc/45nL
hzGRGGtjPdCRYLln03lqhZhLqsfBF7CnkV/2Afg2OL2gbaQzzx6WTUevnPntiYm9zY9TPaGyqmjY
TjPUl6dEq/h8weIj5o3EwLamoeEFDgVaHZ2L4KBE57W2H/w6Uf/NCIXDmQk+a7+gNEx4wVzAc0h9
3yMsCJLAuoJusCpB7ch+ajeGJJGglNA0yDJ6Gp0wQr5H1YIxeHqgMBsjXzzAoJDzchg4nFId6zfT
J718n+bTYMsNQsX3HW6kIJ1L9FoibAfriwW1MfKiZcvh7KFxO5+mqfbTsZ9hO1CmGdf++2XW9TyN
ahgeNs53hb8hI/NeJplXL6ThHglb6Mgxz3U03WGEkvt3KEWPB4SJcTwulPamSlsHg5o8A+DsMPkY
QcTy6f5CPp0+15pOGsdtj6FlF4J9b6K2d+VI10TdX+xg9lOOU/jPiIIuAOi9yh+afdqwfOocj0P6
+CBFBpL8bP09gddXsbTd+BB0S99jenmGQqBGUCCSwN4q4/WXaMc4+REoexo+oc60OWxEBiY0Nl+a
lEMqDv+bpjJq1eN5RIei+9busxlKvClPH3LZIjNHxFRuKIFw1+aQzN0mnmIX57wUnun1vE3ZDI4r
8JJAfNWO5V0R0Q7z2V6QyyKMetc0gBDNODEh+Miq343wZwtRhoADy2YVljH6Xb9W7J31WS82biqX
wQECk5hDmiVvU4YMrXJewMqGZ45B62NZkG8dS8lUxQ7OJV8UChpZMYxr236Ktx3Ro4kiltwzngy0
HESq0mpCNcyV0+hQ2ipaFram6qHjil8yPS/5O+hmO1cEJuDwA9syOhUh3TNkMEIn9ke0QHxYUEg9
xDtIvh0/wQ/D8x8MP8p/NkhQ2SM1ieJlprhMX1XjY18ojUNB25lheB8iSuUx7U08hIK2o3YoYLbj
Dj8KZVFywEe9ISkE/rOewWwUsNlrp7jbz0kWb+OT0KjTFkwTeOLhQLn8iinp2ud0r0eMgtSxHO/W
3EXpKyRqcH4pAUvYPfo/Y9Bw74HP3hHDRXoo0VWh6/fRDyYCR2i3+TlSKKd8gYPT5Q0xHHyqZBG6
h+4PB7DheUX9UJbQV1gDY5lcJ+lDzFKKwyW10XjXYc7CffdpEKaC501tTx7x2lcL1VoeFCH5XKUQ
blsAfpchtEecBpV4qGFRM2H4Ul0oGoCKTFXfdmK7r+FJlpfQiTSCVmTsYyyorh7Qz0YrdGrumdvI
jpzF6uwORYIJ3foZuV2BOmwiC2jz9r6a8RmoY7aB1P+Ld1SqCGeHBO4xALbyaQZveFDQc0l0yCw2
0wF5YlZGahEnluo0bGeZ5CR/WxcInh89jvabxg/vsj5DDrKR6YXyTm2fI/waAauixJJpPaI+iHVf
unx32fN6OUE/1NEkNyRfmJfdiz7UTfMCrweDwwrs1hgWeCZRs+Ilei0Up9XYDGL80QWcrjFOFfgQ
/1qsi2YkA5ziwASDGvSTIOqeYMAlpjV/oQgeDVLFvN9/yhbdiG997yd5zJpsjDyeriYjmIJs6d5l
SPexllPBM3rUSI3mX63OqM8Lm4gsPHuerfnHBPW5Dipp1P/td7Fkq3zT0TpFr1ODhs87dzmomhL7
rEpL7ubJKMjm4ON4bgf0vfCRZJocF46DD4M5FX7Jg4aFGvVweOwnGOnAyox3vIopnPEevEYn6RHZ
dc4ekRZl5sOoernc84b46RytYH5+I3FcxyW75GzHdRqiFa5uqQcgOqZr/S5azdohxgHfUwpkxuMh
rEO+PHfGQugywL/WfdwVpsjKPDZo8sAjZewP3dJE9kfOjK4/Em8Q/GHZcOjdfh/twFAiZVVTq85e
NyQgnwKqsUz4Zte7MI2C3C2osvuTkiC1v6GqSOl9J9EJLHU8YADgAOlmvOQVvs0dta1LRS06zkua
wqOHDX0E14r9iWkTMvQaaVvbY5xgtHo+dlGCfg8b0eIJMH5Y1xzeOJum1dJymt3ZbRX7nYZXWjyW
cUj9KlDTa4AUmVaR9I80WYx5owaOYb94k63DIxLbjh8VbVfxwXu0ZirV5H0DdSKGU1+7EZZiD3Wj
RvnB53gwDyHNpbmPVyjPnxzuNQWZM+z0tV/50Nxv/SLkJxz0utqV8Ypsea76KR9Qts5SfGBxCQ6s
0lHJYgJ3xAp9QJ6Lo8RocBGWmX8F7TM2SSngUTgOhwGtILOekYAteLCW93p5xT49ovCMYRy00pC7
ifABzoIrxFWCtnL/hO5JvR0dVvJR7Dt/xCGaRTAgqwUSOxavKIxc2nh5eop7xvRJ9nymj7uaIHKF
Jctkv/puFRlq+atx6dE2egttkXhGOXqcKYau4tnkrmQobMD6xWV5+jqZLTUpHLuWNEFNY6OAlObL
LlxfisF7WYUBfkwouRj2DOOYbDxngu3+bh71SqrGBT0+wnkOvn0UwCP2NIWFr0c4xsBJKjJJEh3R
o7RdpfJG4NipZ6ORIZGhI39tHDTUh3pv+u09v5TjUXtv62X/SUZKmu9aTrE6xwRSx3OMqu/8BIH2
Yj+qekiR24w02x6TLDLh7zDTXj+G0EQGBb4tzctdIB2BeQtieoFWssGw32yzJ1jwGV/aAL7WecEt
9NW6p6ksMRvP0DOHbx4mGl1+FBgmfYblYpp9ir1szNNi92S856DDwCgKv7CG1kHYAMKp4XCDQZkv
IlVP80ibQhqcZ0oz4msfDsisJTZIBNLLMR9esP5FRIuDG1sUJQsWSw5ThFJrenmCQqNchUxioeLF
cKciKLs73v1cL/vjTw5sIKrgM23O8wS/kSJGvFMfyLKkFmuvocNsYatithF2SgQ8Bd7GXVyRlEYY
ryHNXD+nLbf+iDBqt7NTY+d+2X7T2+O084F+XraVZTi8zP16HwLft885H/6PuvNYjhxLs/SrtNW6
kX0BXKi2rloArqhlMMQGxowgoTVwIZ5+Ps/K6U6iUszAZjNmtcgoknB3OK76/3O+U6s7ZZMXeuqK
IfQJTwwbn91odC6W15NizaWBee/Os+dcdjFOg1saJUVDOdAaF0pbTUbVyoLvJK3+FeNqQ1aSlhjj
frKh4rPDbuJHZBI6OyIFu/AxRdnIuuiExTTsPOWG3otTCw9xbynoZ6kjGVRN1fsJfj/pVy46AjOg
990ObxSSIoq3FGwEoe6EqiSab/dsX4nHY5btqSHmFW4P31Ad587DhD0UQlQ5STv+isN6Hlp/GOeS
3UmhiF1Jg7Eh1419qLAnS9+1ZoyUY/fvXdt7eGFBjdOpMvtAoAjqfM3tmzAYo8X8ZPLX2pUa46i+
8OJz7Tfi+D3V5zlThneV0bV7qgXLgK6VrNKLfw+HSUxzJ/NTn7fTtCNlgoy7ZY6tOxpW5bCzQ8zf
2xRMa0YL8UVlQYZyvhfel1Q+22qbpOsXl8pvJOpWbiraNVzXTB5dihaJtdFCs2azVFNueGHiOAeW
SUERyVPipmO2/iuC7B/ENtAy+KiOpBRm9CjS6ExojL+G0LH+qhi1KjlVXVtTcDJUKv2SeA7jfuoo
3XLASjURVNrE9/TnEqqzquj31EYrYRmJKPCGtdY5VEC/8h3o5OkG8WATsF+j/Ugvzr3481f6IzHV
SgvaNoRWStO0DwABGuepn6tw2NUR+9zdyMo0BCKKtZxd6TSX2zzFa9hLij6M1cSwDjbRa/TI9XJP
3Ow2Ag7mjY9fXw34pnNiz0I5UvyctfrL6NbhNuuIWMlD2aY3RR2F1mH2Yg4M7XyRkGy68eIrhVmv
E1hbDbZ1oAa9p5FKyqdO5fHPv+Y/ELaukS/hpJKeNET7EAmNqNpWhb4es/pvu/r5VX8z2o2sNlEH
cV+MpbB9pyd2sVuqpz+/+B88ocL8eHG71YuxnlIel9jxjB8dNaUxEPZstIFOVErtE7sbFyd8JVa9
iWJjrokwhAmM5EZX1gFqmPVZNm13m+qUV//8A/0yuf7O6F7zYJx0NikLRfJQuF5MBdorZwLRSeke
32a9t18kO2/+n1LqpX0OJ3tOl+RZ50mzTmGXEB7qtVG8B2L0Y1ImhEO/d9iS/cW7+/0nxVp/dtRt
2YTchCh6VvbnZe6NYzoQvfrnn/2Prr6a2OhqTyUZ4f2x08i6Mcrs5IXeJgk0q/jHByVDrWI5utD2
1nkl14T9SnjlNk+aXKNwIsounN4B1MWJTWGko5fteUQqb7ktNDA+vnW3Uw5ACqXtG/upJfyUtJVt
F17NWDGTuqRx1mOYJW1opBHk0x9/3nbx1Yw1AnuZ2SFRJovr05gTPtOYab/pSZHrhLN2GESm5Vzc
za17c6i/J3LeZq+Q53S2385XnrSoP7scg1vOhhbXnga19dqr6Uof2Yyak07ZyjDF9eBGuHApaW+8
K8bHdx53UuXQHXlQwOH4i0g/5Xb8F1SR86f/12lJequxOXmDHFHq9cfJnPGJouKzKxb+RU82bQql
txqg9UhyJZlC/ZHCySvBk58HKGGbHsV1dJnC5NLaJvdloACzawa6AqZrOH+xSfqDO7OmMbX0TqCz
T7zxabofKnGJiGfjCF1TjdLCwXIem93RzcybnPi9PQnzxrY7vmYaDVFLZw1N4VHU+YPU8iBt402e
brlmGrWWVs6RWXRHw7CMYCx0lmOZvm/7OlcDdIav37lF35GHY3+N0LwkjvUX24k/+i5X43Nqe9Aw
htYeZz2nYl05zaEs0m1BPtRMPo5PzrkURkmboo8jll25VLeO2W0jVEl3NUCH2uiyWB/bY0VaU+5z
AtauNCXmx203fTU8R81kVpQD36iafyCQfZg69+dNl14Di3oWnri2EbWTKPw4YTcRRbHtOVwTilTo
ZjZt0Pa4qCbeq5EjhZaX37e979XymSySgNkpIyU6JseVwnHh/hWE8WzM+p3Zdk0oGjXo6Kp2WlKg
lTX4rWOnN41dkw6eGsMcbHv/K1eYlZVTiWCtPeaJ+S2P5Wet3sYuIIb045M+Ecl3TtdtGf+qO6mu
1X1dyW3BFXJNJ4qMGGiBafDGpf65UFrpS61+2XZTVmM0npoaHk/cHS0jkeN+MYeZ8zzatGy37QVW
41TGUeQObs4jOWkPSWE807PYBFaSzmqMItcnzZ260DGcvYdeJHehaW8y+CE2/fiF5u6M9kvN7dGk
pnrUXKN/0KMx2WTGlWtGkeEoYamEJzEUy3yukR/p2G4Dicl1fFcx0QZGMN0eS4WxgjLdoRmjbQci
MoA/3heMGLAuPG450+OVmo2r3JqeNz0o69Aub4zQEjURuqAwKn1nma+8FtLitouvBqjHU0L5O2uP
eDTu0Xtct6Lf+L5Xa2hLvzu0R605Uof6nOjtQ541mw5x0l4NznCSRRbVaXu0uTO+B8AGd1jhbpsP
1+FZvZk2GkHiDSkGcRPA0XsYNG/bFnQdmSkE56zSEs0xSkzkJbjV1H4Qmr3txqzRRGnqEaKWzowb
by4Cd7DtxzwRy7ZvdA0mUqllh0TDNcdz7yfQO3nLSrqNqiTXaKJBK93Kmioel8qT6FVRcWVI+l1P
ZZugcOTdfByjpEkKL5pK7n0Uj6iRQUkfw1CC+9s0ltZIlzmjQdkWYX10tQ5LhRrr4n3wkBlsG6vW
aqzqhSHkSB/h2MZztysiO6VzFFuHbe9+NVwdZ5rQ2Yj6OOS2QemMGFST0+/G974asX1OUixdzvrY
SSfq8RYZ2St69/KvyFbne/A7G6U11QW1KQoiTBjYORGzJX3xacr1bWuetV5OjWosNGfgvpdufZo7
0R1G2uGnTfd9DXVRpjLnOh/rYxpay2dRhdEJ81udbbvxa6qLyTyJGYqv1aNL1R2cwTWlj87Ebja+
wGr3i0MpqxDucOfNbrxoW/dT3OTb6vRyHcDlZIVBk7ytj47sn5Koexiz/mnbfV/teqNwHs08j5qj
A1e0rEasolKaG2/Kaqg2AORdZH/10aTR+M0BsX8aso28Vd7Vx4msP8v6F9Oq0NTjubEJgvI1VLjb
prE1b6ydNcgZOVdH/j/4ll5fZuVfZXr9sgX9nXG65o2hlCNszjWq47lFjH+hKFMmGyeZsiAq8Gec
inoen4aiyy/MztTsYx/HjfVM4LvT3FP/69onzynsU0ZKR3VKs1LSSoCpEt5GU+OiLltk2rSfxsbA
5SHmpsxeqzjWGhQMCv+ubk3xAI0MC/Uu16mSBfZo0NpGKOGmR8OZYnkRVuk4B7qgmvBFI+dyPuhm
2jl0mCeuOeZJvxyixos7lBXGMhyQRU/LrlOFWX6bHNq19720tfTnTrea5ggWx1PHduLz7up+sVDd
K8sFQGfAKrNnJxpOEYA/79p2y3MjrVmMJ8P1cOohIbmoE+xIR8yRWJbHIldyp1oZWXt6zJISdh4r
GUS4hCr2s543B26bICctsOPrV2OJ7v8Cu1Mvjwt3ewwsM1MXC8zz27ZE9b6TQilUWCHk4adcx0S+
bReyzoKiOYq8c/Gqo0exzbeM9Bpt8bYMZyRsHx9+wUezkNxVqPvrsNhVYkyPUyPQQ2+bF1azfTHJ
wc4GszpiDgKRUmi+EZnetnlhDa0zZTizC87rI0iAt1BmT6GTbLzp7sf7oghVoOvN+0YFdkRifBla
+rbK5ppMZSlCpnTKX0fD8yYf3Tv26lzf1nWU68C2VkQm3nW9PkZGiok6a96BU23bsf5Czv9NzzFV
WNhLR1RHpBr1LWHo9OfNvti2dJurWT62EzGUht0dozaT17j9UlJ2h/7rpgdxTaZqi0gpVavqmLnR
8NK6zUInonT7jY/i6jnXy0RfNJMv1Y4Ka9pjZhwW39GsbBtVR64RTz0eylCL++pIo+p9rOUlTsht
AcRyDXiqh7FVDUyUYyw8UtV6TKZ5YHqp8b7p3hurTY2ymsVUg1Ef88ZDh4xCFvU41Q5jG44UOeDH
0TrWZa6jTmeDIHQEfs6IBjNJtgHZpbHa29TOGKZLxBJOjwbOG84ZDMyjOG67OavHfhQz2vmkrI4A
/fJL21QWdvmmtbdRQ6Wx2t50aRkR61Uxk5EacRmXpvjGmXbeVgo2jI93HlR9sxQd+1VKWdNFKMPh
SPSCs9t2b1ark2Hmg5ecJ/g0KSIklA02m77YBgiXxnrMtvo0TJyTj2AqzDcsz8vbUgw4PDa9+X9h
PhmIy+MU3pBlO0q7yLxSD0Q44nr48+v/gWpKrmPQZmGEoZ275XHJ8a4811miqgAXllHvxq7SnslH
v9U0L0937OIynH0eh9FDjEug2vbtr7FQ2N1QxabsP1GHYlDWijTCZoPzYBuRW67j0pD6Yh5qzjNT
iPLxqkii1DnOzdyLjV/SamwvYmglWt3yaJp6kvnTiF/VTzNCPLYtDGtVnt0tRVsavMA8GJhsl+Ez
Wbbf//wJOE8Rv7P9X+vy8r6Ye29YynOaD6L5yHzHtbv1ja9GdtQsetdlTgEKQx5yI7s0jG5bCUBf
DetC00Q0uj3Bz1KdY59QTBOr/LjtpqxGdR/nbQSiozxCRER3G4PsKKxk41K5FtIBBKrKkm/0mLRY
a4t0NL+3GsvNpve+FtJ1qSwrWeqkVhXRraOWK3Az27oYax0drJBGEjlUHtGbx5d63rp+lMC52/bG
1wtwZieuysziaGYuCDgcQs1ljKZ8W3KGXGvppDdVpl2K4uhYZRo0kFPgSM3bhug6QK2tyygKvaQ8
ejIerzuYVYHTp+rhz2/NeSb5nUG61tJ5YzYr9JaUFxbZsGsWXeTtc6FX1R6ffFVu2mOZa+2OMUVh
WPctcIbW+ZmD+k3hxJ///BP8/jRjrqU7Uglag4STH9HnhanfdIN6Qwe/rZNkeqsNSsJeucR3RGpY
7YZUdzr3orCtYdOQMr3VNFYZ6TAtLW8+RFS7t3SjhtcybZsOzLV+ByeGM1sdxQ597PUZ7y3N3yAt
y1RtOiyaa/2Oq8awZhuRH3XshDs3EuK+Ikp801xJAfrj7m22E07kY3PmskdTdZkKXdwaBo6qf777
//g+/Wf0Vt3/8zHv/vFf/Pt7VeNijOJ+9c9/PFcF//uv89/89+98/It/HN+q29firVv/0oe/4bq/
vu7utX/98I89hqN+fhje2vnxrRvy/pfr8w7Pv/l/+sN/e/vlKs9z/fb3v73+KJJyh5urTb73f/v1
Rxc//v433TbOu53/+O0r/Prj80f4+9+uXtuSV81ef+ev3l67/u9/c9yfLMuwXeHZnoEy6qwtGd9+
+Yn8CSiThb9SF8JCq89ILMk9jXld9ydpkSoh0LnojuOcT8ldNfzyI/0niH265/ETyX/Q7/3f7+7D
N/Q/39i/lUNxXyVl3/39b+ev/n+mK0faFi5OyDem7XGlf3k07M7SalTF/R7HFz7I+Q4b/bvulgeF
wVYL+wdVZe+N7P+qHeP+omL48Mow4MAH6y6udovPshqxUWyZi73kw94OvZayjiN8vHsScKGl9OjC
EBQlsZ9Im2iNRFsep66e8otcxcttonf1u7S8eQK9CQ3TL0HIf6ncubpKDWlAckqwEO2iyPJS3JCz
ey/zBszNIFR8MK3QCKC0VtT3lHOpRT3SbWBGC8jOkAi5OSIYwW7v6CDbO9s0v6ciKndDBnUZk3nQ
azF0j6Z8nAtOKH0k9rZmiCsYT8KXU5s+olAE8DShHwbhp+n4d/Xs1iEn2fGHKR1vYSQ8R57L64Xz
1KEItIuH2ar2WZ1ep9RMb7KaWzF5i74E4SRgdSYZbkfYdUkWFFWjvpu2Jj/1Tgensxv06C5xvPba
KrEn68kc+gZwiwJ08wzyCLoLQKQ0eklG3XuknDvtwyWudzh0mMuM4QHah9yFOEK/4JY2oyBrpQZY
LcNMbyrNvRsxMb2Hk0EJq6wQRwdR2ns/+nrsjD1aZs2PWk98msTS8Z/gDO0dKdnxYwdEJEdmPWe4
pIwo5biQzSOedDe+Qrw5Xo2I3K4NvP+BqVn27ZQU8g6PchLvjWy27hstAz0kO3GddNMQDPVU3k/R
GA3ndMW+9JfG6bFkFzCD6josj5UcpmuVuj3nnpCpuU29Q0rN+aqcVP2pKV0Hr3vdadEOdEf1YsAE
BA2kuZAkMkxlZw2vV91HVAJTOhpZgSl5Hvpwp8qmCGRXe72vIFaebCGSOqhisbxAoiGyBBxG1PeY
R3SIGzVKjzt+b2x8Yyz1N0tzLLGPBlXuOe5797E94lwUAKGsYDgf/S0dRhUmQurxblml6hgpAbK2
E4Z5lATE1buKTtSLNStn2S8pcao7W5WhH0696/rQ9qj9VU49X4RF55xRSVZ9Mwxx/60pDR6krBFf
IlHFb2Hv1N+5M8ljl5XeHTk8QOSaOZ/LfSKH+AtWJcQRyZBE+MpLel220NW9bQy8ymLE+onQN68P
5tyR3yhKdZf2ktpTECKZDf1EpXG5i0193uNlMQ5pl89PRrWYj6XuUhgbdaNfdmlxdiNjeJy+N4Vj
s3mMxvpBhbr3rXOr+HObcPf20m2rGy/PM8AHXmS/KJZb3xkGfcJal0yvRdV3n2CZ5AYK99Z+bZK0
Kf3a0bKdrre2Fdh52oqg0Rv9TesS/QmEVvGirDR8sCfT+YKf21B+bOZgNI3RFM8R5X7c6LrK8OqX
VvFEj0/uu3mwRz9qorrwQ/hW3a4zh8I8JLHbp9z3XNN39kQcXRTDINrHwnBZuUGWwClbdJB2rjjh
7FPqGGdx+whmrIEKFon8askyEgWrOWQW4dSFBqPIR+1uBkFfwFx3sxfA2pg8hKjSs1/Zqb4LgRN4
Z1tmcVqas/NR11IHQpVChDtgqVI+sGk80XXqpvcarMR7o3cseBWe5WTBUurjQ1K55gtfqeVXREZB
qXFrex9yUHgC4hPvJLyOvWVaxUOuJ+l+qTvb9mt7ar6gaq9gTjINfR2FtL8xmfONulDwYr9z9NIK
pFtoXtAoIMzYWmu8k5pbwAlkkPdmAEFsvtDq/nKI7LnkwJB6YNxUybSgQElWu0xb1C20k/ElB1e3
BIvMYcCEyjPqkzA842vSd8oKosGy6r3QNdjaEE7SGzDpwz3ewPqTO08WPtBQOe4+HEv5ZSyW+kcT
LW2+K+KBKT0RHr2sHuTdEtR5vFh+5LZzdKGHmuH4aMqz26IsRHxfcV6N9+i3zMsKwE187HKz9y5n
7OERqCOd0dVWRQJOskm11zFspzCYo5ConpL41ENXdpDQR6yqB2kC6t5B1oFwDBBPkwEPTqt2DUZ+
OA2VVkDOHAWy/rDCtgm7tuNXdMuK/al1h2vAiihRwH5eehBYgtpwwxuepPYbJSb9Rsta52VI2+KS
OMrsaknxL7PO2fnJjmdW0Kwc5s9QwZn0gFaOt7IHE7QvMmZqQB0Q6+DMNY1vWtL5UZW2/TSdzbOJ
FITyjbXIaoac077Pg4of0H7XcZCUKfEswhtv3WLUD3xQhRW2Kj6XVdReRpwGEwKpWXYisjMz3y6X
q8Ig/AwFQHcFZ9Lcm7zzVwiet8MYh9RuhTX7C9uvnzF95bcUFLtxj2UcDkNGOlYSsD11xCmMZtqT
2eCGryKancYfbILKrit7zuGJ2Cr+LEAp8kWf2WWBixoDTJ3OZ5vCeP4C591+ZvqtsYQb9jHC/PkV
ga9+bRvRlATAB/KvcHE8QAXd4tjg5+wlClTq4EI3gD54fjfDAA5sDNHfxsHq76WjqdtwCo174XTW
mzmDuXPDZPlkMZC+e7YWyqAXdnKYqvxogG6pA7fqQwjWed/+WBIFcddqOsfCvw6b5fylGQ+JbIan
qtKHi0EYWX7dKOV8tQCQvC8ZoeeBHjcKf3mewa4b0hjSq0/biqjbZZKqgQYdul9mvbZfWV2SB1vX
44lpC5Ty5BsDYMZd1ddaLzjRZc4d5NiqCaRa5AR/CvBYoJmt3AFOs3aTmXcMAiiwU6elr+CJw9tK
VZ9V0cY7ksynXZzqQO+KDvwGG4NmCYZec9TVHEv7yV7Mc/TZbEHCLEKZHuoYbcmu4E7oRTi3+wH3
NgRXw/3eGL15Vca2a/mTo0dtEFZed2oArVwPUsfiHzafssmUP7uZ4eUnR/CY7T2jAz+lG2wSfDk4
/btLw7jxm8EBtC2hLT9CDIjCw4A25EzrjMJuF09Dyug0B8pDUMFQ0mLWGXSIzWmGTGqYtOpqQFv7
eSQSUPcLvSzZCOWSRV+w7LW5gI7mLnSZfRZ4/b3NwrBins6jLwnt4CXQBjndwZLujJ2At76Pkzkq
oL85unmdTcV8mTSJ9nOYtGAYEktSe8xaVwQ1oNNv53wyEA1Don2LNLuyA/Ts6Sv0UWYBzyjgB9Ns
0p/Qz0h5ihQoMBaqZfw0gu9hMQaR2V3MQM49n0dgDIMsTefoZgaW8yhgIruHfITC4icAydtgMMvm
orcN50cR4u+bZBi4Xpbv2qb2ArPX7YOlZPx5xNbvW9rCjq0lEtXPiq4C9gYkFS48rkYEMUsK6kP7
PutR/VVYQdmDkqWxfkar0vWJerc4yESbfVDAkOuXmherI+MOjGfE9GDFu8JUArTPTJD1VJ7gs0yp
P6eufEhrTduPtOsOWLfzveOFkiVXhfdAdKDoIMNZDojFvsNS1z/zJJrvQAfSfQtqhBFWOd69M7Tt
dRpPMDrmNHceF31Oqj0YsPhJoxt7Ywwj949B8QIzjekKrAx1VbdL58+hdLtnPOex2CWLNc07eJUd
ymuove+wp4bvMlaljRW+i4ugMkPRBQWnm3cTi1kbLFocP8t6BmFadYa8GTuYH4kBlSlAcT0BOU3G
Mt7pwzy+J5oz7eqlKZ7GhUnFr0sSx3ZQYByMqeQMsqns+8k4DeCuAYBgGryUPIhsenOI/uPMSiuy
OK6ACM1mzDJWNvkttt+h2GUAu8SF1ebtPtLt5KnOGu2xmkkWWBz4ZkvhLC5yidbZj4Y7BpWXmmgN
mmEUQKJs7TLLQ2iU04wRlIfY9p6rUJFtaIYzO0EWyrzZRa3KieXQ8eyBDrZjaCjkMnc7Tc7cWkdW
n3R6N4caypS9H7JaXE3LFKs9rG6vCyKryz9DDfS6SyAs8VvmRG3sky3BrqgkV76AHARNBwypUb2I
wcyfx064P4wiqk4Qiaf6YoA48qXkZAw6EKHQayqrSBw4xlp345zBazC1EmixEQn9CgQl20MPz2fL
XXZdE/hTKJkcpA6rTFZV89C6I+CsvuAx9NtkYYM9wAwLOtmKe8NJGv0qd6HnHCADi2enbE0fQO9b
ueST4wNCjIHG6U5o+6rQ0uhk2RGoqBaCVdUTngBtE97hZQKS7JIwTR44wF3ZRZ9a7X1nRujV4J+R
24BrbvLVVKfHxJDiYnQjqw60Kv1hO51ofdNJgAB5rfVgp+WV7i5gmpsKSD0w+inOPsWLXRCroNt7
aFvHEsDBMam0fmeQOemPhn3XMQDuEi1097Pd14GTS8G5ge1HWxEf4M9On0GqWjhYLEm6i4ecSAk1
igPkiORYNnr5MEoozMWMg7LX2TWaBULzkJeZZX5dlXqy14BL+s5M8MA8pfYdlcvuQKvzNLCwAbcf
91GXjfel3YoXAY2LrDSRgtZpu89lqIagTwz7Udmuu4cYNR+scrpzYm0ad4Y12CfAXd5F6NB3ZH9i
RIoZyhM7L2ySK13PSHVrE3fZixbyfexW3uWi2lEGVeiFQHPd8s3tnCNCp+69nuPsPlKg4HtVetAh
lXvpxIb5BcVc9MNlAaUmXHM4y2Ff9HIQDfkQYWztuWKm3S82UdvBBJGDHW/c1c8FkLGTQQgCyBBY
Ic9mEWtXeVgOvkJzenLsWH2qQWN8CwexAMMVs/auBqfsvpkZxyA2AAkEmTJ0xXJs02x0mUmNadcn
4CBxwNf5D03v2+sZGyhp57HHApZOumA3UM/ZeACCSLQBfOQHT5duegDKPZBZPirOOKI2vWBI9Crk
mMlOYZed18zarROLxCtkw747kpOyY4/UXVIbZ9rpeWtfyTtbFKDJJBS7adJ4KCgML9bJKjgmACE1
iWgxqk5m8IAHc/DNUre/9dBb32orMUIoPl5GCbNzvQtPeZN3QtLQRYFZxmyiUQ/aby5U+11CJeeq
G7vxdk6nxQkggrIxHQjP+k5lvq98CUISi4esTv1gmo+yF6oga0MwJYauPe4iiDYzSJeO7I2koD57
TJKQw3mal8oADmhgEW3r+gSdnN1T78IUOACS6L/38+L2/2yI/L+ufN4k39uqq977denzQ7X0/6f6
qEmmzJ/VR0+v7fxafqyO/vNvfq2OOj+RGiGE41i6hCkpKXT+d3WU2h4FFZ2X4PEVvM6v1VFT/OR6
hg259JfSqOnQhPm1Omo4P9mUzz2P2qLwzj/5vyiOWr+4535bpNR1g6IeB2VTCtdz1qK8TDdiIwO6
f0zPxTBHwAE9FEtZHMolTb9Edj985QyaX5CgSOqm14SGb03S3AsovKdWGd4FQKr+yZNcY6ec1Hup
0BJ/oTrk3C6LkJ8SK+xuRkOYF4TqpT9XiWbeEvE2AVFso5NdcAiCOeYlMzWNXv7IpsUY/K4Z+ls7
F8azdFL2xIlWlO/zXBs34HjyZyPXR8onwrgsqcrcd42Z7YZZlbseAd1FVLMPs+swfcFx1122mhu+
iDrmSA17N6HlTgKnB0oSit8eiJvrp2lP+cFhpbOwdwZmaupkL7lMK5FFd6gkpubWS0x6pV1S7SRx
TTtimrK96U7FU9JTulTg1m8HHWC3F5IJFFu1Pye2uKbcW9+YKE0vJyCsB6uI1a00lDwoaF9Pqhf9
TdVHC6lIdnnbGLK7iPJO3ztdox7zMu4vFFEsUA8F26vBuqUTnN+CQVXHZhq8r8TawEzXSnUZOYYk
2KjJ7vLcbE/W+UyHPvq89+6XV6+ACWAmaX2oSKUBu9nOfr84+T5se+uSZd/4FGb1e1n2QNTKvm2S
YCqy8avop+ilV9H4ZSYM59kLh/BNXyTsXOkutfLZOxRlgHzDSS7QTxTdITFj8bXwOAag4U0TWlSL
M33DeTLKQxbK5L50VXidUD+58rR42oOxcmeA0Yub7KCzebu5zUkf4BkBXKtR067OhI7y2lVD8a5T
BzmFSjewaVW6BV6uKq/NAsVrOFnNUz7zvcimEEGXOO+s0eXDgs7sUpts84bzTLQrtLL/zNod7Zm7
h8+OSpMXYPNQPdlDGnZaX6VqNN61iQWkECkbqHQ4x3Gl0Tw9QDn+EcfuN8tywpu6XVq+dCe8MiBr
7Iax5KjbpxVhOmFvkm3lOLV1o9SQPsaVq7Pf7ubLqVmcuwKOf6Vln4hv0WN/dCJ1rRqjfG2B9Zxm
Q44nmJDxdTvX2YWV5nvO8eGp0jrAvOfD/gO7repu7EeA8ZCgCOmOra+x2druPluU9gWIY/IS1Xl2
UWbj+K3wbEEZB5JwHBfmroLhf0XHs9sBnt9ltvWQTHrzCG8JNPiQq9cUTtCLNZnxsa0G82ut6ogQ
CI6bpA2A0iXQKzFvZAFOc8ev1rdRR7SLT7BPdGXGEEMXp63vrCnp7hO3rj+HnmV3RCiIgS2EocEF
KOrskFI4DzlxpUFYSP0x0oB20eYozDvDtCb4fb9ARyGsGaiddcDPReJcssuad+Btqxu4Xg04rtS4
IyWoAy3OabePe0iPyjkff53USgKbnB3qSVGi9mHe628hNJ83155hp9pWc0NLamp3I5ovPbAMle+B
0tbNruxw7AajLcZPSQvZ/EhHSeQB0NnM2bH7YTs3E29EwQs6fGN6TbwbSmXdGKUz7KvcFIchbJgH
K6cX1q6WbMgDmp6w7ikOJYfF0dzb3tWbxW+Zir86kqM+pW4Kh7vMItjE5xxDco3KRw5NbUL14LIl
j+66T6bqi4k3FChpGg0Pk6bKHx1hPlSoy8j4Jltrsvyy7uKvE4VQ6TMhcj51ytRRRCUbbHoghoH2
jTXT/aQLw7rNGn380rDvKS+BiZo2m/6KQuYoLNQsuLn0AMWa9nNUTRxDoOM4X4bYKti8cli4F/Xg
3pjVfJ60xxCKP8fcPCEhppwOAw7w4egagnZRaXjaVztGgOxn1aRN/qx3E7Rk+hqwwBODk7MptOZ2
zFP819PUm9M+MggBDTq0KNjsSxcoIrin6imhLQCCz11gY88UJH8WsAVTf8DLFl8lZG30T3UstCtQ
xzDBycdo984QRzMUumJ+EhHNp0Aa2fAVpiVV9ILDKj674X+xdybLjSNptn4ipDlmYAsCnEWK1KwN
TAqFMAOOeXj6/pjV3TcyqrvSanE31+4mK7MsFCJBwuF+/nPONxpJQHkjmhwUu1uxqBlmXojrnaOX
bg6ehlC/56Bt7ahYQplu0ei/G8UqX3r2QRvOynNOJbIJ2YVhfH6l4DJ86Ue3vaNw+7smNPFhJu7V
QGCuvMWMDNub8spaUyDo7nuzn95nZwBiRjOs9c5uHEpXxCBpJ6zIZvBg54h66mBf6R1YnHsMkKSZ
mfypNdp6M9Iv6PIGGjvuNqApYO9Y9myNK+Sd9ElJ9ekAwyN6FkZSIizmRutLBrX0BXGA+8nckr2t
O04dqLBYBHE8mgivNGBxLlABKcDaNneKknPfN9wIrxLd63HurOwAkUNTbloSX0AKtat5s4ThsAnV
SH2iaDS+yxAOIqRvQWl6aZXpq2kPvGY7d4o9Qy+j9MFLIRq2Mcdk7KL1C+jhwtgl9BtJrH8QqfDt
ItatGtGiM5GBeFP0XL1V87S8QHOI8q9aGaCuTDBzTqVyc5t2oZq/pGXeH1hD1Q+hdvPLKBxnB8YO
wSy0l5S1l+kPMJScvTpf7v7N5ecvLZRlWE2ZO2LMMZU3dIjpoM2OeCrKjoce+J9NmJTuc0Qs+0lI
l0YMfYpaf6Tn0o87vbijMDVsvCrkyrLodmcqxNXBc4FYPA+DMXf+AlvjXckqqvyYe2M/AZX+YDJw
GTxWReWzrNm3I/n+ya13b4q6FjpsFdy+yz+SWC5yowxD2gRpN2O1T5OKIHSqFeK1o1L2oSoFfaYx
04oXdQwpJ2zm0b4yb42jtT3C/20G4EJel1XZvRurCyeG0LqdUiNzPMBVhwGSpvFl7OJk9FoKRP1m
THw1XfJPPisQxcvkyOex7XgKDB3Pd5S6a9bE8A+YpRYNwySVGySTZXVRqHUGMFUr4lmmmc5MswcD
z2Ab+X0KbTvadglloEc70poZgJUVdT5n0O4salQknooIoSsti8PX0GIkTn0KB5wk56pGSiSf+3ay
Lt2YuH7OWa/zUlyD92pewIhiTstoyTHaK5WW8jpS+8h7FkJb0wXmcMdHEC6TeLaOqSv0m0wMgMEL
zdneKmmvrlVEavDvQ5YE6SKo0rbVmEEQ49azpZpUkUZOqX0sql09K7XLTEq1WnGymokr4pLhOAox
cYWkIZOtOkXOR5bk+g8IHLysyE27Z1edRq5vPMe+Tebxh8N+dmthD35ORII9lAEYi1+nnTJ4Znf0
9aBJK2a+bNIRphdPWpltCkstEq9IwX9uqrR1j6E7OYeJ2mZ3tWhYvvwkidv3Mc+Q0PKy1b9z6RIs
6VN9b4ZK9Ll02gzOAkbOUZt0FAVd7OYl5zH/50no/x8a/8ZUgzsLs8f/7qnxkvij+dVP848f+MeB
0XH+QMA2qVzWBAvBLwdGR/+DLiKbcyEbId1Ub1Hl/zwwcio0NWFzjFQ5N2rQzf7PgdH4g5+AxEAD
tKlTYub+OydGx7rZ2H49MWqsmLqqqoZpUsMkzN9sLfVg5Qidhb6RoWo8ppGxcPaKyz0cgNYf0qnf
DHXxFmfF5CG1O2+JXRQYIcy+Zh8B8nVTouNR2G5kL2kcJyeGDNad6pbQd6mujBlJAZQAXtJY1ou2
jPTkjhQwH0O+zCSbu7rEgT7zWAQO+eLqVvW9sN16iWnnx32ra93ZspXpXjgRzIRWKCuDkeSax4C2
nzivXhnD1QejLas9mxFaJNyy20WAFiZf1RT9RbEWzTjIrk0Pae7qKC+OUT5mSbiIXZYYykGk/KKV
aaRDuYqtwQJuWoRPU5VS9moq5sFyq+GdTkoe6qkCYWJV23PyzGhBPLHMjO661yP+br2aANvlKY2K
Ub5oX24UQp4B91vtm5Z2e5Nk4OkGk8PFTXX3URQpOIaGKRI5PruAF2bpzUWRsBK9ok/mC4TMdD2A
ZrsrHSMbEND7OKOh1iz6c9TN/TfUYeUK/ycEnJKE44dUwZyyIwzZIrbKXJ/iKWNkWQuQtuvQNhQL
8tCQXdplnncWiMh1P7Px90rWaCCPGUja3q6O8FrNXaqq0eIXBhSDAg1gq/Vmw4xN/467nJmmFZv0
eZe50WxTJat7r3JF76ymTvDpxr2rZR4V4Mk73MJsR60sLLlOyDXzd/vBrIS9pqOr+Zq7PEm4GkQz
ejY3P2Smjm8qKvRekWl0MOO2uljOrD2NRtncgS9KzVU8C1uBay5SJaCorSy8zEijdmWnlvnnyH6b
Z5N7BtErqUXLymhlVkaxR0uwoWanQE/A2VwW9r8HPVXGQLV6851TfP5YwDt7MARO2y3eTHFJFqXn
vKvRiuil5uSehIUkLS0B3dfOnO7ObBz9aNa2tmPKr/HQCSvmoe2iFV45ckmpM8+Kraq46SWJ+lH3
Mqwkx3BsHwqxhO9uU2Z7JTOMN7sprIOtzPmWx6fGZapU99T0XCjPtEunhbBZm9WqpD6a57Gb4mSg
Psle1mqIndxz2kXftUPLcw9hVAuSeWiuSmUxeZrTQIyJ4puyfpeyCMEUVIVfU63/XBucjBq32oup
V8iLh5Vvzsa5y+A92ib4dbeLvbAxXsI4CYpea9dVZTfUzNnxEeVp/AKa8ENVmvpUYMqoG/ntJm24
CnXIB+xwMDm1q24xxnNRY2EypQELD5eZrlnrKsH+cQ7Ngm89etlkrUe6tku/LlpGjsaEmFG1ywYL
h915RtpzaALPPAp9ZEEoYt13l6444t/DEcKE76mk2fxOEaBGQaVgZzZoTr90VhiyIwTZhiFIKDHm
GGVy3pnpZSXaaqcMfF2j+AfuIgExjMzXFFQAZN29w/An3ug9F8ezzVyB1OaMvEh+yGQIQZ1EyJ0w
9sqRUx1cjtGxsy/UJHRsFcQTG1+Tr0U3MUM2jY0YDBGgDIMLbeyFtgghNkVk8LyP2GM/2VxaRtJ0
q4/MWdZ0oReNn8Vgs4kdR3WAi6FfM6hY7uidFg9O2izvHDixGGpJM2BZ0KqdDhb5PsRwsQb2lHzL
ZAw7eBAAHb2lEySKGcgFia6ME9YoYN4lmbc3iQi1rTOLg86wZMl2DhNwC3BBmXe3NrqcJSxoKm6y
pXeleTW0xuTrMEPwCmnILmTVBblRDg8iV5tXBSr43i7qGeBFatubtq877oeovU/BbGO8kEb/SScH
FdCauyWydlAzTBHwVvPXRovaQxSRnF8y5aGXQ7ZLOSZeqdmPzmzGlrOmZMXGKUv9vi6PMul2xTDM
96JLEl+z9eHJdfVhTXF3CZN4suvdkknlxBhcyIPOt+k8gmlgxMoKz6nQVfcgbd5C1+3eMGFlz3XS
V3dc5uxSZIvxzmyYCHdNXY5c1TS9nyNgyscY9mvKhG5p/bTv9ICQiLtqMYnexYiriz+GfRIYbn/I
58VYxQvJQk8hJtEwrrltJPnoljHL1/lSLA8h2zUMBCAXXxyO6sEs6XEuYkPf2+x5LQ52i1y1Vpp+
AWjud+rQ8yEVkGUechBm6/72u22Em/sOL9X6drzcapgpfqhjPG8s2oNk4BTazAAjZ6yTqxNGPwNL
z9Fuo6pmTJFvhpHHvWxqkCTM0XFPjldObjfNS4lIckKG3LnLHIE2j+UqCcP8RSE3+tRh/j0uOp4P
T7VrbS+NsO5XN812Fwn9q51F5gtY0J9m7NRZsFSpfAKuCG/bYOtR+i5z3OMknfRO46Dt3GyD8GCK
D3BkCV/jLD2lRhOddcmokcleGFGQPwJCBTeAWQboqa4Ec8SBxKYQr9uNdbI8VniuNG+qYK+LtrGe
qZ0fnqZU/YI/Xi2bJMTnCTJLP9tuG/2kKz9al9bNkTmzVfYovDYMQj7uFADv1Z7Txh4fbZaaj3Ai
UrMqKfiG9Z4J+AwIUfLJRjz4Ca81w59Q3fxaCfQo2u/f4lTTrG2T1vq5qyU19iyiU0TDPoOrdL9I
c3h1w+gTWAeeTMs50DmaBoVGMh935ZaR5QPzNkxbaTXuZyr5OZzXnqBzn36fcdmVqZw1QIPcJFuU
HPNAd671gC8thKbQ08tbut3OiVM2HeaStZ9AgU/VrPNBUY6802il39QpD1NQNErq4z3K/dLUxgtD
qZb9HrYIBEV3LXmmPIFnztfq0lQrMNbNPR7K6SmDuebDgTe9jLn7Sra5EdiVqTw6kx1MxoydAU/h
ZWzhLzfYXiGOJOmLOoNIH+CiYXko5RfIy2wzZtCtI7ZbW4CD7ivIh/kcqlb1NbTatB7bZeRYB5Tu
oTGSetunHRsTrd0yX4yPcdXPa8DJ9btbgmKc1Mr6RkQEeR6aZ6k1yaFQeNyXWq1+4g0f6IhJHQ3K
8dDqTI0HJTnkADgMdpLZ9B2GYjwuKHCJPxUKEFqrYSEZp+oT/LEW4CQGQkWd2GYsxuTemtlHgSl3
13anZusltbGuhq6yIVyBExJzIn6l6auwFtRSWZ8Ym3RbVcjWn1WF7UCHlQY1JzvWHeacuR+PbDoT
P3VL44w1Mt+GkmUd/dpYSz3b0JZxnDv6ncGwSRULbBS1a9ykN0h3lNjXCvS4jkVYqOu4Vg6sidDn
tDyNH/GtZjmOzalMVmLsU7YRbr1gagPxQFJYuToCy80bXj/H3g9hOwFZly6ffZUb32yyqn6DdVN9
5iFVb6YRtdVGD6v3S1Gz92uczP0aekdV10vD06g1hvHBzU0b2b9f7kSr3GVqal7ZTM57svKxp4s2
I72UuOzmwCV6DpOEGROY2jIcb0z9EU0u2hZt17KldEN/7NKDbkrrxIqAzb+OiqMVaZTyFpGevFLq
rh+1QkEBYZ+5nJqOBilPCkArGDHRTSAFH7lfzZ69F6DEpp6HS6aAh8Y1YDl3BvNpgVe0XDQYUYbw
IWOqjT+pZf6wYO+rAwn/5q3M4uKot7fBC41M5kmv2KHgT0YHYbNaaF4cWdV9hl/dWrVFi58CAE2y
rLIa02YQLQJdMwsldj9qOg+MdbHhxsJQGO2wxaBZc1dleXEaAALlUOEx+gyWfSFHQznNZGMoXKVY
PL+Arqmf0U2etdzMfutjPHeO40IDsqwkq1YQkbMY0RhQBPQtR3eB3Eylr1R4CjHOj84juGi4q02G
MDPRJuvZ3Y2NXpuQOt3ctyrZEJuIXRUlmgJHVq0P6uE77FyAqWLHiDf5jVoyJbRda9G9VpvftTpE
27CslN2UhsQkC2XHOG5rmMlpqSCbDZYsfCz83YMYGyjxAksGlknIKAKOdW5kG+V2xLDtYsuFWFag
6MqKvSGvZG+Z5beYuSRJpGw166Y5Z2y4OSLfQO8uRds4r91mzFdANB47CI3YDKMnhW0HPtRhXDdp
h5VDKzGrImlrbe0XQtnqCWBqDiOfSoj6aKYEomhnWVDEPVBY712lHSLB0YziGSgEvW35y1jPiNyM
7GgnWgI8pHg4rHDxw4TBi14OHR2gPa9zIOFquSMdInmzxmIPfRbX91D76KZbaI6xT3LyvPR2dj/q
Bdk6rPh33HvGRqJR+jx6VIx+MzYdzk36PgUDfg2lk20MnDerqMYqWIueEZSRYDdQZKmvCbZnbEqV
edhMiFgXzGYq5rg8m/WV4vbOTZjFg2HNfZqs+pzr6zS5vckmBe6dbgxbQ7HD517V+ldS+AjpcZxz
YEk7KzlM7Y1RuGjDcMlFWgBQjKT7jAA9fXR6FB5aGD+M6jAps6ExX7HE91HQKeRWVurNK78Xuppc
LRlNRUAWBXDTJCaPB4d4iWCLPBDakKOnNIYlNkqWt3sG5h17UAciKtAq+WJQAaUzEdiIznkEUW8e
WGDgNSfS2U45CHeJSa+2RivoEDEx7bgBIvjwU5uJ1LI7Fc4JZ6uz5YzFgAFTSf6GFcwC5TPXZA+a
cHjnzkpWiSkZRBdFjPw2WZsJsD1l8RzhNLCO+3TRmFw5qASeA5U1SLRGHlRC3pJVSIzPEWy1typ3
k03CSB2rst3aTw4bFwPHYJFTn5Lq2f+dsNr/c5YNG+VWuxkZ/ncBbgMjt/n4SxDuv3/qP20bxh+G
jdHCsExdx51wS2/9w7ZhOX/glxDsWlXNIKdyM3T8lwpn/GGrmqlj29Ccmz7HD/2XbUP8oaq27tDb
oWmIdOTn/w3fBr/iLxocUTuYYIL8HDYQVJDfsuGuRtd3i0Ev6MyYGciCRPMSs/z9DcMCPfG3X+NY
hobg6NoWVdz6b7+mZeOZjlFpwUrNhvdBKM4aWizVCGTnhk0E0+lvYtd/Vj38Ki4K17Esk+24EJhb
1Jv15i/t+mCxeL6GVmCrk0vioxB5vOoBg4O0sPXSB02fPDi9nW670Lni6gQrCBFmeS9nXd2I2k33
8MT1vVoPWkANV7p353y8A/21HNUpk3/TF/EbhsM2bq+Xjxwt1HSFLX5vMk45Es7jhGBFNUnxNQ5z
tkK14p+0ZEBvx5DIyMHGJ5k41VeDYPDVT874PEc07Jh9ZXxHLNVPJWzPPeCe6vuXL/X9P67br9lH
7Z+/J7y8m2aswuHhO/mbVgtnSMgUtTToVWncUcefTSxkle7b7Rgf8KXZsPVUWR3y2+hVUGew7SKU
DV6zs40nw37RcHuf5ynGhkjzdqxcpgjdkPl9D9PcAvjxplPYuxlCg41/pVWfPWnATTHX8vqv38uf
jYe/fzXYcBAw1XXD4X//+tVwkgVTeK+bgezz+Dgjp61GQgKRzwEx3o9N0pMe1IUZKFU7fpXWWIVA
gUtGZWXRmdvJcpVLz4z5zTIGPMGqWh6LTDFfJzbnbWve2Q1NcKWdDLhHleiMpX7YdbTEBU2Uvkmz
ZgIVmq+u2emnjsa3kigpu61hK2c8R1mTWyfcMPURENciPY1hKowSwM3ruMBUze7FxoDqwAyDqXbX
SBF/ORZbP0/tdXkwrRrFJi04xsasRoemECOja01xO79apvRvysD+vHF/u5YcSk2DcYCu6kwH/not
pc2OwGxnM1BDvThXIFHxPY7i6BDzAsb9raTjdO7nhABmgQW42GI8Gr+tOm8+IcB2d1TrggTB02Hv
Rsa3vq3UIyHV0lZX7JjkfRVX9HqjMU4HEmbzl9uPKlpNWB3cfFJeVfonj3KBsL1igic8EqnT0cn6
dN31lvibL86fzST/9GZxtumaY+hQXG43yS9tX9IRcgCRaAXUrw6nqNDgz3FpjR2jyuZemS13XWOT
A5mUL5emdvCySJMpOaxMucXv5Dwhcc8/OaWKv+k7+R/WV+e2hNzmM5Zwfu9wziMCFbk5muhDGgPv
pvpGONoRZpp8exr+rX7bP5cqx0DbQJ/UHdANpL5/vQwVzwfMVp0Z0NNkvwoO7be7OP2bKpS/tkP8
82/57S7NnTSx2huAmpBT8pOi9+o49yVDYqMr5/W/XhJ+j3Zz5RzEOvf2RMXV8nufFV/JVEpOGAGY
R+2gK8XytVi1dTQaXVy1qWXZpcETWZbJWHlPsKPx//UL+B+WV5f2etd2WP9Bwfx+SZURpTw2zSDv
7OFZHWvE8HCx/+Yp/Get2K9fYNNR2TiQIWcJZ/pmk6//9ZOjEkN15jy1yNg2V9lq0aoQM1VSw2Wi
qsBNzlOpr/Rp/JpoqOzjXDkvKrFVnicONi0gum7fo65j1LiAcsXiQKAXF+e11SQk2hnvh0yYlok+
3kmDfS+ukKXxi7H+idSx+teX7PfvB2l88ybe2Ybq3vZVv5Vk4B5k/mMRz8AtQMlTj/3SmofIX6xK
+ZtP53b1/3LZXMGzmSrI2zwUj+3tpfxy38dLqOU2Hd0BLppoH84oYbZYhkPUlPlaZ4y05VK7f/NL
2Qr+fldbAs8qlQO3ldU22Z799feOnPG1Ag9GgI/r0eTUHejEMTduOI2vel2RTlWn9qpEya6Jxjfb
LdObQUP7SLE+4VWID+x90B4cm1SKdd9KeWNvUq+dUHibd6W85Y7eQq19qwZ1k4ix8tBfsSYRe/Lq
HGO5PU47MxuwgBCuuHetEWka5oebzFhcMRMQaBGzWDdqaN45FQaDqBFHqSn52p5Gklkh5h5dFpe+
ZhpbkhHmBrrORG1Z9HeZ4TxAYO3PC4wsuXyVJOPP5VLgHDXN6JW+rv6s1Km2HtM28slSETqr4fs2
rZ2CkqD8hv/O07cZGe5mwqdax53a4UvL3YZIuIGpq+h0421KNPiponiUcrhvnE3P+0zSSP0RQgII
THDduILhHuPXSRavy81mbdZZFpSJKzn4kZjV5qY4EWTN7tXJChG70roL1NTgmdv02s+Wip+7goPY
OsG3xDk9I2HmqkMYLCMGNT/kKfWO9jgGSUsbClhqsrXWA8dAIiI1NFmvpNwfrDPd7QeQnsaFyHON
0o5woovAraZtBbR8g0N0G1qPPWPWmZBCN2vuNyXDx2zsHzmt/0zZXT4nGkNqklpF4DrDSxHX+7aY
2nXLqOcuRJ18rtNUvwxZYzreLKuCvytndOwurufq9aVwyXtFqD5DZkNAlg0NXX2k5F7mTNYKXWs4
N4SUNuqSm/dMj4ov5ND23DcORqEwjr4xobkbJkztVtSOvLS5o76WtcxfxkTfMO2ounWSTs59VRXy
wjm8b7wJgRUjnVbPfpsO81MeLd2FHFX/JLXUXdVg4B+VmN5zid/1pMg62i5To1wxriUnCvrjVSo0
4aukRPjNljyFTFCDbJxE0CPXfyih2uwqqzJPnKVrgpl1t13SoruQ3vlsBnv+TG/vEMeisuGUfi8i
Cm2rR4F1YeWgEdfhfBcqdrtJRTruKjWrfoShGj9Wgq9krfcJG3CsuQwe1L1i54vfdTUuLXdBC50i
82LXY4xNslp8IWd1BY+4/CZhM60V7Fz7QjbFuTSdn/QQv5VQYfEtqFTPeg0VAS+c7isU6BGv4uzm
7OkYHfRtvOzIYpUexveXRrYv0kVtxRShNp95pXbPETiabeHWBQ25cxVQ+0CPRzG2x6ZooFu7jbVN
GyrpcLRHgUn56koVVvlsNKVyl/CqcPeF/OGsvLLCTtuaXMpO7XQr4E9F1BiPx7AdfupmdAC0jgCZ
unAJS/LFqzSJ+QNKFD8Mk+sEwzQoRKMc5xy2oOlp+XAeIJ18to5ZXfNmtM6wyqXHPbj4hp4Mu7ww
7xcp9EsfF3wmaIH0JbRjv8dIOHJTdfE6dscRT6mOsFLJo53i6Mp0i7HmTILQpLPjqcNCzP8nl4MQ
NW+wqtvVTE3W2jTamQdEXVA7HacfbV/2xwHb2ok0W34x52pk2qkUgUISwY/zdIP//K2O8aNThl/6
hpJjPRHMSQeX3A/lfifEWWY5yqT90CHRYSutU5/uZoKRWVTfawqd0xTaZrO1xl/+rIc1hn5sGw0m
ydJX7exM2ri/UhZ+UIuByU7LEDF9DLOs5B3L7KKLSV3lc6J9iWXKr3JI2ek7IyJe2mq24zVLmfpT
Y50bDVhqKeNlW0/6gxpOK7M0NGytIR0sdr8pF9kHYBU+y6E+xKrpI4d+lgmzg6QcjM0oLW3TKOKh
yqTfxtNwV5oY7MceOwqsYtm+dkuh+rKm9fk94nhGbCosbCbEc8fpemkOndpFK63Qg6nNolO/YEDt
tFFdxaO+QK6vpsxT6oaCkgRLInpnaawtPKfIpeGebUeFAS3NDpWuDPeKykg4EWXJ2KWSe6zf1dWw
6kucUXGB9qV8JEZTfSyNyDYqDcfPIU4VVDkjOSZho7/yqqug7TMTS1BCi9bkLJvYkvGHSx/EnnRb
7xG0b68Nyhz3hXS3A/D3FUo5x8F8dnzGlcVO6ti/tdms/azJxB0V+v26q1m806S5NOp3FqMjeBbz
gEens8tVS/LsXhvz+WqR8j8w+50P9mKnB5T1OTDyLnwpF3d+7fNMMkHI1esUUeANNZxnITDujdF0
yTtDO6oXjLZeD7Vjv8pIkG6LsUukesTjNmb+bGWxP2V6dI+y0+Gz6KvjGM3moRta8xjqvRnEuOIf
NQwjF9rE9V3Tjs7RcKM+EG4a3Q2Fw7+17nCq7fRLFnX6iPVIrG5JOupL6qDu20+nMOM1JbIO7u/m
trq4caxiAZfs+ykAmHct2R1dafayP5sCp0ZrlWfKy2sPxrvTrZgLh4HSO/adXlvVtVsS84vSweLV
1qjCUBTjeQ4N06cfhscfxpANUbzGJU3SpRthuPhzDavYd1ltsYYZzdqw4ZknIsVxg/fjQSGCTfXP
krvDmoREvKt1W64FwHTmznXlL0bBFz/sGmL1U2kZuzQamGU64sUxOvve4ec9Iu3KpXTT/G5J6i8c
LITds0ZnB5w35UPZ9Cdy41u7Nb5L59bcsET3ZuZa/jQPmU/9RbobiGc/RkQlVjX9Bh5y1F0byWCI
QtokmnDdhMUI61KdYYIpjNJoFurPXddGTxwxLWK8eaKuMZFYsWcTjT4Zuhs+242tXouiE3daN8q9
jkXhbpqm9otSXEK/AMbix7HkxSjCoFdhEu4PJ8E2lyUUkmgxP6eGjuI3VkmIIWHTtw7NVB881oX5
Q3Nb+1gQpqeDiKq9gPhAeZWlXe7iOh1+5vhNeo+kszxE+Ik3bSV1Ki7URH3C3lWvUpzNjl+ZPK/h
KFWVV1ih2BgU3fCo7Ovw0ZBqz4ef4y5rxyKimVQ3gcSFtSWhWGuLR/w/f65Md3rFlZJHftMyMfBk
HIdhAOI1ZpZZpe4pA2y+1jJl9HUOQ6ROQsV8i2oeQbYM8zeLJMLGNRWyCdkIkGMcC5cynFry4gWD
XfYzqR4MUqlbL6+V5TxlCJR+17TyTLC1vUuH9MrA9JNU2EtfGP06jmdt30TQMfp+ee0XBjkUldYr
UrDNtteXKtCKm+fp9rghp4SbxW2W+iYRwZ0vrNqnk6c/avQmrOOwj9c2vHty2zYEEpgtwO3jcR0y
wEmL3MU/1SaeylCmoDajTA8EheRzOS2HPvxaDPvqjNpj4wwfah3vnDl6N7P2NdaoNijIuFzqQTjb
VpT2yhCFfcwHJ+v8vEpuZfUqdvtqWdxTIWSD/cldtkWu9GR1c419kmOWd65JzE5pM3qAiHi0niG1
/pSVCcPplv4xWhVKh8YPQvL3dWhGl9ydHsKp0IkWl+XbtIil8hpMUVukpfHnkIbdA2H5ejNPFTM3
Ke1tqczRrRohm7/6Hlc6/RqhFxkWoelSh7VBdoSSmaZi6piO20GoTD0rzM6N2jsBGTlis5G718tM
XqwMwcVT6Tz2hzaRO9oux2fmejx0HGfQCfTd8t9WtXBmFVTheX1oJd/8TBnk5GCkT3LC4sFqNbFB
wLkltz86dGFj3TvbTFHosEFqDRrNLY6UOiiml1iVvWaabW8wdncsuUalr1T6CahycZ0HZaJKC3vW
jUOyzNUbB3ZxQKKoNo2judzcvbtRMJd7Rrhc1HRcDW5RfnWIjutJ7wQhDkEdmD6G24yOhnvIiX0w
2ZC9vIkgyE5nunYnYp1WSTE12V0e1+GZ/qsyMGOagCqVNrI+JOSW6IZ6KCLnKR/EXqN64nPpo2Qj
4jp+MAalelhMKsV7STtgUrCctiS4Lq6riffYzN1rn2nanWaL0OOvjH7clsJ3igPih54sE8UMasbs
ODU1qpJgU0F27h7tjMGt33fJDxaW/BQP4/REVzcp+MTOqrVat+X7OFOdQX4528aRsxzzLolO6hLV
l6GhTRFXjr6TEYnMRAUpUSla9JLIPsRAQW+cxAZzGC0HKwUbtpeCoCTxpt7NN+x5JK5KkJb4i4hJ
14M9ELHp4+SMMjg8ZwbK4KTMxb5yhxZiSTW2F9HGNnLK0szbkv3awco76+eo1lrtLWmZXIAFyUsN
fqOMPWXUtJ1pcz6Oc06T26xBlPXKZMzXeFfKbVyO6UvbFs1bnRpCDXTB4MCr6oVeADbn6VOvmq6v
ObMaGIXStB5OZQ42TlSIYx0P8UmxRBmoZiW3Q9gMnqKrkmNg3NzzmEzXjY5lnrukjrCZOvOzQrfK
k5JASnVyB5CsXAjn12V3yuzpYoeOzZd/yPqt5C0oHjn18pv/NKzVaNDpFWSzY48eRU7MOkgOmFeF
+JpvNym7kFDLjFWNF4jqCRXBVGD0wVGQ1D9yGU7BsAzaWaXEhuM9G55TiI/sw4zD9K00lbIJQtXs
hlVVGmNyJY3a0V9PUNNXlrmvD5VBAUoTzVfeKBK6bCaFQxX+bh7q/8Heme3IjaRZ+lXmAYYJ0rjf
On0N9/DYFSHdECEpxH01I43k0/dHVWZCldVVPQX0XExjbhKViYrN3Wn2L+d8Zz5MvlcdC9sw7U9V
HMsfo8hLWmsmh/WNcCrPiWgMcJCE+F3FZoktf97ixOyxFybgbu7QK6jgbLGiXyVO7ttQTdURJYn9
WC52eMyMjL15NTYK2aXX5Q1PO0kwO/pMjS5KdxwFyzKwHy2yMN1XNcQ41YwUt3A+2t0s+1lcGO/F
MIwyl0VV0OTLxtUdYgNEsLeFHcoX7GF5pA0Eirrz6dOMYPqxtOFSMQZ29A2mwuqra7WrKLDkipy5
YeEW6NG+VH61vIrakT9S5kC35uIa3/nTu89DjHJpE0CqveEq5BjgvXHq3TxUQX91g2S+ygYGGQCe
pdyP7mhemIYlnOcjNLTtaJcZq+emvcvG0Lw2ppsDHpO0i77ugq953hdM1zm4Xzs8xcUusPU5V4Af
Iq0NrFyh9trPEv8JBhgnfmOlxHM1lhmNXtY81eSaXuLeTYq9EdhfS8EASss0cpTD8oR5Jl7v5aYo
NH5NJD3UM4uRPGazXz5Pw6T2ttkm5zYNrDs01PjN8n7oQTsiXNjP9aLwcXdi1xpZr9CjNf2rjVD3
mHN9fUpAEilO+JQMMngJeK+XnKQdyqWd1o068qgmCNkG676VuQESsFB1gEvAiI1ITQqu4TTNsdy6
4IUiZxqXW4TlNAZ0w1+F2wUnpqvJWYzTh7TGj15ixaIF2JR5Zp1sLJ3boLFBk2mO0IaUgE99myQ3
QdiGlxwN1McIji7bLE02X5lscTNUFNaYwYU/bDrHYgzaZxKfU2t8yBBeLW46+4cUrpbf1h+BmtjT
KnwkDQhehidG4uiWMaO1xyVqzhvTJgu0tUY7cmL+OBB4tODLJ7fvR/aBi/6aocYoojFAvokL6n5M
lXuLH2vv8mfFWyQnkokOdqnzCHjqBOBDYbGeP5t8F28jDNfBAOsXB0/NEwibJJi2/Yy8d2AOlxww
eaMMDzQeKt9+k/zpNwHX8Ib5ojqx42p2TJfsT9xOkWOkWFDzeHavBnakiFoGCR30rW1nLbcpxvhz
iLQNK3PXfp/LiXFbNRgHgFtjZEw5/qhOK7TbNQDOJhh4DgzLPUlK2mSDMEzojZq4klUhpoPXL8ah
MSXSxx4V+iYZRHuVwqj3ptP7p8YHY7PhpLOeWgTw3xhlAE3ReYA7wsinE+z2xyru03tLMBcMDVnS
Aw72bRxDVMn5HM7e3CRREDTzkXdcaQxQDkvXQPOJTcNzM4ZvhBP7n/CeeTfF3BPFGywWo9lq2rrc
vTdDjj0cf7kHUCDr3kbLy88VWvOI4qDdCSgxEUla0DrCUN9OOkDwrkxj3oV2yraupr968DHX7lGd
jOfeD7NvSb9wAZcx5laXNVqRJfULIOjiOUmG5dEwEv8T+/qGliiLK8Kuhs7eIeRqotLLLXvr1Cr4
FBgZlv22FE9qrkP62QzBjqPak7VIid7PDqJe93m0qlfryMHcuwmdqcoOmloSJTlsRdyjpo7Qdcfp
ljSUhHJrHr9wjKK19gwXfmjYaEp7iDggOsG/LtEsu7baY58fHhX20GNJeQ+EifGIpu0SWbIJXU0s
bTnn165p4pugq9B5NYAItXa9y+TU3VEXVr0nlibfuqOkB5JQZvs4b+8xMd/LyrZfrCne1L34kjXe
e1giEXUbb8o2VHwdcifUSqDYvEjN5a03xO6RXEbzsW1c1Iu1HdxUsy5vM1k812koUHONKQozYT35
veM8D0UTn9A6LzujG59igRIoIG70EUWmeRxKt7hO3KRwiuqdTPLhMTaWBK5bVR2k6r29qJgyM9C1
b3XtIGv0WrUfZFNvWIZ8JsbRPJtJaRymuDqNZe8fBnROWyyePxTdyvcZ8Z/dGlNErBBMMBdQwrja
I7O2OpmiKXcdHo6Dn8LgKXGxN3zCbbhV9pI+Y0HYL+xjbYwoJ4td186c5TcHj/c5Aet2FwwKQT15
Qib4SU7SmvkTii9z2DeFacDwUSLYCfeucztaMVVAL+xdOexz1Fk4PVktA5fsynMAi2ppjV2Y19cx
M4YV1vB9CIzkMBiTdZprXBwqKL2HweyjRnoXsaij0dLfwalwzn2X3jH7bdgdVGum4kNjuOZXvKma
o4l2WOhqYpw/zmcGYC9FiLqpNf2IxUMkCLLZJOPQnkAunZM6hyPYT+V3G3ggRMT+y7IkF8uiq1h5
/rD3LQFnjt2+4Dow3D08hdBd3Ozki1m2OIi6qt2omk0WpYd/dg2y4vqFBtkrZx/bhVvvAtKpGFLS
TkCinr7UQeihey2crd14NO3DtE84c7emnxQjEmf3a1PVzpPXJfWwS1IwGZji8Z84c66OJfQRwBRO
k964RlZ4BxSv7ud+tIzkPeY/8Hj2LdAe0OrPtgPnrNcj0zaY+buC5xZTc+ftliCYwz0LCkYZPZ6t
2HDip66FMZQNYRMe/ECcQtfeJgFi+c4VaFDrEbHfETpu9g4eilvRz/lI9VCP8mcjW3JWjpadhu9J
FnMQWxgAoZ9h6jp7Gf1JlBQeJqkwzIuHMPFd+8Q6Oy+jeWA/woI2v5QujL+lmMAedIKZqIeRdUi4
Dz2TFQLnaYisvOizx1yPxdOgYJFFnBvkjBAltGx0XMPy8zLP/0x20fA+N8L9XgA32fROOADbDKmb
JX0dRKWp3C9YGaKgmy11zF2u+xLPK2udZKRbRPxqPARG/8agGJOz0D0rTOXf+J7LDB8pIko/PCUL
BBSzwaHQdnd2Lk6yat9TE8wye647l/s9aeo720jOMlfGk2MBU0UAXScPLgXJLZ+49HPc5R0dcQfJ
NDEv/oz23yX5L5lBspZjl7FdmpH65eFhrMIvYzI+ut30Rpz7pDY8uDzxi92dJiSQSUBYLG6z5hpC
KYy8ng96lTFsTFyximys4ZG7u+aGLJiS5UTy7WgD6FSV4UzJplzG6gPzRxn1ji0jyp4TEQL2Rvkx
PZMzmqhMPLZSbSj1U9jU6iUZwGpPmc2QunS7a46AwSyLWzIR4501+dbWClKGFLKJ4zf6hcrcoUrr
tn5hL6exsdWXzMrh8PbePJ0XJU1goPjkKHwz1sIdaTRGNSQceWkEaQFzQRIeZ9MatiatjuD8qZqr
WdbuU4cMlUKL+WlmIqfHsvBZJoZ1ICKCgfHMuZ81br8Fqbi8zT5dWxWxymKyAZo3u/P66k1ry36A
JRwne6ns+UtrZsVxoDq+dULlvc2gORh+sdajJFrcqMnn0LydSsNErUo8Ilge38gPlUziO5vR0Dd6
U7qQJY+vMEhrBhW8frySRupbO/Su5QstXLaVfX8oZkGAn2WenRCEXCrH4qVS3bEfWg2hR39SEjq2
bJIXFsiH1gr8Y8kuaTcsvSQ7Enn01u1dZty5cWcnrBQ5V7IX1fhQHIKWzoSUDMZX+Ph/1Et2bTt/
1eLOB1/025qE2J1XaK5sBvkR2Bsm8PBBALSNW4nSBlKzaJM9Mc1kijWoYUDxutlXMQiXCN681ceK
/vPNrENmq57TwYgR3Xc0zyY6KMEHRBN6iTe8C8enkpAIMG6WKo5FXNA1LIt/8dOgehGTh3wWf+gY
RqaDc7PWKPWBPyYPaVdclT9QWYxtdsPmhJWDqMrj1Idlte3NYXUEVXp5XKasPiI803DG00Ac8bzg
JambgXUCBrS3nFPx22L1VlQjrnmCx0QUkZra7OwuDkcYRIh7VbA2G0VMI9cIsHKZaGmZusY59UCS
atI5dXHV1DE34xzDTBwkNjRQNtMMK7JseNiVKeAlK17yyBDDp0LCNQhAZezghfQHHVg5ZZ04eX7L
NahT9+BKKiiU2UpAsAS5mfZsFcEWd8sDhhOZZ8YHBGMj6n0Me8Va8epFZI/o9ZqrHcLxa6oyv8+X
xTvyKNn3yKeXT04q/B0qe3eLKZlkARcogVikiFywJ5GT55xbtSgu6JwcyrKR2jnuQMR3vD9YW4P9
wCl98OyCvX/Tr5uxLrZeyehsb6AlDNu2CMHTZrb3OKBBxy/RuN+s0IcQwlSPy6PIJ3s7OK6xSTWU
nTId9JYZkr0F8TpsgEuoN7Lh3SeLz+dD2hKqOCS2Yu6wNI/EWUpkzsJDG21jV+OQZUA1OicTWwjT
lGLOtkEBNzyDUnEYpKdeu5izrjFtFvpQVPAIzGbOX7ziLseoJPZn0ya+kvh90m8OOtrPLq62u3kV
17NONCKBUHEDZ8+NAoIYI2EmHq9U2RA4Ys/n1Ai4cpJm5N3RTRe8G9r4TOz3RzL69q0b2vd8oJjW
M02KqlLl96lhVcMWWvTaOThpNV3DhdU1enkth0PD4ZkShyDHIx/rjvLRZmSqqwCuaJ4lL35HfsJ6
EY3mtglLEhcMXlkkA8AR6tGKj65f9d8EHHObmXvs2+qug2R6qs3Jj4rCAI2qdI58JlVZ/EC6XvvE
pyt7LerWetMCECCIy2SXAEPeEzuz3HlAIzGFr9zueB5ZOxP594bqUr0UhMJuAXhgkM4XKzilvegi
ZGPJR5gswbaNzWJHUsv81IVde6nxe+y5Lcqd5/fypp5MaJuLOQrWL9bPLnkA5Fh3ZyOn+xIJoXzu
nFgnQ4U4Z7hDYIeB899LUMlXBi3qtKSF8V4kifeJkN3gpqZJOkojlcxh/fQwZXm2t5S3K8U0fDfC
TpwyLUBi+EJ7ZZRa2QUDyXTPJ7KkpHb6z5g08m92iJ2vhxr/5PtixFRDv9NuZ9bHKBig/xN1MOX8
s2BK8gxrPBwilhvBFJmjkk/WVMmrUzSdezUDQGdqtlDpu4YedrDusmOXpWzQl8K8BxQb0El6lXUM
rbTctZ5Co2JhgfbD3H+OR1tc07ahELF8hjalIKgi5NFrE8kSM1jKl7SvkJAYSKgW2dwajfHi18aH
jbTzuWqN7pF4hHhvNFO2VrXArpws+2Qa/Xg3D4n/bE/F+IjFotnm+YNm1LoXeJHfisaT965lT29G
nKpdjhDlbDfE0g5+PLxxrLx5RWnfAgqiPtBVcbULR5zrUpqHMkmr+wQbWBS7Y/F9xHq17yDpRX0F
TEqwKriJEVgd6Q2zJOpaocAY+Y4L9Vp2h7EPls9V0q2st3kR3yrboB6TrWlsSurkc565yZacZOay
hCNspYfbOGlxF3fOKo2o8eePdtKeqtZj7uOpQ2/7w00LwBz0gGW9uSFh5ww0x7gijaSyHhi2Zudx
wX7HzDbnu/rTvoG1fkqG0r5v/U7uKqiGmIfq4DxYjDTy+odmXuNN3BkljqQDZXQIXtV2QGzlqRnF
2E2OncfU2AuSz0Gafkel9BEwbYWS5O+z2NpPPhK1Dvfroe2aj8Irmg2Qcjx2fbmpVqNXMTvbtBov
SZ9cNNiWaeDYgce5nUoWQ4Y1m+yNsa0orC8WQcqZb5E80D7N0jqiGIp8c0yPM1ShCL8WCgS2QnCo
JhZZwcC4p5JAgoVxXMzuprQd/IfzxemYfs+Wx0aIb3mUwZTvHZWgR24XYtfY7udfyLTo94af5LeB
nxVPEAS8Z7emY2yWjFF41ViH/700JnUjq/sdxrbkHQCzc0sLbO6XICkOtczky09x3n83r+X/JXyn
aQHXcTAu/HMzyPajTLNfaSw0mb9/0Z8IT6r31c8Bfel37srvCE/vtwCFYRgiFPwj+ugPL0jwW4BK
3Q291exheqs69Q8vCNlHGEdC9ImAVPiO4t/xgvxMRPtV5whswBchvCXPdlChBn9xaWS1y6YuFKtA
cPW3MTRXqM2gNqYjui90oc8An43H2lYS2kaZtucZVcHGba2k2Lo6JyKg6Mf3vmuyEykoww7cisto
GHKS5SiEX7TGD5NnTo98+xWGpNt7MErlR+55XzUVwVYvobHr8MTjD3Sae3RN8TPOR5r4zpKvNkSN
94Zh5NYQM90gMpl7MOKPRVOOZxI/SXe2icdgjGzuzBwcb5KGwzYsVENmQPg2GYwKLJ3gVCi6aecZ
hj6YNRjmSQgKetkC1Z27JzYW6S6VE2rfliFtO5GYMgyqe3IqFlAMe2DrapCCsK7dY0Y9fFCkPeBv
mNyjFHH5IySg7MKRl34NPBqAYJbq6wBO4zkfRHXIiSgdGQDjmKSv8PHhVpOBjsyLrS9FnpIY7xD1
hnguvGhmqnOE+aQhtQOwwxf7JwqTQZeTMWcezc+NxRrCjFucy0Fi9axfgAiyoqFORGa5Tv9KeU5/
0jXtYIG0SWr6oDf/Vx72/5H2ME/8yxPh0Pwdz3e1hv38ij+tYSL0XISEPNyeH3ro0n8/DuzfsIvh
mMIRxAPurB6V348Dy11PCo8LjmfVt7Ey/nkcWA4nhRta6PId3ngQ4P/OcfAP6mN+MU4bpP6uh7vD
/Iv6WPgwXtxS612e8Mig5132cc7UhdCMZoP2bfovbAV/FXSvL4QJkQoJPFYGb30xflVZlwmmZ0i9
erc4Mt8sTvJjXFriDjS4x19O5f/MzfQPthV+lhuYfshph5HD/WusKOhOvEFwCnfCMgtKABcRAQRU
6wRLob0t4mS8HcCmHUqh6i2lT/jdK5vxHvluAUTOof4hdsu6MWfNArYYQHzDx0n6V/avrF4zDBpX
b+Xbk1Iiv856cWPkYSv7Hukr0ulqWZn42m4+jHhYtz6F9cy+D3Y+B0JnnZXTm/dZKYCByxW0r3Lf
+VBeiqrtJ4M/kOXwg519+pF4GfZmHG3bJi6Xe2pprPyqg6CBIhhyBbOSh9xbjHNnhuZILTVAoSnS
kF+FujF+DcCp43JmjeMzPSt9ZqbB7DsbJAz+oV1wkpC6lJMJNIQ6mTbS6aF4wiDtf1Q54i9feic/
4fNgjYPYoXa51LP3XKNVb7dFbsc3YEiXcyZcMsmm8jKlQrGDNscoydo3o0KwGZjiASV1jQ7Ov8xo
IDZZKIg5gBES2aEB0J2LJsKHzBbJhAFbWmGZbg0vQLXNVnFnMa69YU70loWI1KrJKbZzlzVs3AwW
gqN/Veyk9qWEc5Wiu7OBkuxcpPwjS6dDkYgHi4wY1kiPczcy3SUazLOm9BD4LMnKKjyJzoLe0tr8
+L5HlGElP+qcwsodcv5HijoO3fwREVMYjYTEbJpUgoB2+OHCq8ztGJgPemCMM9AZR1advCeiuK1I
IN8KL/mqKUw3FiJpljXGIdPmQ1P022B9RQuGsVswKE/KypPInMR3d4gvVuGfEEiVUcnc3ERpt8k0
QTlC2g8xXT9DBet77lV7uzC7qBrUwTbzH6bwCnyF/ZvLv7DTvdp2/gPCzqVSyQ3RClZUjDFjm7R7
SnrvYLiSS2s8p3FxULZxIT8427XhPFLuBux5urjrEgL4HG3S5cfyrlPuNTOat3pkpUchPm1sXZ7N
cPrwhjbfFuhT90XFm9dPwRruhRxlVDrckVO28rpQ0LJLAsHqBFeBs+Bqx9NXONGvUyK8HawQ4FM2
/DMvNp5jO7nMuW9G2MmZaxmQn4TfkPwR15vJS6BmFA2rQvFWmCF/AAs8BNX1ptTZ1xgoUl4bTF49
ZtvKZxO3Nl+VyY/2tDBOkiAK9GiuXlG7D2k1h4Tt4J4zypKcrYoHFQrD8qwMibJQ+s/a5C+tfYRD
Ne8DC5WvYYLw9P9frv8ncaLwuFYX2z8vtp/fq6z8X9f378OvFffvX/a3+zUwf7MxXbPsCN0gxLPH
Lfpnuc3JzuXr2SY35k8s/h/3q/0briK8bebv7mvx5/0a/GZiw+GrHMdnxUHV/e/cr381nfkINVbX
GSC3EH+C+Mv92nd2MAAA6HdZ0t5bccWOx+i+VA7Rkv0CR0sVN46cluMgyV/65ZX6Ty7Av9rNApc/
wjTXq90yHaJT//6qLWIpwLIbatfHEl7UQr1aopQ+/+ufQg/C9/m1oUCtwFIlFLzyNvEA3l9sbdS1
OCb8ttxZpbEcY+UloJ0pcftJThtoF4rhay4IrhzTw8Dc/qIay/xWzyERVu2UVrtUORIp07JM19EF
SIf1xD3X/TJtejezb7iYuQZ6Gd7amQy2Q8/UBIsMaRfH2Gy3cd/6D+hi3OK2rdA0dp73zLIdiBXW
5CursAaYxKStOwcRnLkdPHlLO8I2JisUmwi17DkqWqZEpbSvvrMYz5bZyZle3V4e+jkRF2hSxrNP
QFiEXgh9r80mC+exc5sAgjlk6FNfSB1wdp0PqtwivYO2yRsOAuzROWRofnCzDG0CKCjsDL0BrQdO
mlEcHb8TF58VrNz2Rjbok4EGyT53sdG1B8e340OShawGjdgjHY8xxpeAGDE7KkQrHtkcciUg+FtX
sAavmrTn4zzm8qKS3mCtjqPhAYfw+EHWmPkZURKXkIm+a47MpeZLEV7oN822nA1MoKun2pavQ2e4
XJpczaFQ56B2ziGk8yNWBvy5fZAd8s744g1meGsOzuRty2EiGXSAELUpinzIzl5uT0zIq2m6Dm0H
6rMvijMSlupQpl5xEEFCIF3eBc2lpks9peVUHW1Us8/olHM8bzrZZv2w4LAOjN0y8HZLqzDfy5pm
z4NYjuXKr6ZDYYR3mMb1JUQusS/antgEozg0AuUoAoT1woaudLQUaVghzydRbmqwLnOmAY4h1/Cj
Pkexs2+NkrcfCSnY5NY5YWPnrDdEuB9hrW8ZCcpXCrzglQ2ledty7/UTdDkIefZGrp9zlWQMZwk1
vrXnPnwevSaDXz+orZaN3GHrQJxUhS0Bi12KvHmmPfQFcvaNC/DyKUgkA67R9VxC5GbUKumW0SUj
eCkz/SUPBtvat15AgEE5mDUOBTlmPC2WBuVHCEIFQU8LZ9xXWbZcA8rDr7UTq0fTruFu+rliqsQg
/EnD4v9YgD8++VqGL0pJ1JFzOhhf8kxMlwxl9LNdeCb+umbq/KuD/LvaERTb9Nt4dGO9twyjOwCR
zdHFmVmSbKaiS5qTKhL9tZ0nNFUjJfUl79nffAlgrx0W353ZEJC/w3Pt5V/l1Jf3usph3zHfe5YU
i8e66U6Q2dxjgFl8USx5qn7Se7w29o+k8dvv+Mnz45y42W0HnfS09EwMrLhdal5Oe7wCzGzPppsh
6BwmS71wvYff8tiOTyuecsUgG1AttU5BF1fukVop77aZJeUte6YUeW6NGC0uu12J3fxqNov7Hi9j
vcc6mP0QDC13utb1I7Dw4AlfsPUOFsK7t4ZlOMQpldQ8BfKFwSNMyJFgXjUl1Vuau90ndhX2C7YN
54SpaQ3knUnOxWFZ4GgaCn1opSypz+sSvzzDWKv/xiqrTs4EMyTwWvMycF5EkzV65/KVb/0SH2J0
pADFcJAendkclp2Vus1yFNpYEBixQt5hfdsHcwqUGd1DhZN36BFFJWaHONGdZvxbsEIBUeVj9s4n
bWJXQyQkBxJzcbSdGafx3KYkfaVoYrCYtqh8t7Y9VLvB7/zwolqUtwsuMqbKDhuDVQgXnOIusL7A
sQ3vyZAbT50Jz17aoo+BWYza2Oa1zgjciPFfnRGQxO8pSZU+lo1Qn3GzaFI7a+WfSOCjw8F7iZqa
oFAZIVIgiiEh4bbOp/YKCFOKm7QKKOmN+TPdYi1YCvDCsHUwnmqgCB8sXceTXJp0BxAcrBHdBGrB
eZxVtwWuVr/x4Sf3rVrGKYmAVob2oYgVkODB7Vj6d3oEhY/EXbHAUGhiNo5urc9TOxKSpjAl7at0
xfR5Q6c+G7WWAOqK1nmtnNZ86zLGymbH3DwbaJ5tZyHaBVXyHsqmvMNuEX6XuAuuZjeF+cF2lVmD
Al/iJSqXuDnMyUSmK/+37Nyh5WuYrPv2czxPaGS0w0O/aRxWzjPkcofg6KWguUwXDd/MygmYTYq8
okGVBfpp0OmcF0zesEQ1BQKdTZy4AxJcz16mffAz3LnymsAAx8C9E9hu84mrJ062bGHJR22msX0p
1qToggXZnreMMMOcHGmnKKdLt2ZLZ5T2zKPWxGk0K+RBlqltKKK4qxovgRygHfM4tGtitbVmVxMq
ABYjrHz7Lh9HuBdrynVCismF/DTNabqkZ2yMmmzgIes3PojTOsLIgRMyXLOz8dQQo61/RmojmzPX
B92gSFBA9BJM/9/zGSlzBH+CUG4Ax/JHP5vB3fIztNtEW7hHuEC9Fa6p3pWD8TEwG4UttTnYypvu
Uww7jzAqk0+WIh68EegUY1bX7CVT1uqsO6AXrpHiMk3SO+lLHlvhETleruHj4xpDnv5MJGczSWyd
lXrmQsdrmxvbcfvbYEkvM2Lfsh+5kIdOHhyzQZbhi/SZICB9ZQCCYDZ1WKWLnwHpMOCvzmQxQNS+
kT1OMIXZgymTVmfeIT7DHtSUj2Bu0Jg3RJJQk2GkQ1xPmfwNW4C71eS1F6yP2WmwN3Tylp/HF3p7
1i/+DZA/wt4LT0QVe+69s24+8bzUwb1OSUDceBLXyrYQa3J844F7aQri5LnlgHY0fKiogyiEflQQ
+q+Iq0DuB2sgvSfQRm5o92CZ6pFfCNZVRfouYnTUhXLoP4jUCxDABJn6Bg+G/LHqZxbZ2LdEw43C
vAB/JKusI7yW3LJqzTArR7dG5kpgqj7VmceoSOMTUJuiGuonx5m7s5zVMtCWO3gR/cTlPmyHbHhV
rhSvujOJzcSkQLIlpYq3UQCZq40ZBORg5J3pfVvawn9w+lh/YsVE2G03ZsVNAmqLrGZB9bXrpdm8
AAmU085iVsbeeg7D+062y7Uwe0Ktah+suRGHxDOLHIkH0ReYIwndnqyhJNA58Kb2FLMGZHqEGYk3
jwO8xftSQuEFIt1/hIXI0v244KvkRs/nJxfee7qhLxCID+fcdI/m1PSXwQhTCaG0aS4pCr0fiqxI
jvjcmsb1fXE4V2Xal5HlORxi2ahd7L2dLvVdXTke/OLEGBBRVeO4wAw2Zuiz5hTUW2zyvOvtvPAC
5UwMyi22WuXu3TkVT2OPPeBmINbd3OWjEOMNEq8x2FsWdMQAn+bNMBLUQdljTlTAOMU21uwUNwRq
EW8Z+iJ4Ru8nXv3U9F55qPPxxoK4ca6sdFrpmHnBkV74LzOKj/o8YXvsCAHUSEghbSNuC7Kwp2Rt
p/a81KXxHsBanLYIMRnD+CZl1E4LdluRoHMY98r00FLynoT9TToz+irLMf/UzzQ+F+KdvODkKp2c
yqbHDNZ3xodp4eAqVkDoxuRWOc2T5ihuQJ2+2ZrMW7oEQ73ybre3JFgwklkqW51cDvNjLEtxZoKJ
lsyN1QURLaE2btyA0ORP3838EqzUPWe6tmi2CHBISeAl8psw9W0bdu4zapSuTf6Lrs9a9zd/147R
9plsC9cdFDNkZ53A/sKxqMWghjJzFDYOszyhw8QAXD91Vvtmh9UTQzouVp+pE0XmF5z4y8O/7gd/
drR//fnrdsu2TPpOwuz+/ufPEncJ1uUBg6SiW0PCmeDmJKHr6KQLibnF2MK3FGGdfkeOYIit0OSn
MFss9Zs1ze5pBgZ8AfKoHovMD2/XP4Z1iSmuhm7nNyFWZnDhQdUfuLHUvW16Tfw3VMx/92bzf9yy
w/JIkGAZwRTjn89kbtL3vkjf6++/jmR++crfxzL+b3z+wLb4ITtGoF5/jmX+lkuxdrusO38dygj3
NxEAKgmZ1wfg9FyWFX/sQK3fOCpESPIgI33X8/4tHp5v/cPaA60Ggxm2A/yOLrGKf/8hNclrA707
L4fKcpY+or9i0U6dwVJQDu6Azs2NvVeg92Spy97L1K6VBR/eZO6Bf0gSjWsUqN34pE1NXLrvclyq
0qhug2lQe1DZ6pGhIrgEq9FR7lYLbcBcZscU1MGZX6jaEuSpjzocPH07uxDgL15j9ucWOWoGLmFI
IHV4dpptS5YNKU4BH/Y+vUb5iODfJSq+mslkwdZki93UIfA7NH5KMnGTE1WFJNcdYALnOaDKEI//
kdFv/jhS6R6xSvq0UVP95sKRC6Mhtobv/HGMhwPJ/MJL7OGZiT8DUow2cIHQPsYHyEU+yegaTBr5
GpW9dx1vTPC0dX6zB7XmNOgR4+yaKQsUFme4U20Tv11wLRaMrDexnqiooePH/jFf91BHB39eTaSg
A4sWLS7RUNibjS8NzGPyu4EhXJq4IXOdtIqLFMy3CLRufAiiAirPNihnVUeVTWYAxv2ejKeGkTe8
0Gb4XIpCr3W6aj7EYhAqgavcYCTVtiiOshlXBn7CjXJDpmIDYuN547ZTAc5X6HtjMVil2GRqr8m1
rFbIQyp3TBqMN9k5s7FFl40AyEFCcm8IN263AuA5oiQ5UjzEDUkPjV2OuHsIa+wjB1BJE614lB9e
a4ZlhOi1/Lz4yiaW3ejwMvxMmcqyPrOjtO3RMOd+seBaj43wbOHr3lttPW5FL7v7djba+3Ts+6Ot
mu4xzQPz2hE+aCD/yiu9LUFC7ZDete+mVNPVHHOilOYO+WrT+qxPeiVWMiOTnwlqtMyCkcEYGOuD
IvNk37jWvE+TYnr1Z1AolJPh8T/YO5PlxpE0W7/KtV5fpAEOhwNY3A1nUpSoWaHYwBRSBOZ5cABP
fz8wsysrq627uva1C7PMUEgUCf/9/Od8pyWS/DpWZfzGuY01yp7pyPaYnr7lQTc/WeU43hchkr/s
Rh7slq8vieVR0ZACVcBxnd72hMR3PV9r73LbBZKDFbxtl3NBFuYmbPmW9MwcP2FOvzV6VpBUYgUn
2tPKg8gjf1fYqtg7ZpS/NpasOJjtF3wNjHCKvsXWJ28+3Az0JdkrP48nbPQ6ffQHnOvxsgjSvelt
Yi9uEdUacxN08fRSQbBfq74fT3bHUiJy5wEJR6H4KTQccMzU/a5SEYT3Fj3BD7YY6BznFnrhvW7v
gdUAsI3Ii/3ySFw94MsT3LUd62kO9fxqEFs6ZO7i29dJ7dJIMVbFaxYV4k0SjH1NMen+6qMmeXXJ
QEFY6w8SO+YlMYNYr9u0U/eTyOv3mrDvA1Ob9aH9gHYO0Hn+k4h7LN5RFpsMx70Tcz2aMnpTEjvZ
EnqbNyF76Q89JySkK6NFRBCUHMghSynnGvIfI4DZi9fY6nsSGe02yh2ufZBBh0fbc4PDVJGLi/My
+3LbAId9Sd8fmQnDmS6JS8H3yjeT6pdgdfm6vBGe7dmdf0Wu1tXG02b2MnP7f5jy8d6ltXVYjRFF
Y2vXsTQ/J/EajMGe9W7jmDAIwoyFs/GzLGBLhU9s4hnxyIwc/syjFE+GGsbpLfWLrFu1PJoPtloa
wlg12r/SppwTfvM2hMU2FZCS/MKi5KKHjg2uKHxs8rD4UI3k00/qlOgHfbT3JgZfgTG+aMife+PZ
EWFnrcN5CWzj/9jgyFls14RjhWc2ZEt5DzTNVO9CrtPUhMCrPM0m9a6bJmuUtSmQgQh5eA4dGkhp
955lZ9Rup3xIKoVxY+11on0MRYbNpqShckXwsH1KEtICbCvqI13f6sZWWfAYZnS00IWenkBjBd8N
3T6ZVT6eKW6k1KWi9/IBkg9VL+XS+jK03BIolAz7Iws32GuWAQIf9oR9VktrTEanA9CBpUsmdWiV
8dlLUDAzL2Uz8NfnB63aUB8EDO6nwIyz5whl5rtI6KoZhtClSz0ysd8n+hRLX50zMeSnOO1zJP0e
43m6tN/kxUTEpBydU5o0RsOHbCnKYaeP0tMhi1JSEtfQMrTy61s+CuJFLV07YU3rjujo35n8IP8Y
CaR+GJnd72t/Kb3RNp09Vte5u7GMxfNgxR4eAVCpXh152PGa6hNug/7wq4QWoBANxVun13agedDN
QRFRJ8Z/7Q+yil9BW9IotEwbh97AYzjUtjFthAMZvAvG8pxoConKpZpomJaWIncpLOqW6qJoKTEy
rn1GzbXbKL72HHlM7Hd+xONlVUM0pQlJD/qDkkH6kSLc94/RUppkX/uTrGuXUulJepXoPixug6Vs
qeiJ8DQ0gnKyN23zUFx7mdoSiAbBI9qa0pajriAuzOG11Dm1LcVO7lLxFDmEhleS/MqXm7NNXmFe
1/gdbTu+8a8tUdzL0EXcLH7lzGaL2lwbpdylXIpMt3OTgVnf41LxX/yIsJzlNtwECT8zRaeiX7z0
S2NVjJrzjAcYXgQyWHIz19BHbiJguW9YM9W4GZ3mGLdK4cdfKrGGlnIsogziccR1dpJ+lO6ClhIt
a6nTmuE13M9F218sn4fuynC77o2uALCV+N7foLcrAHUUdLWzlxGS8YpHGuzl2W1scOyTatVbJxoy
Dh0bFyTzUDrBMSE2dRsvRWBZUKdvJdLQLQMbPWFBXdAZVrd+dvan3nv3qSHEt6y+mTKr9jQjjBso
nrydQyrI/KaSz+Tp0mN05Wn7dgVbu3Bb9yVB9i+21QLfjhYMdxGa+lVc2dyJANNNG6LPymo2zRUO
7PEgyAidCFL3x2mBfIsOmE0QGLsYzglrtwRIehnr4fskFkJ4nJLgz6geePcghEEQX2DizYIVt38n
jFvAxgMH7HgPf7xhMNqaC5LcstuPYoGU66XirF/A5VbnPcsFZa5Jb1gL3LxBWdsPEIbClTtAs5mT
wTH3o9FyJS2zMHuKeZu81QsyPQ6G+RBrgw55a0GqiytdvUfJTdYlYYBwW9hCfvPbbvpRsXuNiRrE
rNV1RoUQxw8632FuqwBxPWLQIefoctuv2IyNJMvYRvWQ0WNA6ryI/jBQh8LxiYwtrPUc9ek9RAYy
JD6p5005GcY9m5PnzAxdrIIyeI6pTSOUbZf2sZe631hJSQi0ovXgZ+Xk5nOH7eSQZBNHbxk2O9By
cp3Fg/2s5THgJd/N+AYw2zq3bW6aZxgmcqvzhu4DH7iOW0T5kURPsXanMbxvva7Ca2LduXls3SlG
ZVpMTP0Q4HA8p3Nm7VIwDdG6szhjibAJQv9urd3NEJRi1+d+cmeNY3MOQTGkW7R1Jz/kadjdgo5Z
7BBcZ14dFAB4BwCC7Y2YCkMh9Jrda48Tw9vYowxfsVVjqSbU+Vi5WiQbm8WpvbPqIsOHYJAWWXHv
591Jj+2dnqbonswEsXEnnCabh9g4n7xmqL+1ylIvJDKns8rcRfsrBvXagsV74GFnoR7XZvTOB9jc
wTIqGKENODp8Zoondx7D24pi4X75PgU1WJV3Evzgv3w15CSfoDyzg2LePBZAf2LiaAUKj3TJhR24
rYsdMYA2gkRT2cUuHqkl2fStgx4UZqKu17NJCREbs5DAe9+68dZFfBZswaXxASmqfSooi1lUN5pg
KsIKFyrH+/cSChVQh2EqbsFM4Tb3VLeGBsCIM+GNvHityt5pW+GGRgVTkl/aIjJRIWuyYBsnonEN
RkYAtJJSVqJxZhFBexorSzJp8lamIFz4b4Hbc9EZ3ACGeOryVsVUU7d0gWcSW2hVTMRo1Wy9ta0h
w32nTA+AhdaA8EQYv4C7y6eHvGymficTIN1tI8MSg3mOwhmYqHQr0yX5t8lC3hyXzl7aZbOsRCYF
/j9z6GW+5qyaHvnMwJey0RrBr5JDbXj6E/hCZCSBfDN6tnzjseQ8KiDK0C0D/6ZgvfE0Tmj/TFPz
m55D1wDixeaMx2/SrRuyjuAua4V//nrn/7dE8k/KOhFPfZwU/708cvOz+cg+/qqNXP/Kn+5wHwwH
Bk6KrvBc/mkHXYydUBJNqmEXN6iLcvefdhXxm2t6uD3Z+nvUdjp/2kG934TEU8nXw0eKRgKc+19o
ChDqH+VD1Bf2zUyFGEawnSK0/EU+xF9n6DS10q0ddFt1VTP7UqFsMsP15yJhd0OOXNywTyoPuKi7
Y5k3KRAb9ty3JIK6N3nVTYtFQlVVQzUzOOXymF01Vt9LAdXWFGTtQmJeF/OqyQ5K6fjcOHX5KWen
v2mv+m1/1XL7Mu4HxnBgWlynMRFsO4OyrxWcqIRoLYM7eY0s/Coqx8kJ1HkKzdhOGqgS2XIAT8M4
Fjd6kZiZpVGbi0V4dmYzuJlbUIUnJl71Vi8SdbCI1W1k6Es5dwQAh5lyLwi04WmgemAJzkVUCHq0
757Eon4Dey1oxzRAUq3IH8rhxOITPDJRZCRztajnZqF7Z5deRfX6KrCnV7FdO6YLajKNxuASuS0L
XSeaGcnKq1DfXkV7nrpue4b4iJgvuIBka+o7Efmjq+DfX8X/eNkD1HRKnZni4nZrxlNzLq8rAzyK
VFer31cJy1aBZCILhuC6bOi6MevWRdwtITjfQLNRuko/U/ZJ1XG6Li6m6xJDLvsMM26TS7rsOPjN
yGcTPhqNfsF0F5STfy+ua5HYT5px2y7bEly3qE9oEmOwVyG1O0CCiA5L8FCvpM7ch3TZvLB6sONt
f13I5NflDOYQ1iM6UdmWEUK81csex7uudPR1veOh2/WcOG59wwWY/U+UQ6dIvJrBquosQx/luDiP
KL8baRfiX9g4ncmI0/e2/UhjeHlwwjp+aHMJ93igMvLTMiN6b4DWsfRLscTcJRAibnyaHTdhb6mf
kgNjKYtz2DASSYVL1Qazf2TLlkyb2olFsOldbfH/Wep77faE83NSIcCPZx+4gWI9LHfaFLNzmEaD
tMLUx8HiQkJlWMRx950FPegALOXtqfXmMd3IyisdlmCUVa/gu/W/lDVDAuZLFAH56QprE9lKTdu8
V/c7WnW9ZIfnI3jI2WyvRDWlmChGfjASrD50QCSeiuy5oLOnzlT61S8IyKOXG4gJgdM3G5UlJaUD
hCE9mnDsLn/y/Rjnjdt7abIi1icMsZiCk9eK4QNI9rgt+kZj7KK0FAuGqP0VpUbch12dHMzWTF4L
oSEGFtO8dWM5n0O/zW6maBC7ehRBjX6vXXRPWDPWYs0tXxtN7+bA0WyRhybSZ3dVwn0iL57CKNl2
WUsZURJY7XzMmwVZQY8YFiTy0OAnCmrWQvgqEheoEVc/bDAYZzFYpJXTivfJyRBBOr060qMsu56m
ARilzW493Q09JAAUgSHBZoU5BfuoUUePui/UjzQj5Lgxww46n56yYr7EaWZNa4uPTL/znUqZG+2F
I3BCyh5t76h8CsrY/7HkvDUMI3ntpo4sd213Dq2Ko5yIbziR6KkO7yYe88uyjjV8mKKgstSqP0pW
XLSwwq2j53CcyhoEIanLyuklMorDT7v6vw4OXbaHfb2lMLm6b8XQ7a2qSv+9//j5v/GjSotyhf/p
cL/9YPnx0XKl+csJ/8ff+5shFasn3lLO6cUb6WGY/MOQKgh8EOEywcvDmOds+tsJL8RvZM9N1iTA
2X1XKv7SH7sPsiBMBA7nsi2waVjev7T7YAWHt/UvG0IlaQlHZLdtD1cXi5a/HvGCYpGxE8ZIbXIl
hgMkNBoKB6LaqzmiYibt2Ft2Oc7WzegP80K4G2q2I6Fp3fgGjgSgFImHf4lA/LeccJh/xwdp+T+K
FkJyrSzAyLN9dEfJZatxg9FakTkAJcPVLKsenCaO3ww4BeETKFddPmAFydoNeeEOm6MseLI1hQrE
Rma6aeDlVL5HaFdBCVEDMHuUXsA7OBRzrrWTHeAzQY4N74sutH5xU5TbZFQCpDh1rMc6rY1HkUaG
uOsR1vONFWnpVKvYqtOLbip9hnODK9fJTHSYotGnriNVsmkcFgp3QT658QpSppk+eqn4xrp0svaw
4UaQJ66gNVQHakJliHgSgSuXyVkOttWuCYJFmG7SMWw2eGRkQvCE7kTpGZgwmqYDpzeJpbFXD0mc
XFqYdFvcTkhldWufwedN4W5uvSE7AO/W6akZqx5wSshNjtDDgvWZuLRhlU08+SAojIQ2b8oeXL8T
ESTxQgp/QwH8kkINq/GihxG36DsWsE+n6Rb9dEzLfoPPDzKZr9tuVfbKgwmVxW98NbULh7C5DxzD
K49OVmnEnCKbvZ2Cmv4I53oOb7mtcZ9SWS/9FQoDTGue9rQZa4xoYHRoPZhvZecyCIUu/EOqIrno
HRr0hTeixppS7ioMoNU3Iw58DLKtQEUWzn0xjhYMLS9oi7NndmW6GnxqDNjvVNbB6XxJSg7LjX80
mZ6qmxSKFdAmRf3OFmpogRzjdd2GpmY4duEs+HM32Fy4aOiMg92UpkN2NMFpTejfPjDgyK0gEcqw
Ghn9IiM7JKMtf8A1rl/yqIQTiPT4VbaBNZ5413FnM/HTNtuhYYQiSlL6MCHM/hhmLaoLARu2iRRf
UXdjQJI6UVBs/6h8qx8PsBU83Jtj2MKPoFtyWrNLLE+27kjsxbQTnjuoCw9N7N67Rape2paqxXUX
1AaRaCs6eVq7Ji6+vHrzisR6RJBtv4OaVkiAKXqs6CDv8E+LJ+CT2Efg6HXiOW7ok1qRfypJ95jV
9BQX9vyV0yt8izbUaFafZWRdGjLpNTW3qSAtBUV8IKEc5rd+4gO8GGWZ1hszGfL3zpjri080o940
bB9wX5s+PZEGMbfneooqzmCRw2PwQAl2yMWFc6bJJXI2VQh2CRqmEVo3PZXSLG/CXNJsZPUQOaJy
gl+W0One+SWFUu4kebdbxIpATE8CGDGQIngpZvBqzFmAvRRGXj6WxVdWUVaZNVG8CwM5vvkDH7u6
TTx3b9VN/j5lIZ8bmA7dJYQws5YyL28KMxueW2Dv0SqbMp4FwG/Ru6V93/gOSVHp28mhH0pMsLGF
NSGBkpAfarOWL1aetjiO9ELrFZG/nbsuCx6QHwiEuXgWg73PsnDXC3KhIxQAWpmgnZDINK2et0dW
P8dMh8dxdgl3yoyWy1Wk0Pll4KrsC8R1c7JReOw11ePza2+FxWeNyQ5DcmaP4T7ixKk2eepiqcj0
sJXkdu+imq7MQAqSsUNYZvqp0gDS15Gz9EdEOKpamtjz2jop0CmnQVVZTx8hVv5VO9P3hdlH4i+f
A96rawfr+9sABuyCEavEvhMb3ymldYsXL2kNJp6RDwqIHZ9lmlE6zsblGPQ+cwMRKuOhv3cazdsz
eptjw/yBEcXaeqJMtjJOGzzWEcUMraeQKHIoyaUV80+CWqwPSrYstdnq+Dz20c5OzGl+8VyOPXcY
Fn/zdpB18JhPBijuKeUVVUK7A1U+VqypCgeiYOJRkqveFABRlmCXcSNnkXwoVLrhEMZmn95KG8el
F/LIWYPOy7eViE065/umv6fPI3y2PB5zmyHETczzIgaYaTk170TfgTOI8czXLz6XuJnnlRUHq5ZX
Pt7OlVQP2VgbAoQ/MMR1zNapwnI68I0IJ6oe41qwSubZUEIWqWIFjp4rLDwMrBhs1fJY0WIqU3aP
bjzepF1sHngzz8axL6zwOI5lFcNd8v32IMBoBruudvxDAWPyS41+/cYsXj4YQ4dNdKSy+jOlwQA+
NCEXh/Oh98oN/0SXr4c+mY9WIdOUxW5GXDuO2Q6v8aQJufK85UXAPIQNKs2Te6ppJwaExrY/gPNx
0NGQXj1PpdfelmalJWXNY8riN+XRCtTGBszjhvndiI7LNjEaXvVU+hAUGcx3poE7MMlNT5M77Nvh
NqX9+3mYTa/ZaDy/CUNwU1cHqOTeT1fL6UBuwboLAPCg0hlUhoE5SHW9KvD+ldzxqUSw4jEKLrDW
xukgIR3595On0JkN7Ua3ht3478qZnIcETlBtJ2wC3C5/RKuNb6xk7qJNUFjx3uYhtyEGahySOKOK
sx9/JFU2rOOKZ6Yw29T+7jS5x9pezN5bh6L/q62QhyM5lh+pMVvRGgtoejRH1kI8YxD64jB5osy9
X2e6TzDVNnmyHmAhPhp14dIz6JpiP9jctvJQRYu5Ayy6FS5QClyyq37GFriSXEdRmB1Wu24wn4x6
DrggEpN7lFhM0u8RJQxntdjJVUkVxMilGHsJmOtVVGkbWiDfNDhlKmpXniW6fReF+sZAv5VrEyTp
lta6yd2Cs3HvBnpXPvFOhl+YO6P3qJ2eDYuDlfabkC0mEVDsHWMlaSLH1cro4WJYa3gWLdwNalyP
uFHUj9qIKnNPxbEwTkOSHC2JcxMtxHsgRgEEA+X5eQnZfKeQoy3v7KQefinPLTSzQSryi+qwLVLZ
og21c8ScgoTyYJ+Zli4tgOTp+CMUof+lZREPr2Wgi3ivSqv8qh3bbB5Q5GnLEwny2Unm3NjOsU9+
dBWGfj+t5BBUX3YIqI3xRkTDMTAzqTidU7anmVXm/qko7OGpNj1u5Lj98ifttywe6DzJ50e7qR8H
METlyWlQoVe2r6cHrm8F7MY5urW6MT7EztSa62hsoJ5EHFld1uXV2pXRWK5FHfAxYRDv7uO5iY45
IsepSIz4EPjavphSRpoGI11uu3HscZCQo/JxjXOWM4N8NdIeX5zCjXDha7Fxy5DiOaP0Xg2jCKYV
tDqPXnYIDMUHXm+f2BCj0TO7UPnVs/PEG07dy6XH6vLaj5laJ6j+1slOpwxTDQyydVaH1hv2GusV
LJBx13YObNhsCOUGWU/lewdmc7Y1lzL7caoq4rqY3j85ILMNR5aXrg3PsN+6oP0QTc02aBwyBOdQ
pNWvKq3rNyt2CE9bfsQ+xwlQDdZGPBWvpEDCZ42vGICXohrSZF58wgc4UljEplV8w1JUr+kVz/Rn
J2GxSwOLkRXEW2Ca0we4JYXhO3pKUgGiSNg8+bvRsf0TeTtf0c5rDfM5tegs3uVZ0Sd3cQnRZ+Nr
A6S3ITEpH0RF2fCOP+Uuzzx3IH9sFV64i+u+2rVubY83PXbl5xbkubOORSie4iS1Yhw/HOXRlFaP
zUSbMu/9GSbYLCzqkzjmN8Xc9/eYTuTab23kEXJlO0HjIWQM+VOSjW/XVcEuKmq8xDm2STtFb3ld
RQORLBZqK7qCFoaDbVq3lV3391KPG5L41WrE5LCtVTSezNyH0oxpZT20QFp7TZVK385gJaPMBQ1k
R46DN8jvHjX9kvsQ9MW3itcWXuBC9MVTk5bAtH0D91QOmAgSdIRmhaplvKPI9sYJbCQm/97O3Rdt
D2gdEDgt9iLNUH6ameeOq4CD9i6Uy+WsdFtAOq1Ph0A8jUG2K1ED+RU68zvLdf1d8F2oTaIjkwIJ
Xu9qI9m37qXdjN8Bf3TYw61UXuLINp8ZcHnCJvPAsN430Smwy5EIWz3tFMjpIy1kc3wY/FLecmnw
glOdVOJHQoPFhtA4tWIMGbO7jsCRNFdQ5fdRLB54UUgp+C0G2zyrcZf7/Ma6FaDDNNnyYbagO87p
8IOPrzq3aUaqIrJMTnd0XdrIabCuNkOUoeRhAlrRiJ1fhMkwtA1qM7ZOrR8FpJ+L1oTGGRsJtyqu
N2rNJXfe+zIV352OA2w9dz33V+Q3GSIEIsZxUfLV9EJCE/IPRgU/2VEfFn0NdePQJtFb7/lYIMVF
TnNIKx7zM+UT8cqZFM8akCdbdsjpJne8MFkJasGLNel6qjJyodrv0qBWIHQHZ68IPL02MaB5sJXV
sqVPgLYSqCrbU10KBMkWWADNDSHtvQt9n1SMDsE8DyJkrnGiYrx4leez7e1i/yvGXflkU3AS+T7g
JCdRWPYKei7yanZ30A3MPXw/7wQUSa88yYq/GuPq3h1qc1M1ijQsZ3OGrw5TzCPee2tlNz0k+LiI
28+ki1S3A+rQNQe3K8AIWlH3VXXzcBmbpKQfTpjoak4JeWwlxsn8kB0ZdZBs1i+ZyvmRWAKZSLrj
zrKP1ENShaw9o0DflgN4XNd3CIfDXZtoucMYKdVn2zPw4CgGjiAKOHsRtyRRm/s2IS+qB2W/zXNE
rw1ThMgRZXsVf2Eoz48tdaiQYD1e74QJmcjGncyN6pQ74AGyoazuPY7hXdw14XdmCtoQePipJ5l+
mIIayJj3EYN+QeUNxVVbdpLOMS3M6glOvLmnGqRZ8+DclGVr7624cL/6jNqCgCb5o12lh7nwMEWp
Pk02uOOLXcKC+6nBC0QhkWf+8BtZ3OB60h99UwUbGaR5vvO7yRwPGZixcMtDUn/OCPBgY1OrXreB
453o4mHoqgU/+5oAV/3hpMojdaJqh2ZOuznAZbW2qbJpzkjgS1bBxHV/qNJ77dnTHd4nEJwO/Uhn
PQ5MhZ7u5p9T0iIkp0yQZINy73nC4HueBNXwioYo7sQZ5bxVam4Ek/zPzBibfYPuuhwm32q/7S2W
mU5/2yoeop1KymRdsdYI9nnp00BsTfs6o9EeGDHpG7tC/EhV1b0w7tYIFCRU1uP1zjFW4abG0/jL
g7pwdDCSPeopmd/pxlCPRTnRG2BGdA/VQkKMLEwKVWICBiQsor1TZkctwmofZZa69Km0+IFGDzqh
UxYMO0Yud3ZfUgnkds55yLif9q6sv2kg0K41FSnZW9d5zHzZHVgMjw+ZKRGOMDZiYyrSb3Vmm98C
M6/I1DbNnba1tUU/F4CMF/ms1ayhqd9honHu6ZCDmODG8anC3FVjHDnYo3sHc0SvZe3Km8kRFoOU
P+N4snGoCUi4xI9YsUFd3Q4cxrRymYx3KszPPKiSLR8Z760gd8yioGFZj/mDlLIVPpPW8wdqI4fx
WdGmtSPYyuqk9nvn4hGXVaswUdOtzjCQ8cTFNGjTljl1YX0C0FyJm9FKKhLoTnmcgqh9NzCtPjuq
pnJlrOf2ZR58pr0wtXGlJObezVOT3+qMoUDx+2+KsNu6bZaEp3rUjCE60uRl4bjsKQZ1f4xF9qFY
v63H0kIv6Ob85zC5wZ7nQ/nISk8zDgXGXWbXHkAS/dYlHKw9vcubEK5VuXdGZ1gnGaSqMnPvKloi
adTkOgAkGhvi4lp24hvaooqjazbeT7Oz742Asbtlk8NAFkz3SlIUPCLor+F7GKtFOElGo9xHY9Id
1TijTU3lrF6VyJ136hHWFJZwkoREpd26w5bEfWNrEA+L74LRmX7MZL9ecNmZv3TTG9wHfOe+n8ld
K2fu7iqD3c5tNLCb5GthtZizz9qxRLs17HY8MHpPeKuS/D5tHXGoBwDpjZlTDmOmCzh+gjXqdbT0
UOkbMUnNTigYh2ljxueMiZsiEt0/mHZOiNRhTRpl//YM/K/WCr8T4uz/MVVx+zOM8A1Mf9kr/PkX
f18t+PgAHLY+yxZB2Czo/2Ye8HyAUTw2wceBkfv9v/wnWk79ZioXfhzFwzyX2Ur8bbVA4oJFPzhz
4eD944Lk/kvmAfsfOnSxLpgS1w5gJ/IbbDH+oc65h1npka5Xh4bTJzyIOlXjyiN52nAFiKOvMQUr
SuaSRJxjqx7e9kQ3pSLGOu9CP7Bf6C3Nj1wpob9VOLHGVR4byMyO7sZ6nxuR/eK3YF0Drc1LbhgO
8R+nUPbapYcSGLKUCQvasuQ0MCcP6qkJgPM4tXmxdpwwCrde0IXPrePiShoMNuB9bxnPyLP1jde7
/bdKUpVRJMSMyU6lFAh4j+YMB3qwzTs6GAaUr4pFB0H85hMxryLbwbaxXvPDhmdq6/wOkLk1n52o
rSg5kBEe5T7zeFrBRnV7OkBrEYsDBy0tus5sA+OcuInI2l9Tp0UuOc8m9aAj23+GNOHttcXnvfIy
f03GFTO5T1Ms4YSKNKMPmjRSawGpoHodSk/TTsAGEXNFWz5avlEtR2o85dtSeLZ5FgLq54lA+/BQ
D9jD1mFRyvBc4wDQ+wAuJ/c7nYXIGEU9hpuWbslqExo0VfEAS2BWhdaERT4bfMN6mEGdTZcm9FTx
wJaLHqzZxGB/SKFFBceoItJ77E1O6lMwEI/ZlKxuB5bwPMR20B6ybwOOMOfBy4kk7KwZnwwZYgHh
GnB1yh2bNAWLbYzpe7ej+Z64bOiy8879fdH01itIApLsoRmG1NC3v7h23PSGru8FA9EZGxZgW9s0
DsboDd9c1WDQNYN7PSK6MEAg0nQjPXI2nUMgJOIHK05NFhvovGUWJOOqdky9p52n/bLzwT2Uwoji
fTzMsUX9Gro3s4X37LgAq6HvlWraIK55TxlG7LMOMKFLIhmbuO2ypy6d6k0P0RafYxHBobLLE7aP
fGO0pO3N2DtxYvrbabbm5wCpGZdy6ZwUDA08HoCiCsu8LLyMtGzbRVTCg2Op9oKEHuw0eeV81dlA
RTF9Qi4ty8gFWAbxJdyjmWVnBzfLhq/VbKY8ywmCSpodrUTGz7xb+xuAzFaypmeCSsPJj5PjFBIO
J37Rb3KMD3RA4jEP4bNffC8Y3nFcGqAWS3bwqGHjxP1Fj6O5mg2tN00T0XmRu69jHNNcN0HIhRO5
xdg9v+YAB74cwXzQeG71BC++3btRn/C6J9NeJWH97vqdPMKO6W8pMvtZ9n1F9JoYxNYbg+6QLn5O
KsCN9FtFAOlJl5OVrq0odb9XU2fheUGiOOqMDtoRCWUTi8reKhzSW2fAH2HWTb2ffVevmxFyfk5N
8y5j1ljLJswO1Ixyme4ASlNFcascs2cIaxHk2zC7R7usT22VFCdWG/4ltOvgQ+oh6H4vOf+3le6f
WOkWKhMnyH9vpXuK0zTO/95K98df+WPR7v22wFvwv6EOkTBcDHO/L9o9IE5gBoVpWS7E/T+NdML7
zcL1T+6QaKLjCPdPI51wAT/5wvQQi/6gMf4LRrrFxvd3S3YOWWnzXQmOYyVhMDns8/8+hhvQmMY6
UoiDHCLjNDeae0QZ39LNVp3cUWPjqnF4SvTQLava8SXWaXgqLESX2kSfttCOuOkO3mdCAQzJpcp9
LLBJHUuj6m5zd/xntKjlaP4ztvtfv19emL//fh0DSSGm2+5A/lsfJrlg2QVOWlUEG7Ni4YzLx7z1
czPY/92v9P73f+L/UJFzX8ZF1/6//7DlP3up/sFyWCm5SF7gi+KQMop57JK7NK293VyPJXWhBkWv
PsN1bzXYc2mtGTGS8Sj38w3h03CdVIgj00xtBs89nuJ+TY1VE12EL/ojKp+1UfZ4yewgvA26flrH
LiUiDPXmoZ3jpWx522TxS5qYkAG62gAQS8vn8C2NyYeCGeRgKQlh7Ikz9U8MAuE5bVlAgMOIt1kl
8lPum+UtmdH4tilm/Q5Nn/2zUZVnlock2/K53jXcgczicxoi85hRrm10hFUogxpomLXMF0wQ49Ed
Cr3PbKL0wRjGO2Acn0nDUoHDQzCZxDj5CUhibS8LFqnY2LYN+xGYR8mLo4JLP+kHtLDmyFWR69g3
2Rb+TZcl+YnEyRuxIWPvYNZqJon1IFLQeljiw5KIF/o+lsmJTYQDytvWVbYaPPejy6HNwxAoVsJP
TvbAeSeG6cKV1dm1ddptezOw14xk3anCY7kLeiwbQfb/2TuX5riNbUv/lRs9xwkACSSAjuhBV6He
rCJZpChKEwQpSng/M/H89f2Vfe45ltptx+3x9UBhOSSDqAIyd+691rfSC9R6sZ06c894+7lwpmO0
oPKPO849jbkiNpx0jvYorQgskjDbbZY7E/Nh8rdTJgokRBPzbI9EY1QIm9mjzRpYMEceFJ847ztp
fh2hc29kPNLmcS0975MyfRz7QBx5a1bEFJ2iOSB3gsHrtkmm52kwhsepnHQ4lfhIG9mjJx2bvZnA
+qqmccOQPFh1Ad8JUdTJfUDcwWYQAiNJ4mwIPLEgcsqIPrs0dzpNooODRm/NYDPZtAAyyIqGgAxB
ikJxEsuzMbXHNo83Rj0MawbSBwibtCeTtNikmqeZRrWxhSlar3of5bfI+/k0xgDMUbET7olTz/Eq
PA7Ityncd22LMiPxn01yKJWk92wXfJYuMpYVJfJeCmJ38hbaYeWhXMdlt7KKvkHWGa36IXD36Gy9
VemgxXRfqkqReyRmeA0uFaoo+iwkTs9fRwUJ41WLFNLzM/op49Uipv5kxNAP5TiN8M/HflU32jvN
dZM/ZQJ5/+x5u2l0nvLanQBdkINB3Ai2GPrt0p9sIFOeTf4iWcE6M6dwNuydMXY7qgFj48j42iPW
WAHIOsVufmhL/5r6CEfbeXpmrHJyGXtqnTCjspo9gdnhbeA7qZelaO+9ljrEM/trQrX5iXMGWQNe
wBi1f8tp8t5UG+cuhxFUVs/K6Db2FGwBon2jxb8hpToPCw/iZ2uT9YBK9oKKItlZeP7SrH1Mx+Bo
dNY9rPhjxkj0jKABAWQ0zx4iA/IYaHLU6p0QMZfPvTKfJkUsgl3YVwPQzBYjp8m7PUzfaJ7SUSKc
jHTGSQRvODf5PbfF/F+RT0YzaF6PaFNXEQEU9LfJVieMo1hPraj2XZNWBzsHddP0igjlMqdijgDS
0Fsi6dBs+31hxMlRsC6GIFY+gQHD6huQFDKbY//cBehCF+0YRNEb5m5MLLUvCkZ/GLg98478Q/MQ
tH13baFePoy9aPYpADWaHhl/MGNWPSwC10vRmXeSRnIzz8fOJuTclfkzhlgNNkOzP+TOC5LHZNNh
MmYCHpPwC5BjY9hNd7FJb1ybPpFy2sGpandoIBn4LgxLVQpujdNWZnQmWbrMIDyTxn9QK/e1rIwj
k0/WO1je5eJn+2r0s9D25LJHd7rA4a9/eDGBMjrVOxfd3NoYbmPtIP0ijM7Z0PZ59FJRUSbixIJD
iCd9gChF3IlFRAFpZkvnXv96H6Oo+HUDhctsQ48VFtYV7xeuumU4iWXkxADUQf1ITrPcl2SL9gSp
/A1x8RfCx29b9U9X+qW0yPWEx8WOxZ4+krt3ouC7xYkJByaKDZRD75KD0GpyHQv2Gitv4411+Nf3
Kn6WEP7+I0iLGofukjBpLPxcLfg18Q2VWqw9q5XXkApkGyS7Yqj3C88LDar1EJ9w/qSXhgqexuIl
uq0kCZzGk5lF7SkYNRoFVb/KNOsec5TKYZ50rPIxsbgX11uITrZMuOlDEcNf1zdh16Q23TKzCFbm
sWNeu2cY/aOCAbwytKqZTZXMm1laYn3zZ/yr7PyTGuXPvts/3u6tgvkDUyVzCmJRc9faQ82Nrqqb
xHoG5heWPuPev77UTXz5Sx2GK4SBq8kvuJl+EWdajMpKjXx7n/YehJ8CB4PrfBX+WKFJbF7/+mK/
sDv/+T3+4Wq/wFoMIiWHqc7svZsOD0vvis9wD/pDNsYfVgqcuZW5fuiBMx8xNC97bZAcxGyXhDKJ
wS3I+n3GNwlMgJBg2U7bTPUaWBCLWzz1ZZimfIW5y3gm0ZmL862uHsyMw2KTd9O6mMivRB0EmhkA
8XQrStpbeeJQp/z1ff7cl/rtNqn4LXk78/rc7u1x/sP3l5ejNA32kT1jjHidAymCHWHnlG7SeEgH
wy5wjNHw+eur/tmL+tNlf6mpbV2zuNWj2KN25dXo3A8vt9iZuyhfpZ1pHKt5ukSG6h6KW5Xjjczy
/j9+BBYlGnJ4jnziHn6+88K0JtXga9yLFOcOhvkwddWZGTmhUtol3KWR96iYqTfBArDqt9u//gH+
5HEO/nj9X96c/qalAIjt7HXRfxUqnUB1R+JYtogEEQPe/fXVbieFX14e7hR9rmdaONvdX+42wYLO
TJMoUleo7M6iSQJ4DB/TX1/lT1aDn67yyz0h1hUDE0RnX2pmM0xErNVtjKVL2fzN1/dnV7rdinnj
5bs3b9dPz63VBH1Fdpi5X+h4rkaflC8ZHNhn/uaO/vRJ/eOFflkHOH/0Oio6h92k8b6no77PyEnZ
oeyKVilzvyc0eZLZ0K08bm+Fst3o5vzXH+ufHJkd5PI2ryjyeRhWv+xrUTKNLSG3Yk/uerNfxm54
bmwHJgWhyfsGIQzhXHmINJlB7QCoHJY/gTstyi2vxENKMM6mqcmgu1UX1SmPy8+yE8WDldovGWnC
vw8zvk3/M/5e/8meIP7vh40U+MANaJ/efmL3l8fAsIactNCOH412WjUzNrUSM93VS4Fq2FjOUyCn
TdMTJAtucxWPKW1bcTOGT3DzXbcqNkPJctoNUMdKUnuYbYdlw5lGETO04hDxo2lglZHnTAknnJPF
/HyFeoLjGVq3NZHaUIngXYa6ieC6F99RM+L2GdsSmdfg3Cmlfi9x/rtR9XeNKrIRWUr+VTGEb/rt
P36f/Fzeyu//63980vqt+4+H7u3ju0p+6lf9/jf/2a/C4Hl7mclgI/gCcTlPzD+NIfSeYITTNkem
68NBYYP65/RGmP+gU3VL6BDYPzw0TP+e3oh/YOTg2Mdsx/ktNOi/Mr35eY/0IHVRuzoe4Rwm6GXr
t5LvD3ukRj4mu94ddk2mg6eR1vR9VWecbkWQdu9GsOSn0Qza5u82SZJtflq1b1d28LtYNAO5cUkN
/fMqRyQQkx53GHbS6aNt2gm3eSvtWxJrOliwfvrGypN12o39awGEedkgSG/yte9BD1kzjzXlziwa
IDCK15241gg/JsFvhL5ac6xJ2hXk4v3GKsh/4xaMNkaPdcvoR6+sUQtaILU/vwsUpkJDZdjZQGm+
lIQ1v821HbwACysTNHDD8MgMBPUSmJ70lCaANlZ+EyFjGCxaNBU5vlustUPol+XJSet0N8ZbckHk
Wi3Ve4b7LNEEdy5IF0MV1eguO+tOcSZ6DPrc+wwoud2xQGR3THisCgG3I5HWxzL6ZAxFmm2I2WCM
7pMCifbvu1e7TLlAcUXAlw/anjJStZMHQkG97TCVCzSLGnmeVb3QlCeXsrkN4UaAjr7B+hnY17lE
LuRmxQ0JWaN9CIRzXzVj6E+1s6bqj2lOEcgxdq27rRoy+4wbthZLL1yKyX6DnQ2IOXBAMEOTSnCk
x6LbVai/sNWQxYpOC21CsEPuo9bKXQCpJcDQ7EiNGG/69g4fGyGCBG6sooLsafoEZVh3Tr+24Jmt
mRNYaz2m3ib3hQihiyFkdZlJoMslSzYV7sGBS78yBrvdWF3fk26nbu0rtLMLDPZ171Y2SaYZkySa
S8CDc7kL3CIKOUOkO3YXlBA2+cRYKuICYZzhfDTWEO97BlqhZ0jjAj6jOlh1m17npcBhXzmFA7Oq
TzHuT4w6Vzd3R7Z2/aSMQ8f3HM4wvrwdM4Wj3maPdLl1swi+9xRN2pe4d/yzN6fWO9r68kN7c+at
fYppQTQL47u4zu9MxAMMDjszvWR20B40gNPYdIxjKZrmmCxl/bmk4cxnDQjFIM8TTgDqipG5Exo0
eBCmWUu5TmNZP5QFYzY8kS6wZhwcVWiXtntxUHbf2KR0twpVWrvJaooSoHriP5Wu0bVIDSnBW1kt
NhEqFtq8BZ3n2ewEQlXVzsOjjdxh68TJTKxI3MCFwhnhfQHqxRQqsvFFI5Gje9B6RnSdR988cErH
yUJQdgnws7YPuQV7naGcH++B/DrPNYao6KYDTSHa+X1WrgS+MJgnWBXuRVkPL0Hc4mjxmeI8MVG2
xSk2nG7c+O6I0GQetfW9bhsQ5aRsvxCp0vY7XVoOZ8MxCraOsOduJVQrUMsA2DCuqHFHFDAtkGP8
lvQlXLsT66o1c1woBT6t3k4r9PGtceoaEwg7/4g1adHetceFS8tupltZLMZ95MwfMs7fVZncWQOp
gqbhbHsIEqtysIv9kATiXjK5C8nkucPfhlUJEs1doBGGLNYtCcCExVYuBgnXTXup5KIe2sz8SHJG
cF3dlVTpHIDBoTTnyvPyrU3k5daby2Ybl176QHtD3wAvPlrVyd5onODvi+yG7Vwa8oLhPU7poEbj
XQQj40dZcgonS8YGG4QtJeEB9mmWLRWJCqtudq13LxvTY2H3xSnwPDpgqA9XrrLIhrVw98nvLcO3
Il159ezgCDAIgpyMV11Ci9EK1xtn6E95Qp9MwTF6DECEtitsV36oOV8e8cd+R9HK+qFqx4G/iiwt
wHh9HjB5uE5+g7hNRgypJU4BlxJnaZgWbmFX9GLNOSq6esQgi+fBQLm4MudcH/IYBLMmhfqiiJbL
N0ndkmKV6hnOGYreGZCJBTds8niyMOWzWsTvPiEJoVG5/l741F+WS9BMQTIAsU22DTulTmg9mgYx
Q6DjgbybBxx4lyFy1HqMo31f2CU+ffeoi8Q7N7ZMjgy2f7A7pZeqRoJddHj90OUtrjpAGJrWlGd0
g7tlMWeOIzQ4QmNuuw/mCyg1sT4QKi4rFa1skrfAsnUGU2jfHeLzlAzXlLnsZ53CuS0wDX+/RfTu
5lRMqKN5YXYuLN5h3zQycyB4Df4Fcnn54vE9YTuwmIsUUYUUXDoPamqj97koLOdJtSXLrF6qRIe1
JqaA06jskBFSHaBRtOJuQ6bCQk4GQJasN98bJg1bt1QLWVnWcPLSIJy66tWYGNUifFc27V/cEt5v
aklrl5a3VhA9ct9ibJTq5zG3HeyfTJ8vIJZGjCWk99DIZLYy+xWhRjD9E+DfIWdV46HQTnSZjPGW
eIDj3Xe2pkKEgXXFCiHazZs4Bt/jAb3zne6UtexMboc6giwIbiE5B4P50XoT4xabwbCiLUn5Ph/S
Bf0qZbW9N5AjE4QVGaFtF3foKya46Z2784kCX0cxnv4lifmSk8k5ZW78Egvm9a0eeQCikeU5FoCQ
tKPIFTKW5IoTG/4+cbdIVTY0/qwtLDD7LiHyOiwMba1MziYf5BzpddQPQNqUTxiSgQELgGK+nlVr
r2IFyKnxcNTxDY0bakFBmBiMxGFaPkXFwAdZ1s2mlHywRVtF59of6l2kmk+jyxgDgUG314Hb30oN
xkMSL0JNT2DHCuTTXm+QvuQdLCkEFqFLjuseZYCDzCB4UMbM61vazj1mVSR2GBnXdjdMzs7IZbrJ
aYOjRb3JMphi8MKnjnuiXFBfbvYlLCeB66I9T9WDTJtgk1la+Zu6isYvgWcWVw9Q1gnyZf5DTa48
GGw5B5z542eEbzJkAFAP29E1a6x5U48uzzOjHyYojD32HX9NhoXdhGyz0Y4UBoiHdWpBPjJwIK7z
eDCPkq7ibrIz8RZYXXs3YFS4JxKFc/9Nv57yedvyGAclvs1hYBYW2336FAeWezL9wXqGyBV9LyA6
DKum8sud38VpzsJkARrTpnuM+ahJoZqyYBMLIz3yqjChBPM+ILIgbXVXkvjzIhw/WJG1SfBsOYNU
TWx4JESwkYDGcd2r+RIqNHm+bzzTws72aaII1J2yZVeZ8/DquLo89S1UKGKyZHKZGdJsbYXC56hN
Mw9AgzBUyrN5/t5nsuQ19fP82qHLvAZJ3SDeS7ESUdr2pHPY3jbDcfLiz7V5iZKqOiZwoHezPbSY
eAE0II7tZPyaOi2mntIsTu5kTM/DWDr7AXvNowF7gWpSRg9C1f65sHyS6irfezUKRtht3NavhHIR
o2UxftLxBRODvCPXBUVka7gD8vEcE84qTUxFKCgHUmkv6Z1jCshgXtehTUGTCkUrnTi6c7JY9Woy
C5w4kocpR4J5iQLioyFStcwbKwrGctZXifH04DX8BJVfWZ8EVi8kL50mJSEa0TIvBv6fB7YI9jes
rMPMAkZoQKkIBCLYS0GzqoKtFBVJL9Jp8YJjyfaK4C1LG4tZBYqS1AeFag+Z3LaYMT4oWlBmoiNO
wUQWCK37aa52pTt2h6Yd1Bde2uVqBKS2L+5U7fKOi/iGCaTXg4DqlnUM/EPEDzWYxsuoENC+1cKe
2kfyUtriyZDgtDi5L1nESYQD3jqy4gxoTdVN0dqxB5NdtifYZyX9gdFtU2fX0hnjZ9hV6Y/FyG2c
pjKuNxhl4l3fmeoRyYz1pa8D57mfRjqac2cHrzdH2bLJUhDgMfq5j2lElWVIR7y1jo0WymvTlK+j
kdPVpED93ol6OYLRhU9RplN7nTuLtWLBok/BpixWNVe35A5OOUt2p0T/mem9+QbX12EMbcru2Qdh
oyHDtI7YLBlw9o2lENTFZYZrWswZFhCgZSS2lrFHDmBvzemhsXgIwz42ooy6XXX00maJ7Bm+5xGP
n2+FNfvhqbbAZhIT1zaXGDZWEo6GsM+M7D2L993D0FUPTUx0Xi++FMuY7CrIgy8NOoA3myMR9LCm
vXau8wifNIwnoAON8v2TnmNsGzyHqyKQ5hu85fEryNrscCMjvGBFMV6tpgauK4PZ+SKxuBwHPc7b
IfDre3sR8jF2fFTnVjxFe+cmfEKCdqCiTu4m2xn3LXyffc9H+IZHciD+ypAPTtJ025L4RUi33n3q
ZTO6SNsKQcJk1wq30xmoSI/NIdCYZtBlIxb3W2QYXjFHp7oDy+AgYzzHif+1j5MPQH7TY9+Yt4S8
titZrW3Sa5Ucgh+932CI6ct069gyZqRv4wXxg/4zpJ14UxiV/pwVMUbISYpz1WN1SwunfMwhmcUO
U2lafcG1pZx9AJSASTxNm+8OESfsoKO9Z6Asn5Fxa1IggRhYix5fcgsvsjLy5IKnIHuoaZJhJcVH
tSmtRt9NkYNmzIibA/rz5HGgARCKJq2bFalMzUPPmfQdbLFDOl+lt/MtWVj5dXc/uGN+qL32c29O
KWN0H2fPOi1Fv5kQS667Ebl83uuFkJkCMuoELTcvsCzMOrNfh6S2zyQf5CdsN8Fr6rXR1yhlzXdj
6jS21eFKssL8NaUWu4CSWDYLneNzT/TTk6bKy0Efms52MRrjKJj/nwkHdD4NivXea+r+KwxncNaL
Tt9mIptcIgA4UlvV4JHYzWGNnh1vV8quEiZD6q8WrPUbf7zpz2fOWFAstkuTZGesiNFL4bvq6JKg
8ILVjwNqIktOgkMV+sB9sGIK64EQWvsYecMYGgOBSnjz7HNilNUP3GJQr1Kzsp996smLWbLnwQCK
xAcx4JywUKF2JzNWeHzwfMd7gwfN2gCtNhC/67z/3CPuiMPacJrPempg+/jBZD3l7tw8e52t3jIi
2fHT5n1bAQhpq1eliuht1Oat8xqzvpyAr8oHghLilwWwrbwjDh2TbwkMqUPt4UdvsR45XyE3Ee+D
rORLbZcLYfRe/TaNDEgwJHmfa0mTxi11fRdTqd0AsXPGD5SRTFL5xTYdPOeKzNXaWLJz93yS6r6z
MBdj49JvfdkPJ2tob6mffrRRdVrsaWPP2wXB1Z3yWTDqWzpp5zH6iPPSuLpAq9eYlKOVRW4kSzyz
1BrAQF21croETNrdvSEX+HzVDRmOPcp6IcGKUPsG+/+PAWH0NujMeTNnsIUgRqHowBQ1wzHmDBnG
EUFXUA8NJpyadGownREHajtRTrmlCujuZpLjv9gBVlkvq3iAUvQItH9Q895c1xONoLh6ccr2h8pT
/AytN1dvSxfNP2pq0EPiGixDxGKEMLHq0MXJt5NT+p7HNLYsKBr4q96wV84hAhZzPWot1mOSmbdi
7IVFpj7OHeThaLR3mBOMU5xpVCcxfII+gKRoyPou7xusz71/1aly7snZKu/AgaBPEA5GBLif+cHV
VXXCpisP8B95HAyafsel7Poa+Yu4bVPlFgR2i3CLiRvoW940omMniDTnNJ6TkKZHt7OCyHxPeHze
G2TYC8ahGptVUrQnmZjueeAEtZWF0Fc4BQ9ID6wde/N4zSOjqlZQOrs1HFO0VEbgrBDddveubd7f
ekJfTBk5xIw1I4PH3Kiyeyq7Etc269U5QT1Pt0u5SYzcxiFQKOPgufKmxaH/tuhQTEnxYhZeIVfB
2MlHSoMCam+SR/d2lporPXpqrx1E2Vkh0lAoCLF+NPNeFlEAjY4MGxDDmmjelJzYk9PRSwSFaUef
2xgyluoa9SWbhXnO6h7PsIRZA3VrcB9F2rfnlqut67aNHjAmirPZGLCso6D2Tj3C/72o8wxa56xO
eMeaU+qk/lVaRbOtGH3GoV3xns5q0Pc01xThuEJR0vj4bTbtYCABXpwm28TO/C2AbxBq1AVrIuPM
D2OJ88MQLdGTZGXCAN6TSdM2iw0Q08+3cdaTAuCay/1N0bFLiGltERmX/nnKdfO4GJPJo4dHcpeg
Jd/LelzecHV5x8Ztsk/SbVkFp1q19BvBsAF4ZdfnpSYzCxvEi0xmXL+mOVBzec5eKDYzjQo/htvK
cc/ykZoYn3w9EKsyk0xgzSXhdCaaLxBAxfToRTbxfLNvHHQhm6NRm+TsGVX71WSmFRroMUNF2DqL
sdpzXN/lVtneD4RDbbvcp6u4TGyk/BZotOOXd8Q5j1sEeo0XVkmGgXDGTrBxRMI7jtQrWeOUi3Z9
3naEKYDOvgC/Vy8ScugL4/sYZ9cMcoTOFVEBg8xQvBRk1K8cJkPPuaIY3zKbneYQuklWbY2CXt5p
SBKblmxTg2IvaX70qySPjc8IY9TRx61G75kimgSqJBuuy5x06an2ZPoE1h6oH/Jmmr0L5o8xzNq0
/5F55bJb+lF+ze1FXv0pqK2tR65Ou8kyKYutK2rWrayFHAejVNr9umcAdlXIaWHaBSnkjdwPms89
NOr3wTDnZR1Af3cOk+rg3Sy0+p8hvlWvrYjGnZFV7T0Mj5TEabdVjwOZbbTbILo8NCONODE4WCJy
/QWMBywZX6FQB3X51ahFsiVZkPgd4Ymj8u3yJVMZrtzKn7A6ywRhZWUVNFL0gU9h2SizmS4yvSkz
XQQ4T1oPU2hG8/JM+9I9+gD0H8QsaTFko9/cxf1iKNSewv+ga4B6L67sAI9ex+jAmCbDCQ0Pqjg9
ZGgf6Bin19SXbBC0UOezLh1v0yePWDr7PsQyGzznOqqAlOOyymVH6nPhTefIZifYK7aZcpUSPvQO
EROZSoJDF3BTTQzTiq4zoq5GiGnVAJkLwtSbcWNpQac2HGq/ykNBMOaWbcR+KJxAP4rZXj7TOB8f
DdlXsDesAqOAo3ZaNeKTwDp2LxrtbFLfGE182PYcqsKFMNVDq9+AhJBfdZMnX9JJFifNDPOhM2zo
PiUwC+fU+vhp+QqQI6wS/EaXOaXKWmvPGF7nRUva/xTX28Sdsh3Q9ul+wudDZBvwEkDifBCPNYBi
g/w6O/6IrIRAudSxrCdwJrgg0tIsn6BOkFhiRBygA7m4bKfKXcOr5yA1lcK9dLWlrqRLmld7FNX9
bLgV8fBR2n5ZJj+9yCUD9ji0vjybAGlo41Qqq/apbq1PMgnsU9oGBHOWbQr/UIHguMWgkHkGeSj6
lubl8tYEvDybMaFgWw1mO0bhsCQVvBbBMW7phuIzTxvCzapI2Qnoek732Lqjb6OBODOxeYlciz/k
ecI+CEsvZ9OG7JEkkbmL21KdWNvZgFRgfiin75IwgPm8Q+1pfJLQCR/JAvaOJDG0d86oB6ShSf9D
9c6NaBGwdo7+Tb7cAoP4LrOoDLuiBzgwFtlaS0RQlbN4R+QPZTh4dfHkTIML3pAYiyWf+48qA/mw
XuTs7JrCrPaZ403UaHHZvlkNzsNN3Hv1lSMS3e+mUp/yQfiPBL8VxKB53tNid/zSsQ6pGJR0jLOW
I140M+5IPWXgDTbHTc9n+ET8of7GDlT65JWMwbOxWCJaV2Vnp5taJQ895NIrkWQu0wPWFvANvUOW
rKn1A5ktxamx+EtWRFoqkZreg5wqugnmXPZfESzC2zStwT6DilHbyONUsoqrsbiSKpNn6yTIbBzS
Ub08wjDjG6G4uTPJd3hkuFUdELwkV2W7pKXnk7vGAslRw6m7TddhEV2SMbovh1ke+WvxPW+38T5Z
CGP47WsSDSTNE9fwxpHZv/TesjzMU/kB7x/kUk82XFL7azsL5rPUc/mUYtLddbVXr7MkeJohmOGL
Llx2RlqXB6jYhAmKEZV4ZpvyWYzcVyA9Xp650bDteK+J9lXjduD4yoSmp8NhpGVEQEGmv3pJLR8i
00SG70BbuToU9JwECpdkDb9nl0Ny3RzTwQXfPQex+kJySwcs1v9G8AH4/EYr9z6Jbe88ytp5nGhn
fK08fAqr3IpgUYOpjI9Jz9M0mvGeVTW66fd9AkPpKeRdb/9oqmgwVgqdKTLKWhnpmrZ7Z93kXHO5
dikRcF151WcRs2XBUqNkSehw5pY9gjhg2oK82WpebpT7Q8nnu0laXe8nqBch0jex8WGX1DtTuA67
aTwxtNK6/CpFpM7MDvsNJjX/B4EE6gbvLegFW/4X00tI54CcgPE6Nwey5yKXQtbLmFuJpecEY8P3
OymbCFq7bJG1M82h3du4b40LoRc8hoaVZRBa6dAjAaRAH+MMOYRFLvBa0FZaJU9uxcyHfOXxOYVh
+FGP8/SeUrY+txA4OhSv0239j24pZUGG+X8RExwLgHqg5T0OPbRIKU0WQp9YqTIW46H3PeYwuRZs
NLlOzhAEzfdCuADhxgZxI8MXNq65CuQhqj3zxE0hLGQPngBGieEwu4Q6E6ZK6G6nXHA8wP2INsmi
Yv7cQrJhbkNWjm037PkVdOUN/D286HVEhFOoPbJ1oM6yeusR0ZsXgJqNJwUM2M1n71tgZkANpMnE
D0t7zW5lpw1qfyuY3QvasQRCqhao0bOEXWxVVjIDvyV70d4FwKmidZ7j9SRxowZMKx3rUzF0zFHs
Kj9Ng0eai44M40CTvfRCt1O3/zDy0q2iPrU/MbMVxWpkIIrDr3LdDwIYqwsYIwcNLWrkpWC7XEUu
W/tBm6WVh569TK/0m+1NhyftGV+BiQ6TGG8ysya9dpgPbsbfEKownVC6DfZH7tS3TYwoIuzbXbJ2
rB68iIuKYB3QHD4tpWkdUb9Pl9lk4g0ajSY59L8VYxp74/vS4s0a7I2RjY+OQWc0USOna/XaU4QT
XlORgGlUpJ/klgrHuR2+W42bnXvKiYt9W53jZfZDzzOrO2NobEDC/NuSuWh9rF6ZryaZhhcVJ/k5
70Z7U2N69NctSM50LVz9mvTN8tgNQ3UHh+8GA0H/5dhReSgsz/xWNIO3iRu/uytB+d1HS5t16yYd
07AvxuWbikWyhzntHbqFxDHqddrENQFhvwv9/lsb9DfaILQ5KHL+39Kg/119JN3bn2mDfv+b/5IG
UYYGnotY0nLQ+iA3+qc0SP7Dw0gmMHb/KxTvP6nwwT8sie3t3y63/yTGwpm1b4Zv/nfSsYnz+684
2X4lwt8uYYGrJcdPuj5nhZ/lORKwwWD1GYeiPiadiA6AT1FtVIjYKOHuHS9BCY0iv91WxJRuHVNn
m0LH7t9oIRE73fSy/5Z3ejBrJbHZgSdc4Uj0vL9I7E3GCwxNA94QS6mX3OcQF8kgOgxxaT/3eRrc
TRKeHwtdiRcaXHpPtnhggDqb3D3/iQmdRepvnSflV8B82DQSEHirQqasznHkPph6jg4LndOQkNf+
kmRpAv4REtvGwQLymChGyND8qgOSj25ttMai11NcRBujy8dQuN68qUhHXidmT5il7Xg2vBLQLhmB
YCdILTAOAxs0CKYHBmpjP1kHTk1MBsizpt/gXMpUGHsCkF2GNUqLN9M1i7NLyhCg67bomaGY7Wki
AiOVbEpCaOIj8s59xtdIAuAsBoq0UT2kEF5wWhBLzIB5rN+156tDL4fuPnG0dTRryw5l4veIIBz9
ELPphk5lzxszE8eihsQHw2hV9jL+BN6XPk4GEGXtZJZ8tcjnW9dIyD4lcOO3fZOLQ1aJaLXA17pr
k9jY8kcInfEgPtVj0u2VYwZ3OMnHAxM8K+zmguNMDDzdafvTrI30cgOSb5qxbTYeXXLAKW0ltoyq
3E2kHaa9rtTPLr3vMEhrEXpxmzwV1ei+grmJNjC4OjzxJsgQIra5tfaBWnim22iM57jMs+d+nIzP
49gO28ztor2NpA5pBZVqWyPdEpT8H22Z0d0v8+oRPA16sEga/Xlsyo60IOGElqQ9M41nJ2n3qB5O
RFKByJ2g1Q2md++JLKFNANh/vdDosMvKhsPbuRsvJ/cuFzMwSYU02EnmYk9XJ6wiEHcqKzdKqoei
TzFb3/LkvV5V4Vh26Z5jcRI2umsvTZ7r1zSL9a5SuqYlg56NQaHx7mGO3PhDNV9K8nUAm/E8pTxW
W7JVkMFCJbj9m/yIOx3sRsg3n3EAMsThxDefcb/dUrtr69Gc6CX3eADuaSgtNHY4NY8LFJgyqO7T
Ao5kUvbLrom1fiyK/8Paee1IjqRZ+lXmAZYNKjOSwGIunK5FeOiMyBsiMiqSpFEro3j6+byrMejK
qameWexlIoVnuNPNfnHOdwSBTbcQMZcSddMslISFg0RNyyW9z+a0vHJzxhvQMQJAvJKHpGFYJJIG
91Jp2qH2eoxcY12/5iWSroAZ/KrMs2RTBsVPhFvxhrageI7cG0x1br01/0YVDkkj93oKFhwCk3uo
RO/vyjK2wXbNAV6sAhhqYQTBpo1NP5wmMhnbGL5by/Jsw/jTnHaeqKA7Zwjw4b0JTVVBwOhdweZi
bdST56zKYi64GnPniGUN25wzyWvaGc4joTFkxnR3U70A8tKVuPiVO+8Qzem1q6V1iX38ghwyGwSc
V5Og9TwhFyY2y+GkLSf9nKs2+UkcAUx7KMbwnJboPFsj80jPocXi1N87gMCOXO8ofEYXRVypxdbw
PHmFr22yHBSExJUs7OzaT49S9WLfYxr7bN28eeRk9g+5V7Xf7WZQAERZJwaxLBIqgGFAu0N+Q3ag
7A8nHv6GuMlhmHdiIaponcSK8VZX30IEEjIDRBf49V2pTawmQxtTv2BMXt/kKFsVa/IpGUOTehrF
SYh+0uvRYpgOwR+DRg5hOaNc6zRiGW7A5SzSagGNhHWVEPWcz5nJUS/eC8sfHgybPBGET1372jFJ
pGOIYhCQbXGUQkKEZp625Uybd908lEeajeQdOSQdOeRWvtfJjc+Dne62MGGqFtpWMDnnhOSio+cS
1Ldx6uBrzmQWH+qybDbj0JdHP+/Em5sG/X5RZGysdO9QKfue3KHanPCjMdP6mZJtXrPDafufXud3
KyKy+rfCCoZ9LatrmRhAisZuX6JKYu4iMcGUKTrL+gaeI68s6Pn+L+577mXw0GQSV29u0eaHQBEb
FZijd4jG1A/noigPiX0TkhBMQJZ830SI1JNRWztSzt3pINWsg3NdRFb2JXEcDY9MVN2nuK6cadvX
Rv3R8VX4iCK7fK3yxLg0sSyR1xBqzVeo5dWKYBlfauW25J42kfsaa/zMRWCcSCycohPoqTaU8qZM
FdBmQzN1RieUt+c/rlvnsZz8wqfdKDssqbP8ac22eOQq7PzD6KlcPSD2qg69Z6VPA2u9JzRJEys8
q0FfqIug+YmZF1JJwi7tG1W184kMcD4QwCqQLml5go3rfwWFZ7kIBk0F49wS50i5zPvgJDZPJGzJ
Sznd0piy3Ntpq4Fy0RmNZMYvG5S5snl0Oa2fkLA2e1Ua4Em62BZbJls+03nXny7OgpEA/l688Rgc
bkcIy6tej95rl8AvvAI48dRRZ6zwtX9StoJlC3h4Ayg7wtAbmI1JuFybvo9CDfYKM+bSrciZ6Z0N
UW/iuzSTprxCGFOQO9PyhlTPfXMDBqQleskOrAerpAM2LCN+SEYxvuHZRbdgjM5T1VvFMbA6sbWd
qbpGuDhfGJ0lB6qajKApzT9BrTWSAVa2xGZO6bgD0tdjAHD9kCrNeBCzXQG4HpDcjUv1BTbY3iIT
MGZYWpF+aSerhOusmpJGrcxoa7LC7jfLchMmLokuaEOLatori2y1ETUVzdv0A0TniAAXGmVM+uiF
TrbA3p1YzHVcJyQzF6mD5v4sVBMaweQfkmJargOj9XULpQ2huFkY1GL+bppUnnCoZgWiwCyq+ulU
RwhsSYkcB3vvddMyHrtKJUfKmQoSvoXmkrJBPrvdkEwhiZ144RH5WPdZwwJonLHQZkslu1C1TvvI
39oKhYq3RekAwVgwvstNDxP1DetezXGxLru2e6sjuawiJeaDpex+S+8Xcx05pMo2WJ8qy8t3zJHi
K1R/4ptdnlGX8cRZEgLCchvOYuquavcrMQ83tZvEXBwJxFVOdrS9t1aP+E5zHcEdQoH5g/qy2vaW
qKc1xnX9zUjm5j5v0W07GZmMa6iz/l1lcFnu6DKlWndZsPMN6H1xFuSkmwh3r2Aa7gRkGMRuUjd3
Vcph64vBok8satinpjUj5MPoeayqRVxkUOj7BAEYo0yEqyfgr9mzBsOER9w0d+xE84PqWMGzRnC6
jaqr+YtWO/dgUYzqm98H0ZoRNPrUQMFVCtEzI/hnOwb7vCpQmm8mmJYqWglAwIgrhJcc2EWmON5r
1HARQTt7gQP8sFRtvZVNW55LbzDv1OihaRuH7HVi+mkfdawNBu8WKbNBFDVA9pk6njFCDPXKIhqH
HxmYsbaMvXa09WOgab13xxvXjCWZ+cRpkwge3AFbezKlSLh7OJ460scsDs7samBOZvmGoqfexVEZ
n0chuhUqVuNjGaO+22n0Q0fisD+IAQ2ueOWhyc+LnX8NpRdfM05Fbn9krKt2cukeBhKQb5bq8kKi
JtWboc3X2kyDey64BnLOyCwzMPotRkMi3ybGFIo5yE+Rk1yE9gHhLMFAFNDeQPbj6FmcorXxyvaY
MwQ+ajSRlFiau4yEQnZAonlcRklg4dTbzh1ZkEGYBsv0gQwiepg5xXdAOE0gwejfCiDL4ZB3X62L
8lLG8Ig8YdXcnHFE0blYa2GNd1FLUcB48uTwCW3UnHkbzUDopcbTBW0LMWFeN2pTpJF3mTF3vlpD
e9fYYDfhuHa7vLLRwnQ0N+dWxNlJZi1JxtLOh31Fj7EO4sQmfkHMD+4NqQPG/pRX+Yu0iy8j8q+9
ZiaWAehhhAFaiVjvkcGmz80EW7HyPFabjM2vedMUn3puh2tF9cXeNorPyZIle+nH49GzfmRAtfu+
d7dAWgmYBPTt4LGml1pGCBZzsbW4kBiEsjdWKN5jgkyge0Q2WZfJAQjTMZnlGYTgKVtSeYk9kgdI
8mhXZEeiI1vYQIKM1QYlY/GbP8JBXnV6fK75Mm2Bvla3bR7OZtACREmRCRvPVLRRG7snvx/cBwAp
/lGbtd70qJIwDCDGjfi2n4aZofvKqVqLErQEeDHk5EXOPBpwLXOETNM+yqVEMZYe/axnjzKuLT8B
Wqh5pgEClCJfU3WkR3CEWC1sNZ1azI5rhOMVfVZF0qjlFdZWkV8K31mwbiiy1l0vy7R3Yek3JjXE
4mo/xFHYrWKp8kO0FJx/7ChfrQiPXJhA0r9N6o1TEjfBm8lMccek3/rWIuqEuxznx3paCN5EDHzJ
DeFuxBgQCoHV5Lvv+M436S31IxWwYlwNlDsro+rglLXxaJEy/5gtTcZZiTOCAMo2Obe9Si4IE5aN
SdH2aSEmP/hWjUqIIK7fEOwL1qIIgxq0I0Uk1rMZ/TAn7j5nDtG6iRBJwnOjCKq1Zy3ZlbGwNUBT
HiZ7CJhwj8HTTeyyLgkZDitCxlmPlM6mcyx/LTwwcElphYz21xJ9R+K4dJFm8aj0lFEnlO2HJUvU
kAY7DJcW/9A59p7BMGgo6NAExo39XR/0HZPT7FFgbRCQQFa2295V9rfGnC5DZm4Wx9/avXzPkvFa
jqa1J9vtyYfnGxsFVpt2H7Fd5lqSpIlZlQ4pDb+BHXkrimBt6/SjZbAR5i2ruJj8hEeFfXof9CzF
uWbKs5uNNs9xWx1I0Dv5IkHKOrnLSbaJsfGEn5M4CmZuxnFCZH2+j8wyPYxYB3aOHp5IB2MNNpc6
tHMaPARtTcbDUcmDKWiuFrwxn46tbhIPTy1hOpbQmgfOSBuMWlIpZy36nPVWgIKhyrzoNOWi2Bis
HfaBRafPzFl55xThNMYYb70QXHNo84zNpHewhuRkFfZ+cYpmg3ZRvNS1159N13NewJTfcPK6R+Nq
kyqzA1FbIPCLZrARviI5b+nS+tUYg3ztO7Qoi2Rry1y9PhHNop9A6t7fdkxqRvjsoz1NbHXsi+ar
nER7KbLZKEgcMMsNB/zRrP01m/liy4ipPigfWHbjELdmZ+18WWxLr6Vnm58OPx8+14F5t1dOLiNe
vzlo5fv36JMFeZ6a9G8vuAHC6o1uJthxGo6gA1EwY4nkSMN81JHq6HCmgFhQsK82cSiy3fZsGXZj
Cj8EeiFvfYYwHQFXAJUCbc+qbsW5gFK9lrUcz94c+WftVGjwzdW0EDDnoI/t2NcEwROiinWaOPdz
mh+KPv0xxsPXHLcsysy6ohC3G8AaQsbNvrMA+HNtGuEocuISbcPcVEYxIoDVsJkJc9pzc4FaEHvL
Y3bt6vWIrnlFH773SY4oY6/YcNt+ydG+wzMR7Dpv2eMLOgkynMHlzNtG6/fBBskTTo4DxoXr4Km1
zPnOiZL3wbHZn1fGK2ka4lqoqf8gK6be8/tAhylbPBqIg9PQjVGiGE9T4Fwqp1mT7WiGXlXLc0OO
wEoJ+40DHNqx2YhXB5vP2khA78GregU3GayV9MF9t8mWGjpsMQfOVf81mEggNVfzKvBadM+Dz+6o
kD8zzz7IJD0UeDOSsXhuJNEZrLXCtNGEtHCBb4sIw0/h7PJyfgOlSD7GbGSbdCQzfZW7ef9Ek40D
yE0vKtLpLrD6+7HNKfXgnd8TvPiiqmAOvQm7n5Wb1IsWEyMPlyA+pHRLTAdhlqmdM8qz3LtpkmiH
c/R9Wasi5PlyY3fmRrYVsniWzUc3OxMYciLXJeXrWD7dLFKErh+joAv2aTewFQ8mzBPDEKyHyiqe
UWlPb0HZH9WCpCKn4UD0NEE/yKddX0O53uQEzB3SHt8dKn8Q+laCWa5DDtAsOv4eZxaCfM/5oOV/
dkieHO/RnwxW85vHnOt5TGn/LEpfWI8QestJnw1JdG2J1mVrToSuuzYba7IvrzEMxdUwVPUruMEF
QuQMwCglHWhDbJ1alb1u1w1BQmfbY2JG2xBttbfIJza1qPfNZbpUizsxy7RlcwCNOCAcndJ1GUxn
wyMXIBjVxAdlxrsawuXGs70ZglrtpC9aTO4dz9nGHubzLKPurAhVWVXKZOp1WJTtb/i7HepF1zjA
mGNz7ZgzgUaL91kvUbfHpfAUROqpgPO08ypV74g8yl4RmRFILNr7wUGZgPALj0QjoxtGadjE3PPU
ySxOVeK6VOH1ozQRegAG3syLB/adXU95WOqsDptxfBcVjFPMMMlBkkt+AeFyM7gnBiPiPAOBxfiG
anmcHP/sxTUWc+ZCyI+E4s9FDkOopEyYUDU3skTMMCdDJ8J+bnpQXdywq73NwwPTG5mkTtvMtuNv
2SIyBJBVeSwdOdWbjhzhdGUQt4V7b0bXMaJo+44QF7tl5ogtjkyokEkGFhK1AcFuZsve2qttg3Nh
zq1LIDwdn7WcT6VQxit8u2WlalqPDT526xl7CDICG8tCt8qrQp2njpKMaGprr2GfnbCXlDydZbEk
q2mW3p3nYK6N4q7Z81ecjWmn/Zle3n5NESIerF6igExqSkcMWeexpWEqDcd8sEsRX5EpOrsmaSFY
4UDzQ0s2FrlqAzevrgtxNnW/vpH4HMzQ7UoxpTgHrbCfhsKOj8SJ288c/ORlSCfZ6bhhMWtCw97Z
qnCa7WSiysF8U08hzX/N1Ud+2+w2mjEbEn7UebOdfPiS82KVIlV+sS3/MpAdxDBzLO8VqLDQmtyv
KDCdH9A3ce6DZo1+g5lWPFOGvCuCvFZN1j7YQ/eMHEmv9W3gNSzjvl/meotAtjsB3eRxJe8uhL6q
95CoS3bbqbf3aywNZKqZG13BEYkZDwL7z5Z7VppTyB6hxxKAN2G7ZDcjkukyoJPgtorKQyek6jsf
dVlYN5NHYEz/oueEBBa7/ZZa8MDbtMDjYAt5t/Qxflija767sY+a1Yy8ceeIgbgONGGoYQWNTRw9
J2QDHOCMUO4MZNb5w2lKleLAm9Rxtr2fKeX/LfKrx01N3DuwNzQbLMrRheQFlwlpFjgCeqs8yyW6
R4xxL2P0RYnnTyH6m3pb9fZnCe161YrUuUwFtXGrFufUIfX50DImm6EKvge95e8l4RorqiQ3nEkz
5fBw8M4WIM8Ok7atPbcurbF9JJi1fFE5sifb4vErPSM+DjDe9zR244bi/aFPJeByFlNbr+nPFoU6
4fGaHCGmkriJl+6QdaVxRxx7wBDDfU5qycthzVm7LKtXGHQ1nifFCB+UoZPXIWrVK5FqNxwX8To+
avmj5cc0xUQGMxmSGd6b6dGyW76cLcYubyS+xY6Qm0y9e8Le82TyJQIqNm5bDQBt6vPnKld3M7ar
MJHksWGOSuHnZ5bnhWKArI6susdGWrFMgsx245YEmjN5hJl+CiqnT5gCtC4P84gZzpIcyFbQ1i8z
YSG/VcJjalklAd60duHjRTqPTluvyetBCT0vWb2tORYvfdJF9zgel+Pc4x72gz6/hbG+iFg+yE4F
W2IDP6SyTvkUnzGkeztXoI9pZ+choC7CXD+EbZOu06J9nQf1JnTFoLWrsRVX3srIHqJOJ+uFBctT
iwQmtLFNPzrYyE7gj3sA6zJ5FbaSexbqlDRTV617hCfxYnnrJqndjefXxq7og1U8PEzsmi4xauij
4rv2QWxxGoW5V1N29/CGV4PgGxATZWcNBHmtGgwvG7/uj7F2/TUmy4MlOU/xYwBq95HJ0a1QLaCM
mrlOCgyYoSlck5GjLHdOUwR8jH5hv5pNctPODbU4+FNe/sBYiyCgHuzqzD+qjqU/v/Q+I6rcsLcV
59slmHOMb4aejE/w98WG+3AEV7foQ1yXhDYFbW++ibQ1cEUVznnhUX6Fka/DiRk7FjESA6+cC1gI
sfrk30kP05+J19PXMTQINEuhLBPLibwbUCpJ6g6vou/SqzYmvsZzxofAjmlM7hC3q3mF14EyM6+B
VePe6g7JVC0cV62p30fTEy9DYiXlLveYU5UxKQlMMl23ohq082ssEEyETo5+cLXExbjwlqRujfHJ
S1/QLSD4NbgkwxIn9paO2t17GFgIoKpqmz+LQC8MslG/Ka/8RCluhITtftKWo45q0kqtzcb+zCn4
WLgtDKxWhmIk0g2mf9J2T3Qb1uqqXQ+I4C4zIVqUlKZ4K4n3QcbNMdBdDEd2P5zcTr2ws6NqWw9a
/KYoyLeLduXBj2J5Ycs63RG+RsKVZifckq21rdNcPAzS5URLCEQz0enz6ZFD4txcpy37J/KpMTQF
t0kXnqrO0V+8O8O27CdCvwjl2pvIveTksoYkM70MlSuMUBHYcukNOT0xWUu2TVVgrgOmFvpGU/SE
ekvoPDPAgnjtySlZe9A1f1RV05MRmJtQjI28eLH7AAMtU9m9N+XONUdXBUQx8kdW0dhNHYKVB03I
hOlA2DHbKd2yUdyhkCyxwPkfQOfird9E6p4Hv8FyFwwHUjbtK8aFjwAjPcJ2atrVMOp3t+6xorox
OcXuAkBM52u7LggUMhfUPKRth7IvlnUzvwHNzDps4o5d3bERJOttQMoZ181az1m7C1J/eS3hpiJj
RMU3qAEU5WSBKczbo1MS6Th5C+RxYSZbKGLRIx4ozvpBfgcYkcwbVSLkNgPdXhSAhs3ECOzRzSKM
/qoU7jPLpmWLdjp6AI2ebntsaO8ROIF8YeiQBRFEjLYtXktMyCFpVZCGiMZ+gGrl7LSQeQGhs0mQ
kXExLKFaouCUMpak68iUek5goD/iSiuKjV2kMW5h2wRriawKcAaC6jU+Yvo08mshpk5P0E6hvolB
79wpoEGrblu19IAEntWpg8jndlMDvJUbLwBoXyMIWNXI+V+nAWYtomLCznqN+2wxrLVKR72pRP1M
Z0aV0rvtzick6aJGpbfFnKfrmVQi9m/RiUJEnXOqSVSzNDQzDmYM8By15EmQ0cPu74KKTnzzsHgW
sTluVerM+67vPSKJ6vZUL1aK76ozH5PR1juWDIw5+3pEIE/V0uz6coyeEj3JO8aV/CiKpaDXlO6J
1TSezcx3qQ/cub5Y0SBCtmu4i6rFs5FR1P5yLpfJ+zmTrJjv2L7QA7J1m45ji7vXdxeeHmapz/Hi
DldnqO+NeFmXTPMuzdTLg5t7KliZUlSnuIwZxjWmWPgDLXx5BVWGGKjqZzNKq1yNkpWKVznDbznS
gW1v5NGe2Dher+pqe4cg1Tq5Jtk52FE/Mo2MZxNo0gYRtpfpK5/v99lu1G5iiMDVxV59FRcWbdsU
AWHv3kyXEJmEdDaMTFZCRo7LmI7hDvs7gHeuQ4rp4gxyM2aSlWKLyX5e0ET6TTm897Mz3yuyxlZ1
46lVn9AY4NM8eaXoulUtBZcNO3Pqfzjl6WPfYBQkkahzSCPnhO4r855dwzaFxbEqxPxi5SL7bTGK
9LkLWu83NnDBWQzWMR0UiXH02wgjfXts0QumVg7sxajeDBay18oCECvK0uKpAP9qZkT6jYHq8Sai
nbWxBkpGwdQMn8xA6TzsxrnGQKThsk6gDvyyuLL4h2GdlEG96ibXPMVFyldbIeLUhiCqpjfeiQRu
vwcJ9Qb5hto8MX3mttFKqM+IYSVtgjvKHQE5iphMEfABDc03BkPvUFZ+jFOQc43L9sWxk/yQNgLD
Addp+mbRf37rZzR5nELmvB9b6nR6jY5uCgMyUXSQe+Ig1cTWTuWDD7g5jEpfXnvI9hu7hoq9lJle
QiZ9/dbq4soFizOiyRgRYpJHPfZGOOdO+PcGJ2MssV289oGNF0TUtCJ2RcWEtPiGTYpXYvg7o5ns
h8o19dkz2Lz2nEePiDwMUsII5KZon+5zEbt7u+/jt6QvnRecEsTeGjfgkIO+e2UYrt51w20+bmSt
BTJmZO5ktoXPwquHVoAVoUoFYiIv5iZIsREUK40KHhBQvEb9bwPhgf/TlzYin3KRmO0rwr3XEv7L
xve6n8pKCVCuogYLpkLO0Gb5srEdPGrM9sPUtOD7cJpCYpiLs5Hb90Jjse5kJYCqLN4drk8IO+k0
/SDAttH4OEcfSGc04vwVS3BHaFfxyJI2eLINd7pngS1/2H5SnoxZslfDQn9UrYfJJI7zIXQqKDUu
aJPD7PRvHXPobNUOgCocmGpblDTtjqsUvQv2nutgF49I8LLzRM0FprJz1u7ovxK+lKw7zDCUkv6k
Xhr0Ovcj/CnQvIOrXoklYkdg+AviplTXYe0sl5YHArJqREgGgeCHLsl2STEmR1GkjCMj3z8qgVSW
hK314BT+niyp8sAsQ4cL5g++EdN4tGqEM4tqmW+2ngfXBf3zW1S2qD4Iav9mSOfRb6OXYKrH+6SN
y7UX0cVhK4/XxUiodzGph4Q9YYoaag9siO9PEMynWdVMXvOpvMOC1IZlmx0cytkHMj6ZG9BEnYO5
AMxD8+Rcai+o9sz9Pv2ufnbN+RTHLIx8QxzLpmBpA5EHoGc0mW9J2wBxyUncEK5bvFjYYNNVz076
UBKHYFWSAIkkQxPiQn5OLbt5zTPeKB/L7Io2ucGZxaLaZPmAuwO90o0kOubbGDLKLcQWWQcS1LAw
m3o7Zj0DgAloDmjumL1s4pr5A8e0JgnVzaYNN0e1ZSdpngZbf9Wtxayni8Ue0DKjPWJw6zvOLRGi
/5qP6AlcttMxSIM+nu58QBR7KIbLIxLLfLOkESOpwCofG4qLx7Gf7U2cFDU50RprVjJM+kScaof0
2vJ/ysmJXjXgnFWy0JQykQbkwjefCGzWS8G3Ms3nNb5lpgZJZWBLtTH+lyIBn0reVZF4NiEXMr1z
yo5B+ZLgMyDzs79nNpB85vjyQAyR6hU6DCKRO1jyNMvOfSPzZeI8WzqmhpMA7DMHbThnU45uK2Wf
INzgs4kC90ihEn8yJLwl8N1GUU6jHlKa8IJGYMDz1L/dRkHfzAhVFmBls39fImm/Mt1I39GnLVdm
G86G3B1js0A//0oM13rEvMrmIKry50hFyYa1AO094TSEz9TekzCBSSRDgxMKVMWjjlmfh7U7kOqT
qOxnZTn6qeR6ZTEzR5AiGyHQThB+U/SYbgwVRcehcJwtlni2Cp1fmvd5Po/vjFnkhZVVvvErf8Dj
PLrdlY2BS2AIDbhRzRmUceOH6lpS6FvuzyGPjtgGMB04or3GzWR9iFIzVsz4zqxKNNTciamBMAiI
Ut8s9oEMOgPKlIFPbmFdvLLHoV3npVdvl5ZBRg3JNoQVYP20lR+dUOjUcGoNLDzYj4bkXlIcbFnG
RUdi5/IdWLSCx5ZWn9aZaQHbKPtxJCj+UQWEc8YIAZ7LKH3idqXmEfTSXL/Ovi3IqhVjkp1ImZxe
5EiA7wzAMSS0uWdnTVm7pkbOvgUYDBlGG1Hypl2PmVuQq5GxA/PtBV0NR1RqZFvPBAzZ2XL5KAmW
3vkJ27uuL5wwoOUMA4V7je3O/MQ0rN8L4d3UfbfZe20O3U/ENXPoV7F4WhoSe3Cogx63525F0xUc
62yUzDTYxPBVbVa9W4yMTzpgSexVcVogy0t5LNlgF9OdTvsHLGQ9yjiygoYg8reoyag549TYlaxu
njqNXyXWndibLma8sPOtUdBUYvJYDInTrF1K2FG8B9IlMDXNZXWo9BjdtWpory78Kjw7/P9juA7M
8j3X5y23vjhwjIuOZjytMieLdkWuJGfQ/0ErppSy83mbkGFAJrJffYmmijaTiPL3HOQDKxQkwy8y
Z/8hUF/d6zJS37Og03fCYenCnBYxbEZMFCeSKh/+LgL//y2X331VN8Jk939v//AnoZQtio/+3//4
y+73X4MtvYEp//ALCqa0nx+Gr3Z+/MLjx1/9HXB6+5P/09/8B+ryXwjhUahbSMP/eyX8t6+u/7cV
3exH/gdE5u9/73cdfGCSVeb6pmt63h918L74m28HjvTJKQO4CinzPxGZtvc3cISeySBbBDYWG37r
H0p42/oboxWLyBfTg5nuufb/Rgr/R5ix50qsroEtA4fqnkG7/AUv7LlG3ORw6nZtMmTbhroZ9YFM
14xLfMgt8+Gf3p7734Xt//ZPySjWr3p3Xg93pO16Hu8IiTK/6N2VPUVOYAZAQrIuJsU3U1+sAZsH
bZWIgWbgD0W0MM2BH4O+dUFVF7B3EAPYhYidjbbJEtSEe/0LJf7fQbz/rMO//b9s3/RdU9g28/1f
gJ03q7dLIJm/AzPzvS/5f4At91dMeihWXTaUCyJ7yBtkIbB0TOaLaAfz+NdvDp/pH7wAt/+DY+Hc
N20JrFT88n/Any2jSQ3+rk6JhgN5FB19NvzPf/0qf/KJkwvsCzL1Ag/O6i8AZo83GdeT8ndOhUop
G7+Re5fuxzSvV81I0spfv9qf/EzCATbAJy5s2O+/PF+tzd50In1uF5R0DxNTwZUaavtfvMqvuFXe
uYBvBPYQeDywSH55qmyECM0oIm+HioAfI8P9X+bDoy7Sz7/+cf7kzQssyK5ewM/jw5X9o3FEGAvv
6O3xjVJQCIWhfsKpBFfllPeOyu7+H15MOg7RTq4whfnLi02DWxFD7Xq7ynHh+floSxPNlqxYIJdO
TIL/+uXs22fxy3eAWgD0qMuJgF/nl88qtRg+tF7s7RrDpQvRVXAeiRV8zNn0HqoiIcAQcsg26WHk
LJWqtpZZRD/AVjBqKKfmEQ5KS2FV6LUDj95ihA9aF9NLDhoa42nPuKxe0wkBAR1UiRGswORGLYV8
c1WNDaVKj9oLVo7UK1PJh7Yo2t/vqN8vgD87f27A7V9/RtDxBCVBL/mvz+NYpvYo5tTbxSWKLyUM
/zBrwWJeixeDNNFaRd2hbOOfnpPUWNIy+3mMuZj/+q3+s+c14OR2WahRpf8aKtmq2S25tAO8BwOc
ARfMoonA2jIhbfxvXykAQI5xGwmT4L3+5TNNanx9cHn8nRelRThhdGJQXHxHMWxv/vqVLOn8128H
iB7KZRtaEKmcf//9f+ItNyTRGZ7dsfnAorihzsCywIl/j1l4epQGD4Ld9M/YelHwDT3cn943mxAX
Z02YSTXR1nR1viOC54ZHGoR8ol0VH0I3/h4GD/sWpxnmp6Dr3XPf6+qE6SklPxHhHFPDQU3bnPUN
9gILODJKxYMZzP6+TlwJxgYSmtF0zbptG3wWog1AUA1mbq1EXJG7PPY2C5HCii5DosS1FNYE0zPp
5CbWk432yk+vZBmrD/h6xcFlkb4x84BCN7jJbnXjHbKm995SZ3GvI+3gfumAaxoRYxgRtBKwhR1d
LDWvAyyzmzyqC/g2KTvBwkKFyrjz2bXb+s0eyvrDx/WxAgSP6QbBLSb0aqQkLfW8LYMy36e40Z4M
s26uvln40KuAyNFVT/CzptFp3upJRxdQodFrErC+0UXjf8rxZlKNTOed7MFvZW4zY8qMSp5U316d
oHXuvCJZAzXZY3Yo9iVGD9BVOrYfgVxX3cpJpI/G3umuiwakEPeN3HVNm+34cWp0StiCI0Lo191S
0TjpKp2wyYOsOgegXOgJM+hFrAmjwQNk06S7vBn1FyUT78lNC5YkWH+rfLBgfUYRb5ljDzDP3O6b
RZn/KlxfwXMQdQeFqDWDV8o2LEhgi/oXPy/cwzAAJhwbsMStFO650RKxb2NGRGfF4KzDZuHqB5wD
r2alcrca1pn2SSmNg3Zb+nzedqd5+7TRiY9I4nuL+Ww5hLSVbtxaiPektucTUXvuO8o+pvG+mSVX
1ukmjgmY+R0GdrP7D+rOZEdyJE3S79J3FrgqyUMdxnYz38x3j7gQHu7h3DdVKpXk0/dnWY2ZzMie
CjQwlznUoVCoMDcaSVWVX+QT4I6JomNZkkXA8lWb+AX2zlC90LvVAGawi48+KPgOYRJwx8djoR4r
ICTQcjPTUVgtOYgpuYZnGn4tKXAo9JscygotzUmxj9yO9p2ixPvhljVt1GIQ7YZqOxyi2GZXGbSz
vbuwwVnxPqh/CHJBDANbmKCxjyVJEk+gOKnUhzHB4ScWC5JE4aek7OAtybWNVW2DunBb6gkPtNeO
6JKNw9+bGbTZVRbBCEfwF1mMTJcv1+ipO02S4ZTFgbxK0TwevcaQl8/n3QS19IkE37SFrYYJl7/t
YKw23cX9EB+iwK75fad6kzKx0ytmE/ypWaVxFLVQqEYvCq+8uf8JkrHf5lrii8/6/nucxNB0xtTr
sfdA2RYWJ9HSHZn547kGzgJIekPrCVcfyxe4hQZ05TTDkmokXAc/SC9mpfrdJgt0W+CCPESeTD7R
eYJkVRbG3I8FobyKn/gxCT37UORWtTWU3O2tiVWYraj8GCF43buxmg+xseq9VBp0lZs6Ow7DzODd
eDeNbBBxuPlXWHeL7RRqg6hXkNHhvBjkETSxqB+ogTIEZlVKVVmRPEPghFaCFHRnYXm5AiAdv+eR
8J7dJRi2qPYeukMi9YWnSGTBDlpK4oac0x9+bhSv9JSXF8dfx+YYV0d2lXbjWxRJoDqtDegmIEFI
yEofZLI0N0MFlhqZwyybtiETkALLRVO18Dj5uoBEV7Px9oLlVnl9th2LcHl0+1DddEuZ/yBBU+P6
YerPMp/v+76czmpszREzXvLWAVxY6XKJn0XvQ7aXs7Vp5hD2bly8aRGLfatq/OJNQu8qRIiqfoAJ
iu0vq8XRaATQ5JIgWKDnVyglu9YT5ifFkwNZ/g5UB8+a5byBafNuGPzeGErYoQkV6XoyNmkRf3au
q8HDlySirNpJskuboGrNrqWEZwX4mQMFGO7VIuX4AG22yXfSx8FdDcACCN58YV1b1SYMntgkLXvd
w54jFfzCSMXeO2Sktsa0zo3fDPddLq+9AmRN6FhASniD75OkeXcuJjcg5pOHxwEXN+Xy/oD7HDdi
li9M7FxDIl8b77Y3OnlobBztYZICUI38G7/FNEcghlwsZqadMbr/niA+4Ld2MHDPmEYCiiQLDK1m
JSYj3poQOJRTpTNSSoKAGdmQ2dZ+Yxm2VXPTPbMvmzAT5d6hIha7l7mp1g4vm1voNfgyeit+zPi+
32RssK6hyqE2VaIWE6/zHnAz3XttuAHAjBEnmGU5bhHDW/yi8RKi5zf4w1JeXq9jJtUPIplUEfUh
et0xhRaEttUw2hvU8jWDIF+l+YU7GOp3AGvtkX9uWQ3RpHaFj0ODNol+o+bqgXf/xublg3XKpuu2
AJpMOrz8xuSlPxEIgmKj6Vxz5gtRuUqzXZ6TFsW0wGNs5JVckukOsvbLSIEIExDr2asMaR4W+bMA
QLhTcAJLQGcOBpREGO7cUlVr3GwktYT9GObIX0RprVWM6+QwoLOdpllRj9NrfdQJMWQe6AY8e8BN
MfYuiLm2EnteKdY2kcpemQ4M8zzU7ll3TCYb7Nrf2shX294nAwwm+6qRvC0mFbdfLEgQVeDBHOjF
GZ9TKtSbdT4F5qeslsBftTYFy4VUy2pZYps9YzDvLCtqSYK39RHn4lfrEp+ZTOI8YgOjm9Oez7kc
y9O8BAH9eR68Ccexxhca5dIvxkdyS1JyvusR7I9h0Cc7q4nlwxJU6Q6z+icTYH3rNFa6q3KQvSIq
YLuXhS4P00j21BSguHVC3GKo7ft+IcKlvMzdLdE47RZCPzBw/LRhgsCdEE2uvXM8TcDRpRK9nfLy
yp8xvq2GWhORmUq6HgmEth/uhHs0QXEecA5wRWJc/vukiR0iTG1E6FJclb5+m+XU3kztdDtVrfoM
6k5fY46k2dupJgIO7q32WrWNE6XePSWCPYr8eGRGuEdsfaFlAmC9XoBHQ5xuTm1SF9usox481aJ+
ntQ03MahAeLCInggY3xq5lo++10WkayP3E3P3P2zJ6LGys2mAK5ISyAGisCmc3k3l61Ib7HZpPfO
2DRrEF5ihTGGaaZnV+0GIWM8T5l87eZmoNtVX2fuSIPzbLbMgejRGMpuW+lpI1vIUIxSlz0YUpjL
MMrU0oU37oLv1c3z/J6NPZJxirl2XmiDWDVe5MJ3b15UYeW7Lmy2Y2l/NCI/aOMMR0BtGHNAUoHV
CyFnw0hk7ZsosWJoBVeQhFDMeAQ31G4W80x/SGdFp7ilgsP1sOJ51RMenXrT6xLDhQk2TZ+STCqn
chuloMQFhoN9Brht7/H5K1kHH0MfJG9hLQakWZ5mMwvguRSudf3zPKiIaAqAWEu/RIVL4otmVi7t
t3iget3LrI8ob19cr7xpcvGYjqxQee3cgav7mZY/pYnGPYZjvbLz9GkQOlvVfXfqAuZGgXNjuYvG
7KTVdSUt4jKxA6w5LveJ8WAJTSEDB3j3rFKQl7tx74m+fl28T6S4ahe5PbEKU5B6psBypYMZgb1W
+ZNuc3KtqnmWS/Qi+oL/9O9ll3yf2uA6c6pvvhsMRD18SFmVhG9WZ8+ZGx+Cun6i6fFb4/bHjsrI
daCaW0+U/O0u5iPRjQCogMithqIFnmnRXkoMyaBFuzR4mH5nRPWADSM44lj4gexwFGbe4OAnX0IR
wIBXfdMXWXIQjjveNXEa3M1dqH4OVRUjmgVHGJJkM5mx7cbELPvaJD/A2nMw57j/NPRY8C+HfB5Z
KxAfTIW6Xa38dZrUwU7GdnWaS8qfGG/ikMsm0W99hnFAhyK9URORTHw/chU3zQ3hkWmtmom9SgdQ
wWPeQQkmRwRlKCfVgcUehi9MLpXptavJVfh+Q3MMvzfnVhIEVvgYifTO97BJC1d+H2vGrpig8GCz
+6xLnOZBwjsfQygxh/ghW7wbr0heh7m5raFg4rfkd08tIBhFWMljli1YKv3m2R78aS2ZdFIo070V
zthuSJV3q7z9EVr+KzlLYs6Yp9Zzp/jRZPnSuZ4+M0CrXybEUOoKg+ogwaMe/MVtt10CHKHrVfGe
j3rAAgFRQyOInMLmgnIKe2tDGJ29bSi/N87F/CIE39SGhV0X413g9DMMAg/QNWW1X+GceXcgutjd
Ca/azSASd3gsBtws9k3DmQXGgx+dTJOwOQIeELjyLAcOGEEX9W9ZZwX7Jks0CfjlsddpSzcM/RJj
egvQY7hTPRbuiXfH1o8TcdPGLlPPYuLcnDvAGBaXmbu8jJptweE4auSrV8Ie1DSE7dxc2ts0GcAB
GzE9uRYRobDBwmYkIL4UTNjHxJc6hRILpZj4SV1Hdwc3s/Se9da+7XpypnTANJTjHRq8XFuqZt0b
e+6rbcq47KaED/OimL2+RFPwM5lgeAAXGvdZ5dmvdL0Mh8YprMeuG+UPw719xvEosPOAhCs8z9pT
LTbup3rK1gYu5W2gVb31kXE2kLTxe/W0IMM4pnuHfZ8Kn+1Le5BOB29nOzm3oULjW1dkLO2Vzjp9
VDXFa6Dbv809W0VAziX2jKzZ5r0zr7Fgw9LiiLyPi8BDqy7YKxU2WP++CUiWC3HqsI9/Y7i54cAk
thWP7w7AuD4mfuHhzIdYKeEmnHMwauwWy+4Uhtl4CVDdZwhR67HmF2c0Gh/cMXB2E1oKlkuj94QX
qVmfpDxi6wAtYaZdzIPOWQruMS0NIzR0KmInbKM3Ma3RbGMrIl2lYzbjkmTHbhklQFlX7OtqCK74
nHmr8zLbL4E7kuIy0SmJ6FZWugU6lrOb5wD2aJTrfS8b6OZiGj6JscB/KVOQa0uFFSlLXqt8+eQ4
Lh9i0xOOTqUFG9HSage/ZbyybPXsusErH6tOjaTjT2h/q2AIgICd57VMkNxcygcUP5TMbl3bQhtq
JAb5WttoQbXloDrmYk16jNunbbtdkLVJuuPQ57/qFHAbt2D3OhYs08nFWxY1GrNkhkdwTbKxuUer
aJ47slZ42rLuvSgz7yEfc/vsXqbE2czREOZrLs+lG//osQY8oMddauigP9R+19KNsUAphN6DwKRD
WtIbeQ0hudyKeIIhOwGz7PpEbHurrfcWEGkm9hFJSTACYDfwza4CaHqryKElqmiW70b59iFd0vkt
ayVs9qKQKBziB0ixgs0B+RoGBOlW1V53aXcn+TbO+bUYOWlFsUcwsbfvY1902G/IBR4mQFjX6djQ
o9W2+ZU7jnmFkxhFFROyrkIIfN54Pxe2/zkWpndPFhyZPcQAL1p7YgnfnGayAQGZcAq2Umf5F2h/
Ga69Dg/GdZYO89OCtzdcV7Ylk21k4dDe+KWs3owI9BbILie9ZVieqO6FzzhWrI5z6W+YmjwWsBcO
MpblR51g78QfOm2iaUq3dkPmvVRd8JyUVBoO421UO/JUhYD82pK1g2e1Wm6wk1O9cWklXvnhooDE
QoFbQTxrX/gg+VxXTftWXt6dTlvfts1Q7ooG40iAz2FH3wgWxiIamm8dFsHTENTudvHp+Nn4bZ8c
nACkgOnn5REHTP+Ul55/Y1N6T24Nko598QbMVoHKrqquOtBZOQErCnO96ZdkEathdngn1jbrLybt
qIa2i3s3DY21xe55ITtkVrGuBqrf+jBFS5/7MtmUJYsBPk5tQUToVQW5zXTvkNspROc3KZ9C3j+3
uo4YfTYBOb+Ew+Rec6mja9bvrNzlrnxIAsXbq3wQUVyDbwEtEKBfrrrYTm9MoM8+Y3qaM/h7VEKu
dBmtWwR36tESs1ZjwouXOcLOovRhJYnj7Em6YPgoujUO3zVsXbhXUxl0qzHuy5sAqOeq7NVL2OdF
tsEeY3FA6MS74Ch1ADPhrqUEGGxiOLbhMugHjpS468u62NdEA7ZT3/FXDdmbmVn93EBPW3hV9h7p
43NRdNkQtMK0v5gXPWeH3gzgJ5sZFkmU4PC7lG57F89No4kPVTme6WYgLT5nZX/yovwBfqjekk06
JfgYrTV3i7MRqMLQkxJ9AyXD/TG19G9u6qKuHfbgM0kQ3NwBUmg3XGFC0PswDKitT6UdfUIBjPe4
drpX5I/uvonU8JAaTCf00BZ3XHnOxUh3O2eU4R17OQL+fRrtap6+jT26P4cslbhinOkuWNIlWVES
k/xAg2WHj17eXTVeSiuYzzvPXmE7CMMd0RxCeFR+YYAr23gYvsjoO9OWkqjF3ggzMXaEBZHxzoQB
88xaqgPsIRVqVjBrjsHkp0ktDPHcUXdVkxlLIwy4SxvWN0NQFs+lGJOtk0X9tUqFIQp2mbgkufV9
7rr1BA92CzSJf10b9RAYItN159h3yCIh/7SKkS8Uil4QYn7cxexlYxLwPW53IFnbOsPfxKSH8j7Z
bMhbj+Q7qs2gCgXavthyAkrWney+9CKfMYPHz81kyGQpcueYTBtVY+peqEafXgnFkqseShdvQ76x
FM5/4ggpkY08P6UtmhADnWNa5daLMhZshxztEtkdw1625KcumTZ1nfk07nHq6tOgOER2zGF29C2E
l0x6R3awmNNzzGrk+QZWRUywUaeQdgx0MxkNBLeVITVCAogcCVMV67bFftXubKtGx0HRyB49OG7Y
oXV7JIhxoaRk3aMY55oQ2yAcjKu1YkqN4CFItWt3OCuPhideYJ54sjGAH2SZcoiUnFbajZf48kTb
h021oz2TZYuUXPUpsqZtQvHG91p2A61sl0FF0L54y4illBNLBUQ1pVnCWXrvE4cum14aHOINFGAK
I1EWu2eC0bwsYeEiIZde4n35osQwZejr2RfMEFje0EteQYWGb8OchddMpNobirDCBwaf4VG4nvds
B3ThbbDiwiJILd/ggK5U/I2m1vbSdQHyB1T2QO20b9MDuwhEOx3UPFvFSMMA+DyfiG/je8/gtu2X
xC46YqoNWP0hVrhme5v8paQZbln1sV9+9lZgH5MJvrTNZOQxr4MkpUDdUqw7rfhOYCK8g7Be/SB+
QdMzXJE7PbWXNLNHGlHptH4vgng5dbV/wVCbGBmisjgwAWGWZCuoO3mMqTzp1tCSnHcFb/Rg5DDW
ODgzcS5tzHeYk1V6thYfbTezdm6W5C+2ioevtnHbF4ZIyWsNZuabxbO/tRRXvuBylkfBTvIwN/ny
msxt9gbKi0dzpuP9myst8Y4K7H+vFMC5sVuwEFzg4aTyeTtfPPANt8ips3yfJaUFYQEJ/stdIrO2
0G3WjU3oUqnIr9cz9p0XK6izozfZ8400Jv5WAPZc26HC6ThfWFrIzII5xkBoqZXJ+4LIwgPQVv23
qBmS08Jem031Usl9yQYQNmytsl06Bk8sXs3PsdHtmTSVvWfYYAFTDSR1KjmbIKe0vufIPRDpsVGg
3dhApmmZJFNYFrf4OAgW8trvtx601TPjsoFTXoreFeQVm5LGrbvHWWFxX5VzBeJiDhAhfVcVN+5g
qqNv5uh4KaA85X7bkUrJGQy2zkDNaQHTZiFtmVd4u41tb2iDa294YUTw53J+OReLUbvnmEzaZHR7
TtFU2YGiw8sIXBkYs/vhFNLcI1ibs20n/SO8tIt1Slc3jd2UlPgl4iv2g+gmAeh0nfqhZa1dZ/S+
Atj8P2EPG5+avVZ/a7CevBVSqpDe41CKTZRfWMKzgdIF69YT2PqIbmcMSJ9U0DtgplsiVCu8XvYD
Pd7+SxrW9WeTyhcAWxhwFTuScaYyiRKc1KEBIOjLMzD7+b2m/DJcS7RTzX6KDrsQ6X0ho4CsBx4P
GB7HAC6y7kY2GJboFvtUZAS56KV3bOYNRL5uidQFNGcwdeUdkTZAZbBiXcHVh0RH9BGG1EK4jKjq
WFfYH1lsXAhy8aqj9ulm7H2oH9wS7q2tQwS7cBjoHBRh+q7pOSSPKdUbfbRdsalJ8BzHWrYPGT9U
tPMj5T8rBoTwF+s+/GRr5I+rOK/njwLwNeJK1YXFAdiBx0bKVfO8424u1J5ir4syCFJXrMO4Ed81
PE6MjGz5r9LEM89iuKxssTD7dLFQ7S36kE5pOP+QsiRFFXJRVhyteU7YI/ENGCY4rqBlgiUXHXti
jhN+S6ul+pSpSZAsh4BQ4YxVxHGugwEJk7XAl2LvUYNM6AgF28XXLRl4ePwPT84wjnrVzb7TbLvU
g6+jnbClMiHLkc6Ug6Ff+dUx9PMAklI62A5cDvLUZOb6DznThreefIfln9HNfFWWVrW2zSDelp6p
A0MMDm+1TOryAGzC+8R6aF/N0m844C6zs59HMqteOYp1RUSBxhCGQNySzRFcAoOykGHaWcTImcwg
NauJStTHQiqELZ5ryVdqoGr6DNlNtFn3BZYovgosPyZc4MVns3j4Avna6kRviryZZ21tmNVyxp/L
nS+oj7SY9u052xDz5dTcffXRSDwWFyetnVFwVzH3BezTp09ZXXv52lUWQK7aycYdc/ts1yj/Hf7f
/GBR7fhhCaQd6gCvZ9dpP3XgFc9AjCqK4U0bI/76/RsVgOCF09a5rSC8PKSW+zsjxt8tLzFYjthj
4SYP7/sXo8afHAtZaYfEgvrocqZneMqJ+RwSnrurQAqwbrNVvQPhVDwTeGcp/feGCf+/s0tgQWEK
6lIR70S/+HsW16LuEurYfhbpcBeLTh5GqZgi2IztPQMuApMuS2trF+OnWVhSpNb1rhtLApz8smWH
Ez2KasTOzqYUrmHA1EzC20HfUMybXefcpAaQqVsLiJCsqMtBCr89Gb8AEa4ANLsjo4oAbdDDqQWG
yZS0yVE61bHWVxbCNqVs9VSCiMUdtBGXAmQttc8OJXiaNIeDwMzOuc/FR9FQsWyFeHJ7ixd+0dLV
vOIwhlVqirzfXDr37zZC+sHt2CdH4KIOhr+Y2GpuJS6fz24dDyXnBvvs++Af1rqYj42DZcnMeDM8
KveYEen5Kld63sXVll3AxWNg3E1CQgM+dzY20UrXYlvEQMlt+EHrdrKuJltz3q1KNsBeURyIUYa/
MeZcjKS/OJGAGTPQ8kHE4meILs65P916OWtJN8Yy3tuyKzjixOMCeXKZsqvFGh6caQQ+yeK8nmeV
nRzb1j+ZeOmjtC9uPQS3wGlKHjFDI0+Db+M39+Z/98f5UJJBFsc4U3+5vikannAEWYnSQahiFAmU
jCI2+ZuPudTD/+0ixOCcL48Ar3bnl8/pGBj7KuniPePPuWT5Dq2DMVITiKwusZkBhaAELNE4SbNJ
9Cgecjah4OhMT3f74MZ3dICU2GZ4WLqAMBYNc3jBy2SBJ57bT91Qqpd/f2mcXy2NvK9tJwhsrJN+
hPbzi02zr/oFQYJ7b1QuL4WFGPM6tBEHaamkzYVjyEtc3rV23tLYd+kGrF0M5mOVnWZ/piBU5vNn
UED7+OPv+n9tv74h0dSq9mv4q+H6DxP1x/92Y/9/ZNIGLh7+6Re8uMD/y919sZn/8z/+F4O++s/u
7H/9H/7LnC3+cTGncgBhYRPUBHCD4rkY/vkfUfyPEF+2HwrfB3r3x//yX5ByzNm0WgQA5gX/ZwyT
3LUKsED2z/9w/X842Idj+PlhEKDzOf8jc7ZzuZf+j10x8jlmQlCnIMiNQ5/P+mV9arPQ2ByBvEOS
gbpfIXJkzlY7iUdZTQsNl6zDUp2jPMkyMJpe1Kxhxw3MtIfiUmM8hKNaycAOJYOWwcHrZNNP49WB
prbC0kkOYNuHzh3Lces6jv9zZstN0SxRq5MfVJrBvo7Yp8djfhRNui2otjn7eePex0T/2fbPAkOQ
1VAKGedHlSaAw1z/MfI7teYKznu7c+SmhfR5A4xxx4F7U/g4YnAqntgIr8OOtqFFmgVjA6dz95Ia
WWTU7kIoHyiN+mLVg4DX9vFNklrOLQ6tdO8vGXOVPL+a3QqmK/xJKLUq3rWB90naJcAmrj5AdUb7
sqOXcFDBstJTMh+BRQ73SxybU0mXzmfc045WzQ7ytDO8h5MVHbDk0+enqaMwMZ8Z5eJnMobO7dBP
n4uG3mVTArfyC+tWoKm1xfKDsPTRomxzqJPXqfeuiDBf++QN6Us+cc7c55kNyJaZ0IffRmaXTN4n
m9+98qGZl2Kme5tli16gpzS+2GBzhi9BeVGsUmQZThCvVRZM2yEM30RhXxeSGo6IUmqOUutcT/2W
HvlogyOGbkDDjo/x5amu2xkqrb+fLIZXJCjOpeyYhCwUZGx9wPIHhJ4fs7GA8klh31P36d7N+rJh
Zdv4vVb0065aMaYfboKQkYG4OpeacQuGKf9DSm1hzOmju5q60ytvEvOXZEi9ovHH61FVJjrou9pc
y6y8s50u//KlQcmeO486UaZ9tWrJtOTV8NmVmoFMBGGvj08ltMq1kzrEmBZLencINgl5mOhctmG8
MWJ5iLL2vgxtpoomPC91bo7BWOXUI+GDA1aeuGdw1v0mD+YP+qGmXWRV36nSHG9UKI6WWy1suznf
PIShhmQOLpJlPmJgIDgXFZ0B+uQtawaG89VQhneO5QcPQ6qUcx2GSRFDyGmcHieTlcPR8sta74aa
gOaaFuEUYl1cCajyI192UyGF0d8mNPErofO62vpLUgORyQvBF+Yw8yCjiINO4dUKJE7uMUioxGLb
az2SwVh1ABMYA4TRnMJAzJiBhE6bhJukSgxEpsIhZ01RRzatOEqCKrL8vB4OmmrYgapmitewCfp5
9wqKVeagkBrKRBCFo0ts1r40/oxRQyYo4xAB/R1a3BUafWV2TOFwxDKEkRGMqJ7IXxlUVvvVlTSN
87ngfJhoZVW8TsGGCFJkSUM7cRJH6ZbKHhAO6YgxbZ95YqYKPOjJWw0QArJdUluR+mzdMaOE3Ing
uzstUgmYvTj4zvhgfm0MT0w8FEBWUhnNmwJrWb+iEyBrDwgoTObcEdFpTf6PVpqgrahjIPPGxQrZ
n8rR36Izpc+M5HhCBrhoLg1luFZwJSpo8z9NcjEV5RnYfICCuVOeRVvUxW7RfhNtaxr30tusbPj1
Ce5n+4vtd9iSLGBbbIto8TYzo2VkbZ2FzhEu7FB99Ey88l0cluiQbk17ysofHXJrcZgjk+rsIW4W
LFOV4AN1h93ZgYb52nQZ3uQ5mWSw6mFlVdQTC8t1v9NNnt001Be8m6Zlk11lU3+jWwX0PIuW4lhP
hOIi0BlBptiCC/VUDOFTNkxvUVNg1mr6+VsUYBkAOVrde4XDay9Pwfo3zfCIrNfuxlFF31KXcdvK
G/zlu2Mvn0Zo6LO2bl4SS15ERORX2nDQzIYrwb+Ly5JTbODxCjVjfT3gK/L2sZVwRUGdXoit+DpX
1Bf1d7OsaJ7OJqbRqekGl/kcsJqt2zSVueKt/TIyiQ93IuuHx6IOK+8B0zC1NRVpoQ20B0Hur6HX
fJaDPVFfCjP2UPmw9kcbpv5jFTq0AgsQMCuTszXeRNLPnySzn/E7qc1BIm+BzrhIyJhWe0r/HFTO
A9nTHxP2FHqnuZedVZSKGKh0t+ycREEjndR4RtnI73wLBNXoTdNN5On7ucSan2SiuI+ItZIcJsxn
LXYIAKGavqkp6O47y45x6TCxfVK0+tzPiayr8xi37Y/GC4IDJkhzTMY6tHBeRvW7SHLn3oJQsArd
Ib6bhkv5MKzV6EdKKJF5KnxregUC6hOkp5NynQxe9BVVS3/dzdp8JdloGLHSkIkWZvUkDkML7Lnr
iSzbhhwTqy8coxCh6bO1b8uR7XLbOuK1NlaxZ/BJk3rMFrS6dkCY81aYs+3F+PXUMn9I16o0zU83
jNqvEWz2G/NC2MT4Q2I0YKSdFfl7vAP5RFbYauFTpZWy6huYbv4T2Na+vm66KSoBL7Y+rnn6qItt
bGfRG45e5o2Fiqd90SWtexJOSQWVJcd7VOnoyW6b6rrJATOAz0jC50o6wfdFs4Lk8x+yUz2nb2K0
AKJNTkrLw1yB0JvhEEZuKA4J5JKtkwYO3Fd3OI5kNqjTxH+2CbSxLd4R1IftIonoDnh19mmyiBf1
PFE5dMuJBj/plKpeEyevFgibVt7CrUjrS0372FO6jN+8WQN5mastVVvtSQ2TxuvmeSq4l8VYvdUq
5aZrMeheaLdj4lH2G0Nij3H4AZRK9JAAC0Z/OWB4Z/1jZMRsegxca74LBOSYe8ueIZ0wAyZoakEt
wRvloRRtOnKu6caYKi3JGpWGM3xElHqfyjhIr/MGCWU9Nma8dwAFpie/WwL72hTFAuaMytGIaXT7
gIeLYc5SWLN+SPo86F6w9qCJB3B4KlwwJBTtbVPyyMcAziBlU1hQhg5JuKGPn5KpFvcFOxei7QRW
sAL0+cHyF+8QB9GErJS7B9az+s5biERHoYr2NH0gCs1wQDZWoZZrlfgMnRpQNlc5Xot+3WGtYh6u
RvkxRbgngOTRgKo9+1bNdDzlMsEQXJVrqfJkOwgiFIxh8TI7ur+i2zR9LhQT/pJBELPaTqRP+Lpp
2mB30/ALt5AQZ4Yg18TIoxIdzy/iA8JYxM/aDYHH6IDGmLMLTvwuUqEHCzjznn0zkLljvmToGBMl
r+V6EILxfkHcw4oS73l2RgYy7Txjn4tnrR8nrzDd0eH8ecrcJf1kmeNlmUgDd2E0mZceqtxm+Mb5
471z6vhqhgJwXvz23IfOtFcw/GgzxWQmmyW4hjYebRodXPUL7pLGxQshMHRTBpnQFhcs7ywYxWMa
utVnh+a778vewRzmWeXRGSQd6Rxl+s80bdiCMRBmVoaHAgcTC1Q3ZSEsr1wWztZWnr/rvfAS1PdY
CPaAxNLkJsjoVFGtAeRhJhD4JeOJdT/M7UenZpx8Fr7iwckZ/7W2G1BX6lVw1iEIFL9VxX5z4vlF
EWDk0dhtO0xHn6HFgCCu5Iky1+LpT2fA87+OUH8Oov71EP+vgxVpS47wrghDN/hFexuXummTxDLH
cJJAwpgmFdTq9n74G6XqrwLj5XMuv6+DUGVzIuS/8nX/pPI4seUOhJL0cdGNfi8uK7wYFk4E6Rzh
0ZmsMv9Z0dZJJyJm4eg3n+5ertZfz4+OE6Ju+nGE9i1+/Zq5SUuL+ovh6Mu82wHXGx7dqBY7io8W
blJV3Uc9HMiSBphv5dySRWc3Mdrx08Luwv9jm4F4XF02Ho1g379M5yls26PwerLvtp0y9y+WAXSH
RYL0TknJq6plQIeWjcWF7NO/VI7/a4Dv71+Ik7CN6MKFjVysD3+9ngvIYCwgujsuuVKA66i6xavQ
5sbeajHGrPFpFXm/SS3//UM9W9jkliN2piK0f7knJQUx/kiMng9Nl2u0ZPbSA4AHIhfh3L//+zvz
r7rg5Y7hw9DC+IL8S0R1//oN09hzGzwlw9EsubUNpPuJ/rqr7Wn4zbf6+yPgcVsG9J+FiByUUv71
gyjEcDrmIs0xhxU63PlOl7BwUluqf6fy/TfXD52TU+RF6LSD8JcfLS3JVge4y+mchgiSabYUiZ6y
lJLT2COL5Xqu2uOT4JzXZUbdlaRA/HPkwCu7bPmI6bH76xycKsALk+Uw/bE/lH/sFf/9xf/bNSGb
zq1FjNjhsgSXzro/P66MudNBtlF+LLPMDo9dpIczXnMOS//jz/F47IOAxDIfc0n+//lzRJ+p/2Tv
TJYjR9Ik/SrzAkgBYFiv7vDduTMYJC8QLhHYAYPBsD59f4iqksmp6Z6WufelRLIig+lOd9iiv+qn
bZL06amOuQxECjRYFiW4J/4RKf8fUfC/ITdYIdr13z6S/0sVvPn4Tuf/vMPwH3/1nyWG9l8k5R0P
cZovrukH5In/oQ/6zqocIgU7QWAHls1j/C950Psr4C8QSUc5JOAb8kL+JQ9af5k+4eMQrVG4kBeC
/x95EGWRH/W39R18g0Xe3fLwUXq+Ywr331amzMIpzFi4209ln2KyV0l6sDqV3iEymC+pq62fAedN
iGeLX16B3MFaDWqpT8GY5U+1Y2cQc8gxbtpxdr6BPrDy1zqUlMgktnelELZPX0gwxTORvyZ4AQNv
b2xp29EEoXjTmUR1HDH98DGhbXXaD3e0gLzAhJqMjaxpm3Ul6O6lrhnw+eJOkaClrU4GZ4pD0pNK
qv4eUlBJwNR3pwa7na6gSKf0tml7xlrtzp25xfO1XALTGs2t6oP5IezjYQZTDefkbKv2kZlXtTwO
YdcIIOhL9STNYBngBarhiXhtFZ4XZ4TYjJvdIY7h2OlwspOSu5dgBvNNlKbH70cehPEnFip97ac6
DM9DbAO2YbZvqweGE/KbhBIDTipZi4HxchJ+N/RTfAIabayjTWamQqaDW5bkIzV6WRhSjWFww6nu
YDHU43kx3OE3Fxzd3E4UR7yXdm89N569Tpbj4IHgmku0Jscni7UZQwhtjiAnAu8TgooznISHz2HT
xqpNUAY8bDPphE7pUWOzt/LEgS1uOSsxdTbpHGqyt750ku++NThlm51/W/lcp3Zd0FKlm5Jp3xKd
GS++ZVPEl8Qj8VhXVQd+K+AytYufF6gqocw2k9Dxh2LcJpZOrqI0quJ94cvxyMkY2r02a/NsKAD7
DbC0rV4SdC0Zz1y+TZFkW9lXalMCr4Ujhn/cdUB2k5Ma/TNqSnJ16uKrr/i20FVbJMBxmx4YUJI/
4b2jHBr87sYsed99EHtcaxcr3SbO1HyYzYRRNOvF76Ssgp+OqviSW2ZXiPdU+nSoSxixfk+hpNWY
m5CynmM+uUmERyo7mBxZUhTbMLt4unqUIs9Q0ij1cN3ZfcAQGL4pVWYAdBESduW8pAfC3cGXIvyK
T880ytdBTX1PAsOd9AbO+ZRsiftXK4evpiWmzMspQDDkfnXuapRTP1i4cc9lAt8buv5aRPYY5Bxa
oOg57cHJCTdKAXXWcYY34ojwdQmGmMC1KMbYIttQCBQ0cSCOhAWXDzxAffqzN5s0IyjGiYhwEvIw
VECDLJvpY4tHcYDqh9fJZIfHs4PlSGIXfSWNMbWU7iS62TfCH6Zri7CFZ6VYCQxmYIt07xQeafjU
GC1OdJnlb6SnvDex+IDqkU98Iz7EVe/8XMktxq3rYLDbZ26W9nsc/NhPUT/BoRbeCGydpunZjPKJ
D5rujdqFmS7spJ5uHayx/U08BCPuImxgtI+H/FuPaTBygZ/92Bp/ar5dwcb0odLu0f+DhiKP1GQc
OIf4yCROgaNOM/2M8gFxGHBi+1RgqQl2maGhfyFQyetATIwH25VeDU7WKl8UL9Teor8Xv8pRh1Rt
xrGSG1m0BllBcNAdX6SlBkEQGIh/NeMWErVLicpNTVjliREOdy6L7sQ3k2Qd5QM+zdLKeVBr0XO9
Vj57xlTbRyf06bzp6bP5ZBRN0SqJgjaKEfSHDYcdYLThZFOURsE0xh3kabPAm1uu3dOuKdtkmwbS
3/pu1mbbxQpdptYuCZJN8ae1mgXS75h4922z5S1WkfWn4xqTO/jecipqcPC1Gt9oWQ5uhsKtfzbY
WSrm/eN824/UZiNQhNNGSTntWIcSIyKOOBIk0uMN9t/wPgbZAJJ0LeLOAfU+uCDttk5a24/VUKfO
dtQusdti7fCOWxLR9AZS/0q8JbtoTWeka6j22apt8ZPL9Li3lACxvDaCE/xL8CCyRVa7aS0OnxJi
cMIgoLMqR8mCS3npD+bcUxrYAKGsmYERQWwqfOBOLe8M3fQfJlLdezZaREhSCxNeP+R7Uw3xI7tl
Fhxay++eG4pyP1udOd8U2I3Po6pop3frp5BlCcwZrs5ulw7NU96vlQzdksozcWZW3sDyk6O1Fq4j
0WPQrus827rQaMWW4S2KNu0WIAO60ntL/JqPte/odWeiE/xmCtFv6gw/hAkY/5ivJfC+XxkJTUmm
PR5NuwcBMTC7Ku2yOeLVbnaKeoJbt1sr5lsmdfl+tnjD2kysX7KB+UbmVKRbu04seZ0rscioo/z6
R1uO2PwRadi76kE6J8B1AyNzvPuIrwGW+tnU2bsLVvNh6GdguS0UdpCKJEtIy36xNavrQuvNWz6Q
Hlkv/+TopiK5VFYF37SdWahcManHivovas4hX9zxWvQ7dAPzhXJwUsj92CyP9moBy9xZagqMGfX5
+S/CmOUPzyf2M8ZVpm/59Oo3k0LJaHI1RlSlXaItTh5lWP4GH0QMwIrglpMLlKCwrl5nC75gGxoZ
5+SGoBr+ebUrwob+DbhpIrLMzHtgxGiS/+vD+cHqIWw/1V1pnG1nLRC1ar5gidNjW4kbeJDRqACw
Qczr9KfXDs47E8nhYSpDT5zctC5eG6oDk7vZ0YwbzNypP0Fv6K9Y0GSygaChjHNHpxQKNaCsfE8H
nP+EokqHqHBL/ywDDXUvdhv+d/4T6eGnsZiZ0OAHMp1ZTXqr5Q+LWLsPTm6T5ho7VmY+XOtlMrpa
77TGhofD3a0iycGs3Uh3yg7zMurfZK4b7PgD/2yKtP/tjno4laMrr6On/LNrZPKhaBoM9R3X0jRy
IUD+KOu2PqRt1QGgp8TY9GLvDCKXHwRBtvyZWyUyROjhI9lioxygZ8NtSamu4Q/xXwFrUHnV5Xs5
i+WjDWuYh9Rfzh/w4OMv3U0QqLtuYDYM/hnPsQ1tobi3DIAQfPBtDns3R5ZrKwnOsfK7+q4tQFdy
ME2jiXolhqkZ7QAR2BAm0/zM5GCHefMeQgzheYMnQQ5qwYsVFwOmJLeVb4AQvWSbzar+KEjmXRxy
Eh+i77vdAB5BccAz4kvStIwJpOUWKDzo3Alr5kopN5ufOkjar4VWZQCQje/eZqlLuUnYN94j5T/T
VcEEeG7CntemVOPech0csu0oM8BALViOne0kzT2r/hwRlmFEwWEHOzbO0uRHbJXrugOSw+nscNhi
oSGwq4hgFtHcMIvaimlu34MsZ6sJEKLvkKVdJ5L91H9o3TCXTPOu2VZtUdwJ8h4O/QgVVOcU8XB1
MPrTjVZWDxKRUf6PZNHhc9jKgl4QfthtNqcmSSnuq9HkT86rGbpD+lRMfXiPkA8tlAUm+NacLYlj
4+uL9x07My6xmWo5qIEmJjEdEBEWBgIrlYIzCePAPFIUOBxciuvwy1vKf8ARbBBrqkf7yWPXiRBh
+5cUev6TmO3gfpwTzm2p23YPpa3dYW+Gi9txJEHo5mRPsQrzusR7Grwwu8sHrONwWgvUcNESF0om
8dhKFuojuU+GOBnB1J07uMY3K16+Z3/29vYc5L8wSlPYXqUuiNmwsfadaXiPJoGZ92bJGcGFKSZE
r12bJsZZh+fUa/y3wh+W+8pUxmcTVPmTOaeK5BSAyQuAHf83TpFMXpekW3vpOrf6Fs6kX5aRqj5M
o8PFl0znIwrizRzb9ZDXTLMUpQgZrjMCLG3lHSEEGT+8hPjoruxkdzA1weAqVThd54wRb+tKBhYz
ProtkOLyDHdlTKkcZDRI+7cmCZ7DGffJkfoRgCOCAVYjr7qhRCIC2aJ2Y51kF4YW5smq+tfJ1ESF
kiaLFhjBvBAbYERjrpcpT56nVASnTElWHidxaFbw9c6dbRjg2TwyNWfx2ggjfcH6GGwcZRNx1Ijx
dhf+bojbdJ5Qpwnewq4lV7J3GO4dgjFt4J/N8a/YkN2dYzesf3RpUFsycTs0tHNoKp0eRo4ITmRj
ZLtNGIndTytHts0l+cDZqI9WNxaXNvH7L3C58oFJFpCLeOBoRMq7eXbY+/ZeMHZHop3JO8cZmhbD
9DGrWZq7nhdK+VDMDk4JiT808UW6tFbJEJ7ElBD97u2EndogVj5m0IFjT58s5gEMwP2qIJoy6u+i
rc1xl48l1ZJ5GrznrY3YCeJMn0e+IAzqZ1ASLdUyTgMAIuyK4WMJ2u9FGpytSidet1NuYzIlm+vN
Sp1noucHrkDJnuovbrXZLMwbslv1LkUF2rbU+m5UMtj7DB7OAyb6OWBQPKmLBwf7aspUnmYDY0IU
uMokROQmW6Rv7yqa+Jmv/YPnJJdh6smCjM6944NoZKS/YM7HeNZZY7jh41xrJBIwju2yFhQaGpcg
DVXlC03L6U9znX1y+/R6Ntj2h2fq6SOTBD69xQaRbno6v5mxzB89IgunBha5OJhTR18SBrflDS/r
Ha5TdVcQjzzE3eo5EIoTYF/TK1SKnryoAlhVuO5rx1DnUy7dTZWW7aUrc+ABlomVP6tE8mmHsfmZ
cNzYBqQ49ng0gxsOessF6lx3m5dU/FUp/21B0B0aE6WkbZlA9HaU4Z6qpbJvG88fn7XP2XzuCs14
ujT0WxtTi6dJwu9qBvUbMPPdJ3B9QBahP9FTEI9PcULBJzEokwLlgN2N3vS9MJiSkjINi00tk2Rt
KRqY3HMageU7+S1zvRY+YkPrElnP1sWoU/S13uKeJBw1Wm269bi1cRs24MdrsmbY8HFL//Yht/rP
fgL4cGsxB+dmou10q9lNvpVtjGJblBUm6SWr36dEIU/0wi5jQDyEWu+rXBKcyYaG43dR3Te5sN9X
Z+adTaXPd5ev0+zCYQizkXwOp57bzd4jLUGnwzJlLwXd3lACAoZ0RKi7uiYw2gbY1j0tMbe2y+uQ
SvfkowCdmL7b3BcmUd/jwLE92Fjl8JG4hgVHArYwzoYJt5RwoDwBV9fGk0WN7UaPg7Nlf5FPVKLr
D7vMWAA6qzrabkbjVpNeRNdputl64LTmiM7Cva4kpBc37nPrz/rY1Yuwb5IJG9ZW1CpXFMXZCzE9
syJsKCYjJ9c7VnXwAuDcNg9EE0KBsb1cj4zU4o6SFgAmW5tCh+S2CFosWG/oEfmNiaa/DRYn/mlO
IIphqQmKjQvt569ZnakzCk7d7CGLUUtiy6k8Gz5+nGfadZenWluDdyVYrjuo4BO9TQuUuV02GhCD
USUOWvhvYdWSUW25vjFlNAmqzktmjltcfMsNl06I/zU7FgifzIU91o3wZoTxLANqECnOpfg5pO00
7ZvhnUcuU7cs+R4IqL7K73D4OV9l3gc/UWYA97IfcZKWRP1JyN66oWy/HJUkPExhIigZ7a29Fabl
d04SLD62AFtWv5IqFCkxMaHthBVuE5oTicUKSCV668nRtSKmQuNNXjCW5VrYJ+gRZdsVVF6CqohY
1wFXSZmM7lZ0jW9eypSE1yYjF8JxOE/nNUdZaXHsuInle5JLdPsM/mBGqnC1v3WU7F9F3K5H5a7B
gZZ1ZflcIAe62xjF8g5fSMn/WykWd8idCY4iHRbeuXUr5yMxcLmQSk6mbTFiDrYMtqjZd4nPOmk1
ncdQep9FacmfXmUFr4tX07KRqNS4b4K1ZbVziKFsR9HN+wDgSA6AuVcnTuLlflhkUW7juYegX5FE
Yyada0mmMg2Sd6ed5YFpl3dLzxElKXZdQaHSfk9JXRa4Xx76B9XPdllcPKcsCBVy5nnNO6NTB8tj
Rp23nrivMBDTrKEpTM+1KB9ro2yPYyxa0FCKu8cWBB9JTUt59dXKrcTedG3FQ1KJwqGFs2oUCFi7
MqhvHHVcUe8Zkmnd9RToHorBdyaAe/H0NnhcsHgnQUeC1u8VfrMp5F37HhRzu9ALudxwRkCDUhd/
9GVqPQd+QLWXowOPc0KRiIvXDTiqEnfIP+yuX9Atssmw9jMgImNbDQ7GmtDvl5953XPp4uvpBVGR
TL5LQsKcktcs092hqm3vjCDiZ7hMRX1ArS2/YfDbOJrmMN9QXSR6vH+kpu4yGAwvGL/yn+1oDmSY
ZgB2m3EJGpxSpHpmvmI9DCTSCPVZz/DKiAQFLR6BIQmfq0xxm4fqbVIzaOWf8TxSDNHbdmvTNkpO
bJNgO+QLWriVRQ9Vq2pSseEgLmM19EuU5ZP/pdxe/Sg9G6tCQTCCskwbSW+TaX/eJqmH9shdgGhu
QRlSzkTdEsnH5Gf+ZbIVWmkW5sFtTgd2x3lCtSzYORxlPAOGwGhXO4lJ56VeSM4DsKBoGr68ic9v
gOtflRPsP+D3bx7Yt2jx2/6NJ0nZV2WaGKckZIyrBA6Dy8mA4RsZoku+McPl6R5uSr7mwmvaB9iW
WFemeiqrH7kYnPMSNou9MXvYjNuRbZLMmheOwEdgChl2R9PiIE16I2tMa+st0gBzr6Y22QHioufT
hk32YEMQk4eAk5HiyhR2UWvyzO/g78Q340Rgfas0DlU8ikTMxqJC/irMUDsbVlUBFrGa9kYzmv11
Ht263RqrWR6LrURHAyaCmIQVc3WipmFw29G7h8rMzsYVzAPaEecrAicg3QwiDpcWx9MxQSyaG15w
YkxdfIMXzsUvVlm/h8IIHlXgWyiPOcUsjoFpIDKxNBY8xsT2N0YpVb3rWDYhzGBheEi4agQv2ALn
XeINGReYXLdsLtZAqh2XCk5VzJ/vJQcyejszO3tExXWwp9RuC9LDzx6LMpiPfsAAYZ8Wk/8is15e
gFQnL3mVcpImnZvfl235Kile3jWZ7xennE1kFxMG3iR0V8URTuT6g4GO8d1kcn7Oy5CcVdqAHdn4
LLvzZXUkg/IEbEk+h3gQ8ZZVyy6G8IvDnPo086D6seAQBTwlIYNyWUvPhsWwaauxEOEoi3uxEZ5n
s6iWzi/LaEcAjLOAS5i0FyQdB3oKqIDOnO0+MqpG0Kbnj8uRsHLyqNtRPsYLGTLqDyyawu3EflIt
DWqI+4F+LgI6HC5p21MygL6S7JfRH1I6XDqUKEt25KtjpxfZMeDrS2VYM4g1bZOOEBetspj3y2IN
y1UyH/WO2OgE45lU00ebFbZ1Io38RIqRgNtkzR9kcnc0pDeRNKniCtqlHL8YyBANDVv7lTPZ5LK3
5an3VHA1wQdA5Q0ZbyxBirzVM2dRmqJMgpTG1mQUBam1aCnWwQP7G584Z1Gh0AG2QWdWv8iiBsU2
EHkZ1d6E2N/2GY4xexIbp2Kh50SpvOrwZ+j4P/PZ/24+y3kIK8x/TdY/QuH8Sj/K/3WvPr5/denf
AxzWP/7yPya0fviXCTtf+CCdV8r+/05w+O5fa7qKNCXhDsaw65/8c0QrxF82Ja0Q9j2eVtv2mJv+
c0QrzL8EfghwKp7l+n/+6F8FA/+0FdFN8F/aVbBa/tuE1vRtK7RM1yHDIQDfr0DqvxmAbI7jcsSP
fKhZtqOMza3ddCGOWWnMHOK0ULvcTMFLtm5w8IyR4lgn1pE/5vHJRrz4NmmROBZMVCJiFHd9BfbD
oXrknWJ1Wk4XDwgdOeD2q9XAHMOu7baE35Jb6m+nx2BNsTd9/ccKq9U3zM35MKWd/wg2Kht3zFKc
rxiKIPAsx0v3GKz3c9jf0GJeXtbhdoSaok+oXifa+JzNTF5zn8nwzuTZOMow6V+9pA2/C8NjyUnT
GbqkEfd7UVvMntYp2HfC1vEO368/L+A4Iteb9GHpmvSIWYqUAiOhQ8f5NUIKpAwyC+4EHvfdjNh8
bFLSs+3ce9zy4eZkfbfcj+A9diFrqsX4wJtpkqyB4i5xJn8MYDh+MSrxbrRpiHMb9M9LZ4Y/7aUL
7oXPXHNjoxHwW21isYEv10mgn0h4zEM50tOjnQ+HYJ4nllG7eCUxaAIZmfS5LuwvMrnDTVxk2ZW9
qttnfgC7l+go1UQd/ZXQOtxNUvjZZ0qO5Cfx/+DSZp1zTegP+oTIzB40da7xe5g9fVPNwfDa4Jq8
4QPnfbqkJ+KWSkLXdG7h2HcArAIXFbgpyx3Ijt+TU9SRxykCpMEwVGcmFIiTpfgaq5EI8gKNbY+d
L0aS8hx+UUb95FR2vi+p74tS2MSvrPy4pTzOoEiCrKd9Yd2INO2OXA7baBToe0HCHAunvLsZBhex
lehoTj44fgnUMnL0pYQbA6OGXMKpRy+peJtmWRx7m7EcfS7VXVauXZ4qSAGTUlW0UTYQND/udiP1
5EADPbWr3PSXza8kxtco3VvLGvITURKKY2PzKrnzXZklhN+udJIfE3yBHpBI9UIGuzwHaew9jzWn
daTLsL0GA7ipkYPSA6KmWW+N0GAa3jAJRiTo5Tf87Tu4x8bW6hO574ka3i5iriCnetNtyu0j3XgM
YjYZifMfpR/abTRhzdsbFb+zMLfMyFB1/77AnLoYQSAf+0r6F9qvgv2MPLQRU/7dIojC/VAHOfv+
SyGnBuwz6oAykguZ8TwaXShbJPHrH1Ywh7cp7w7BAFVqZ8ajlQKrypNb2uySe7FYTqRTQaB6tpjI
QLBQ5qETQFzBaMLbnIkS+rh2v4Kl6MIt3PH2iMzu7PFaBFB2V25A89VZ0zko4nxrmGMEWsTYq2a8
qQYK6oMWZ3hoes8pgLqEsdwJTZ48ip16RvS3tfo/cVeKf8fss+rZJvYX7roWSd2Apffvq17s50A0
O5YDCGw2G7PbIEpIWddAhPCfXGF32tsRKJPo6teS6s5017RK3ToUL1IziO/kopcBxzuD7qhO6/LC
+T2pttioiyt+8vq1aUvFlGnMxI5qawfvhVZmjOKzFI/hn+e5+PNsixTH64nyCcc7IRCL8wg4ZyYi
Jpx61ztG8f7/fuu+8396yHxiejawCPxudLPgzzH/bcWfEUBRsxNgwW7yFJbVBsFRPBnB9G6uHaoW
0hFAnaS9+qr3ky2TTYI3wyT5NqDTUgWcuMrauUtKCxZsT1zz9kqOQxP7VYh+DddP88lvx6MzladW
YCzY2r16xzCxbyg5O5DRO9ulHWyLIvtqW2w1fLeqe9j/1PqaAHYx0JO0sYgV2xQ+MUooBkpNVSFO
9aCEBwjc1FS7F/Y2HoG6DJyVD244Vfe9P4bviKj1+zyYwx7kRv1pk7C6dZO5vS25e+/T0aoOjR79
Vwz+qKKViO/nKhse+Ud/r5Y+A8Ao0vM0QJ4OQx3slgpI69jL5dBgGLjawTifEljjZCYcHe8TbSdP
Myoo4wNk+S0vG4kFlNu+oF3hgNva2xdssrtSkCBjD+qznepi9aJt9I1EhPIlF3kIFbx2fntAgaJM
F8WF3rduM0k3RzfGnbJF/nJfDO3ad4h+xpPoRpsqxhCFZWFm9KvNm+kFcrD34vpNfZ/GrboPaA8+
m0tlHYXlpNe4NRXgPudU0cqshzSI/AadpQ1gykL9skAwjwDGp7Eqbukl7lt453hRUgfecznDfM3n
Vj0xdUK5sSFxpI1lfzpSxM9N7DThNi5/pDpHMdSLS7kwQOXqHX7zeIN+pq+LQnE302661MQLrhXN
5/vAK7MrKUxuEwo01l7RPxCDNQzSLWNyeaU3IL7rjFE+IKX67YF0xXx0K49suSNqRtJkzUilF/c9
iv+NNy06SsHxb6pEMFggTfsAP9k+lW3MccU/kczZEsa5ozL+iUvNhmsLULxkvpk6j2lv4OP5Z5tg
zFjcd+ualaCZ7uN1HROJlVK2ZRi/g3WFg7VAvRUDk2ZUNsojgHOGuu5h+bMw9n8WSVYKJ+rXlVOt
a2igUtYZ5MeFhSAF6Gmv6+28rrzTugYr25nONU4tYCJ2O7/WGE/29jizoltN+zhAt74sptW/u5TY
RQ2JpKgwlI2mtW4M+bpH+OtugXhJo3Wx7iEtvlbj6NsLVSb6zxZkhpIir9CYNYUMVus/z2bj3nWS
UUFEk3T4nakUtGDQWIV76MxAnY1Byn237pM9Te9R/mcHRYIOPkeZu2wVfKcF+1QmL1TOAWuQGpRm
A7LxEFMUn0Xqz5ZO/JUPlgr7NCI9NOzxLSBGLx0fkf/n1DCvBwiDk8SyHimCP4cL/Dk57hbfhTzI
ucPk+BiHacvMMgXmE5dBAKi6ny4VEltUhsZ0il1qDRGAq4Pk6BMNDNBOeb9ebfsA96E1hM62nhqI
Q2FZQI/jSnUSutE3OaHTn2njObeEcYNHCG8xU1HqNUAsqfBXu0j7fmKS/TWUAJKzbs5+AMLVT5CS
pi5KwM+c0ArAkcQ4kKLKdLI7z8IbBZYiFbeeIaDaG/DqONOBLh7x/K8RK9u9r4jyQQeT1a3ugRNv
5Oirz0kNr6Yn5YpZn1PKe0x3T+WldQgA9yPW88Zzbg0nZSB9cgv2BsK5AaqU7IhmoM8Z9+6C19D3
JucJl4R3T7rE3WY+W5dVUdgkAUKDJzNVeRJGluuoyrDeb9IhgGtvSXgd4ZR3Nx6c6J03jCEIzgwP
TLj0X6KpJb9jKPswknjQUI8J9Ww8L/GpOLf4NaKwuQfyhDzF+PKzs+9JUAgqMM5hO4zHKp+mc+4b
uJ1IfGCobr3kIUsM882agvsl0dMzAgtVMNj1DoRLsnO6WB1WGCcAQzrbxXsuPGQp03QREVSlPxEG
k3fZ625n+lyDw6aID/wrnyZBnR2vyN3pqvYutgz58hu+LtnKzexh1X6gUiOEEwTlFMgM1nPuM94G
eH/GkTjpqG/21hD1L9M2cJYB/SZIyAHAWO/7SPOZbnero/y16QrnPMxdf0OP3cjvwe93UIUR5igm
OPk2YgwVRNRiBxzYd4o7AMkafA6m8xufyudMd8OBDYwRThg3NRMPN+BpH1dsdt4mj8B45wMrDwfr
uDBf0PUiD6/Ri+VI+9VpLRoz+lL+HF0USwYM6lfB8x4x8eyOg17ea5wwwivB4OdQZE6u09zY3niX
w47g0A/Dq58mb0fV9oJ2V6ZdszMHcKrbPmw886KkI08BXR64hQr3HIpSHBct852l3PktM/iemlQL
XKbR6LHHe/GXrch2Jx7+wS0+Do71S40ON079wmjP+cayGx9CnHl7z5rtK8i77CIZ+c6XvjaaR9oi
7eeU+8u0zZpJ/xqAWOdbUXTBFasIqw31GliD5ejRv0ZCZJNTr773cwZ+qhEuR2N8hDyJeKwiKP8e
P3XIPspscDaxL9XZzmrqfYKO9z6UK7M4gHVvAREMeKMouzmNGg7XkbvC69JjrfxlN4Zld5BoTlyc
hKAhsphPUxjah8zlv48y5r9WnASzXQwd96YK63nPDL3ZC6v339M2sw72kNFAExgFEnM589Sq2QRq
UyMHbmTT0VzbvYUgIRff/L32C+4GK7Y+9GD4dyHqrfLlc1f4dEbYTHwe7QTe02HM4NvmYuExSIOX
Stccqnv2doAfFhQlNR5oL+ow+ojpYPYeNqapNF+oaG0ZiwBtiVo1KJakQUeJY5MW9ePK3rKV8P0u
SWQ/I08szx5pLomnlDYOAkRXemUk00Xe8z2AU/sm58q+wRXj3dBoYT/0Y6a9CEU+qA+YC40nl636
Xlj1+NspPuOOIvBRTtRUJ0vq3ZEPdI4qKzgWGfVNFYA4NFsvUl0Z+xSk5Qcv61tWEejy7tQZUeV+
z15V5vvV+AMGYqZIeQx9CydSfNVjvtxyILxom+i42b8GBT6LxzllzuBoa9PWdv47d5Pboqhq8pbS
fPDduH3j+8XmBezpblz8hBFSLV/BKY3MfUpUCGqeDXXARt+/4REB8FWF4i02C/enl3vtVpudc+oM
Mz+zE6RXr4yNbZAy7uvpDdlhC+RQkScnrfJsE6LPbzDSpA9ZLr3H2YzndzeVCyPQpDopJoHbJYdy
il3PLY9Uo8CFkNqfXnuWvK2sEfnXeFt6TBy3OpXZDOychm0yheH0ZPexPEAKXQ7Uojp7LAr50VnJ
qyibSzSX8YxKbk1HzpAm09KGJhpCvGZ875a1PDltP+0Tyr52iJzpD0y1FDNhjdmqsG+PAMfCY4IR
C6REBv00iwkc8xqoG0iqZTdInb+2w0x7jZ4SqPVZ9ZiQ2GTEQXHPHrchrlxC1QfLKn6UxizPhdP1
hyKWHMjwPe17HyRjBNDsGYRht1t62Zxz1gywiXMpQfQ1Ps7t0hiheeCgFpuCThKefkVPidfzZPFS
GjjIFX9j0BV05RgSIbxDGq6cxf+SSS2OKXOrQyyqLuo0uVSGDPRI2VAnNe25GysocrqXGlYzAviY
yQs3mvsivthWHN/UtNXXYfrpIszkxcoM52+k8UVVMa7hYhK7HqyirpjGrUSUXeku8xmFr444Pjxy
L2eaBpERrz31S54RVzdpgW2jGgc/QidYdrRpQMq1M5+7OSaQS0r6h19BbJ1wBFqgPQZcJHZX/05j
AHLeSAIoELOxpazWkhsRk/vFAFp849cs3ujLUSXRMzt+dIwhvKFRvbznrgJQNiPpZ84eypLrdeIl
p818q5NMvmEbrrY0rjcXstk59z8J/m40g6MpsvLgDKq91qLujh0QSkk1N6WJuLopkFv2i59bB54w
8UNzXbvXBrXO9eCrXVahffwHe2eyIzeSbdtfuaM3o0AaaWzwgDvwvou+14SITux7Gruvf4uSMp8U
mSndAmpSwAUSUBWkCHcnnWbHztl77dBDFqYHJvkBybEQ8jA0u9Hleqrce2oqCJVV6F4DVfe2ce/E
99hprX2VpOmJkBMX9TJ6Cr+PLwPT7tXv7Id/dxSGqsZEAAwXnLMPdqo+zoXvW6a71cYRFKQV26/I
X4CSVDInXwgdYrA00yHA65qjD68TryckIyy1q7RPxhdGm2W9Ti0ZrkfAKJAp5n4lPR0YNcrTFUkN
4WRp4IHnDqdug0lldE2DcCxs9xDJAt1KwwlR+8bu+nd37f+DIEoY8zwYa//cjz88Z5n6r//znJX/
97+Ozw26s/qnlvy3n//ekrc/OTNQifrGAKlH1/tP05T5iXhMabl4KPnDnuMI/2jJy0+MqKRBLClO
1W+8pT9a8uKTwDVFHgU+WvxO9NA/tOB/1ZK37J8dlqRiWI6Fh/Sj4TEXKjCQiZKB4ddoKphmEvms
WxhpVNSdl7geCnJj8MgvsFGEwDMaK1nrWlUdRyL19jj8qw2wXHlu50O4AtnrrBiODrsUwf1aa336
U6UWGMVGSYK4KBTRHfpmMwu6x30mqAbTJhwfhrnawaKho8ZEM1hkdXVhKJE8BMR7gTwvwm0210u9
QmHgBZ63z6eeImSuq7I8rA+0U6wFU4foGXCTfXTwH0QMT+eyDAuUXLlzrZbMVVs3kjjPkJBSrp+r
uuJrgYfLzT1NKoBRztyxfQ++FoN0JcVtO1eI7VjBpqyqDsJS7YpTKQZt42M/2Y6Ul7ADwTW55D1A
kICaXMx81KUvYEcXc3WayoQgm7lireKuxFKQT09aAgyC/oG5M+YaF2XpeKsSjL7HJmh8or2/VcUq
0zNk6Zk8ywERLUKRKlxFvX+UsVO+WMnU0fYotZUbaMaSSSc1+FyNo6tNHuhzlA9B5KmdPlftzjyf
XeqIug/ozcbtREeiJWA0ql/RIfgHU+Gq21IGJ7iDwkbue60DbisIfLvVtAyZ7WQ5DEsmlXpfaMgC
IhkmNrMo1VDrwXJ+1sookazQnbfUsrZdR3qqr8gL4LdECPmCpTLrdt3QnYW3awri/WxjNaX2uArn
f4lbdkxIw1LimjZ09qXquQsrUZvlPXZZtjEXXW9wR3MQJGkG15ZOlN049EX0DEeVlbjBxYx13KNC
Ci+loLQ0ynrGWpfY+LlsNSFNlQrHSx8sF8tgTNnNrxSXNW/xmbRMRZNRa3WIRhVJQo7WDtRTPfkh
WAUFHLuMCBXCNDZZaPhfxtLmPTWZJ1Nq59Cjrc5XJVz7YEKuHbvxn1mP0SNKPCMUkwa4/YzB/CpE
/EEhXhn5yUcmstJpil0RV5XSnvBKI9qoCfS5EFN0HVkp4VRViSveL0pGQBGwVFkYnJzTum7ZqvqJ
U4XnpkrtYgi1b/SOxueJ8+udycvKVcEU/ItOX4BHOpCgoLD5Nz1piC7wUjNqyBYgO6Dt6IejUVlh
tEHz46YCfPvQSYvRSAaNRmgYJy5RQ5QIfbs6yNdjPAChrfBcgUunbLwxIyfpEVJpGWd1An3EOjYq
l/16UPp7P1bFXgNnMmOSp6CmiMvhL2i6Lw8G9IiGJpLnoS0YXoVOv5BcN/lqwWTeQb1or4cAQf8w
6+Umo0LlmQZ0VQy3HDAIxMEzu2m0z+w62Zej39LXUtg2UhucjEOSADOpJuOzTqEAUtV33KfBT9sj
ZSw7K2lrEdYq21PluqcXO0OuaVGLUq1EV3rvtaAztRparb2nlg5fkHn3L4Efdxu78sdzUrP6yyhv
NDQ5MrsEBiURNdQIPhaWMVqftXo0OcU7ZpYvcDMVJ6BA+qrPiuAzvyTbxaEO1D82MA5ZHkrROesq
L+3TRHAEMlBEF1HnpidEm/KzawWIB/K5jwLGn9kYooZoXWISgfheJh2aVyOCfkIRuM9cszgAnC3T
lUvFEK1aR/inOHaG3YgRaB0Cxi/XA8K7kyRbghGVpiPWqWqnKddcHf2ZeZN3Z5sKbkrTeNcw9a4w
vlClYodZdJabb8hnGVGCSFXe2rLzjhlWJ5yIVvRaiNA6KApSTvVKRwlIV76LzWgtQVTTei+SnUDC
vkpl2K9lVfUrHvV6TeaBucjHxFlVraUd7GCwnrAHApyJQqveSkZyMNPS6Jws5uksAxlw4TUAmkKi
K1Z6UTfXknX+sgqQlORY1odlp5Jqa/ehdWkrK7k1Gi18NxzKakjkZPYpV3jHKRvine7BC0VI02/R
e+A09UK5s3qRFxwFmcWuyj6LzwKZ9cnaMPvpBXtgs4uTLLrOqF33YKeviEP3SPONeWYXXuyJJ/Zt
7whoh/M6Jkr7atIZEoLUArZVeXp2cNtmzC+YbA+0V4rwSxwnwTXnLv8W6SWqbMZVHnpgeEzI6Kxz
9HD1c59l9gPHj3o16JO79Eid3FkWqiq0y4a2ybFEc1YiOuMqG0yHsK/Jhks89aeu1iwAfaFD8zg2
/ANwj2Ix6UG/98hO2xBWaO5blHUBboa23ThanF5LBzheBEgRLUwZ1u+0v6LwXOAWeNaIlWDimUw6
8qoEo3OM3PEURnjfgtHXFiOx8qfJzbon0QRY0CwdDyu72LbzsmJe490QVYoPzwnEYs7w1izPJyzk
QPORsbyb4PLPGXgM6wTNNN1/l2TDSrnNq48iDgFnLjZdX2mHCU/cO1rEcVMYTXdTB2xDC2JTgNzQ
tDwAXk6eRcTMk7OUCC6wvOh029M62lQS9XlQ43JSClDugngHdXR6wyALiDmhpyE8K3HBbkerYKXT
+Jl9ZASM2ip/uIzh46Nq5wze2G7F1WyrO7/Pa1wqpVgG+ejvkqForntZMz51fee2ib050q2nk5WR
/gl6Pjq6mn3OQD/fN51GVtHUMMx2Yts5eeyrL19r0393gf6PLNT5hV4L/NQRPHSKy+8vPFMEfvo/
67lXNF4RyDJevzeQFP+oS+d/+T/9y++00t8pZhCwUC3/c4V+ek6a8Pmtf38vf6rMv/3c98p8xpPO
j6Jjm3BLGVL+WZkLZDTABMAZyJlLME81v1fmhvHJ0QFVeGBkZlHWnFb+vTJ3PwkbYgZ/4wlHwAD3
/pXK/MPU2PZMj2aS4+gG2jT8/POJ5MepsSzIcq0Roa3snsi6DCZIz34QZPVnYNVsMo6+YmgBradW
W98N5jEqkAPf1k9F0z2affykyvrcrqdZ5NKpXVu1l/Dm6Q7gUsJiRnBIVRJuV8v0sXVZqkgFfOwh
5HtEEcIKoupRdomoAPx/H1/8cDf+Zib+sxDo64dzTebhWBbgwrrWhw9HclfYTiMIwiGLV0BWNon/
Ja/LS93+HVr64ytZ3ElpE7xn8J/FMeznyxhoteF0DHZXJKsR4ALnK9fIIiX1rgxWv/5Q5jzI//+A
IQbcsDE4lvGHKfljxmD8eMvYX/tMY3FCM9e9Oj5MOifLH4jkY+ZIcqffFVhY7A7xf2WXK6dTzVK3
rW7B/DuE9t+3O7pRWytynvhXt3menWlSTCsp68dA64+YPJ5FuLJkaSMdKl7qIRuXpcnhDF7AabQC
1jqETERq6FQAqtmbDJVwmCXDmlSSfhX647PdTU9VFX02K4dKKdHlt27AP2q8jPnOfbgGsFx0KWxb
2hKH+8/XwJekuI0mHvrCdbchbTkjG1CUhy0ZHHTii8cys9lEkHyHdLMjnzyILnsDO/b+65vx9YV+
fiOOgfrAhFBtCdc1PrwR8syGIAvolhA9xSG2qiiQNOfRDRq2UCN9TRXZqzEVRpoeazXdFnK8gujh
bKlkES974spU9c08/hgkUILAeZ7i4HM2Gpsplde/ebMz+erHN+vYNvsmtA1bn4kK5odvaR4TRpO0
Q7jWdfJFJB02R+9vrU6/qTT7jJPaLXF0qN7t3USueVTp95jPAEFYCM04ftcTygQgVg6NseWEhzW0
kQeVGCZ//T7/cnd5n6DsBP1aHiV0hh+kLDKoHDuKHA35dnpTYhfZUJf0TLeHCywTRyIWkKLFYNgt
Gx10Uk+fu2q6GbN6rZrgN2/mI+7lw3txP9DEGFpi18VTtPIhiA0l6UuesdBpmtKC2za/fbmva9KH
ewQKiW8TsXOw4D9KWRzTx6yLNmpltsyu0FHRX2trLAA93wrrhvwXgbciK1YdlmdMvk50aYfj3tLD
z85IHzmOUX8FfYY53csffSWXAZzmLG5uCcVKjiiPyBzwPeAOMrryMl2tWpxraOhP1IvWLiZbalEC
qyS9UyxGTidEZamj63mUibkEZmxVp7Qip9inzIFv0TS71tXHNeTZiaY1yn1RY9htzeny19+Kn5dY
2kd8KTC72XCibMNBCfnzI4+tL22KlhtBo2M9WcEmLs+HGFtEdvbrFxJ/fUzoldESo4bkhUz5YduQ
ExrQ3OeZNmOH6KnkPZcG8wWiq5bTDM/ymvAhHvobqyIGTI3XGHCffBJrKb79z3Bllrls3gBULnJ9
DhWhxdPWxCen34TM/7gIzsz1D4/zz+9zbgX/oHOFdOAEoiQakYC802igOE8cLLJx9uizQYMdJqeW
0VbEKCokRm3Iz+oBm6tbVo8BMD6kHhNQbavR1gMY7R3FaHdWNzXB16JPdrSL/W1Q2bgcOPreq94q
lmXVnhM63y2sUoGeaGE2anSh+Krxwrbe0WgB2omw0sKThgF4QZhJtkZEqzj3FA9DGz/74ayeLfvx
8yjVPaFL9mqicviS0Sbg4ByQ1aSq4JjbxbSBqXv/63v71y8R1Q7zOUorGpvsID9fMgxrlBtm7gEd
8REBJiyC3TIyScwoxebXL2X83WtRc0CdEoih5UeQ/BDrFWanwlt1YjIPCjcPSkbzWNZjcI9mC9gw
qAE7H8+a4EvgMIQoCHiBDcoG27cF+PjRsLkpsr40vPE3b+7nfuz8MDlw6HhqkWjzNH0s+9K4MzKJ
aHGFN+YwBhssXsepuvvNFfhYqcxSb2D6AgmsAdXI+VCp1CIJVGenQOzRALnD3ByAdwVRBT1yFBa4
SNV1H5Tlc1rJu7gfryRJpLTKmBdapAxWU1bSMojytdMMlzSBwhOGU2YWvmP9pqD4u3dquxabIl8L
+rgfFpeWUzHGBhjwrg0qKo7o4+L6YZIJNZIWEW4iZwNt4OgivPn1RZrnMT+t98iKBb1bmHTsyhwK
f/5GIuhppwLa14qR2r3fOywxnPI8supgvnQj7OGs+s1LGn/3mraB0N6Cl8YC9+G+eNmo42SWaG4r
f5sJDZV2VA6H0gKzKCJK+0y9hkl3V4XWM8yvZzFhoPW1l5bDG4yiojh3h/xLTCfUKJxlFN/++pJY
f1mAXUExTaoqizBQua/v/4eFbdAqCFKi1VZMy/CO1VsfB5KP8Rt1RAioOZmQyvMl6gfB+Ds8qMn+
jNlx2LS2/1QjbVowc74WffclDsNNNpCcDKWemNboEjH7FuAhW1XB9LosXm3227WjsI/Tc9nDod1O
pdUfMGiCbEIJNQ4KWKds3sdMv1Wj9WQ0wYrGyqYDcWxB8Vp3JrSDX18B56OYF4uEzbHFocjl2fE+
1rc5/j5OG6GzajrnVmTyirbEzsmBZkAOShEztfW6keFZOQQwuAhATAtJqvSYNmv4+ddt3V9bdcxm
QH7TMkqsJR46NniH5JpMf3QQKK0yjz4tVvJT0LTtDA8e6ZIFm7q3jVk+eyJFtV/RQgF/XuQwPt2b
zvSeDBGdGWQvYFje1zG7QYyLrNcRf01qeiPmrFwpUZ3XKlp1vFFDzy6wc5+GOD4lKc17lBrPXdvi
sDMDWEn9tm3ts0JLthVnkPXgJRiacvxMVk7/fjCrdaHpBqY0g6F2NqxGAyxVaOFbHmzCsXSDkXT5
2tfBRZE+OgDzo/b9N7fi4/PpEnfEId3haDcP2D6sDMrO/dyp8ASaYlmBZXN2XbGrUJ0V3yvNf3cH
5T9oxEm+169HnBdvEQ2UH3sn33/kW+/EdT7R4KAUBvf+R4fke1SM8cmiqWdJQ4ez+82C9L13IsQn
yTrKzubAj52P5X/2TgznE9hIg46LZyAWpxnzr/ROeBA/fDdsGjdzFs3cX7BoB4uf1+6osyvXKjAw
IDKoiO7KEJ5A5ND0s9CpwzXNbm+jSsNfe5gwsrVIM/9k2Hm6YbOpjkkMHNof9IxYRzMi/dwvMV8I
0Tpq4bIT1FuRSwpHI0Kk4mG1XAdt6xpoUXr4zN5YPU6RTHncinQfmWm4y4ie2KmsQ2rVqBAySpBf
RAxmW/jnbeetpGnhVs6w3TKyGi2M5sKq63wv3NQ6RpySPaINyY/Ey6id9XGdVPReWfI5pg7au98o
fB5ub3gvkVeD2tN7+BEyjg4FwgBwUMlUnHCN2Q/IbMWwBs4CpCQpcf4t6qjumLQhpV/Bb4nv4zZ9
6ic9Oovq6JY03Wkpg6zb4yqtn217Co+WqMJrv27tG3uy0jM9isV2IIkGPSSptdGYk304ahqnep22
cp1ugiKf1h6XDi59HOKCrf0FXMD+uobrvUw898wthvQogjbiQISqJCjlQtlFdA2+It7nRpmupdON
n4epsE+hBJlF+1oj+TgCTY4ij0bTIZmzYpaNbgK3alRJFkiRImvUZrnJgos2x5+mhgFAaugpHzJm
nXdGMOmX9ogzzOvS1NuDxhDEr+NdvkjMAZc4WVXNc+GEfbXv0RUd7YBG/EKnMXcBLgfcREbm3xwO
wUD22HMaBWCBxBarsWORFsSEyLtsuoDhk906lrvJRxrezUBbHzFSRvvcdytAt7Cdog3FPjs8DgPw
MI04jzot/qx1sPX9ps+3OXSL+SN1EEZR396VKIfXsnUHUtiz7qIlFZRbSRDmuLAGl0GU6OvuhqT1
EM4UXqgHhZL7viiNGkFNXxtXpDbZF7ag9bKStV/sFKS/XeZZPQ0/BXun1WlDVzKKrxpExdhOw6DC
BTyOQCb4SN1GpUYBOyedASe44a4B97q71kn0nY0bfoN8lBBNMFWsyKUzp+mmLVv9DWpNGpV9x5gh
vC963BpFMnbnquUaG2DSnjByq0tZkFErrRA/cp1ftINxbo6jsUrUMF0lVTqTZjQuGVPdZY26+8xL
pQmtkwkcTzUZKdu+rmmRYu5mJF8S5jetlRfX01IrB4CMjFfendh/gkRQnyBe5Gd95Q37oAQ4CsDb
qXaqyawT+CuETvjlmgWaHv8ibhg5ITby86OK8HNsRG9EzM/0yLkiXrW5N5I6bFGdps5Z4xn14yCs
HBBhTe7agiQJ+yhLXw373hWNgp4V2BFTMtMdP1s6N+kGGmm/amRevKUof6B6GZVtlyeX776HAgwH
rvGgBbS19mE84wbioEPkW5hWor8iQfa9U14AAGKwid+4dQry+nrluNkh0vj1S93oxruQTjNREG32
YIjByg5hEVXbSE/mbNhWKrAQimV6wRKtJ2tHqvQhioZ+qzws9EsW+3tVef3JMNvmXOv1nHgKKV3y
b2ygKG466G8OZic8jH56xvw0gfyj+ZuOHBub8d5kXhTGML7kjW88pTVFiFO3cjfwFLHClgH4kba8
7SMB/STVJ4n5kMCT4i3o2uJqsmz/PdYaIkzAL7zV/QDWRuj8YoMgEYJ5zckatkNgyuY2Im7ZXVpO
4wbLNmQceD02ldNxWCFKdUPNMFn7ICYevcUU3a+jOE+JzhADp65M0aA5yzOnFPsMcUS2liJCC2Yk
wXQLF1EAqCUxgSYTbeCQMtjCny9kHnQYp73kbIB3x/aCVr0k6jOn9uI4KUj62I4QCbBfz2K+NLhI
ibc/1S4mNM0aBg7rVoABm41nkfVNeUBBC7lFzdGu4zBkZwHRMXcyqgLQV3MGLIqS8rOq+TiIGnkk
Fk2Pf2flKEK3Ahi+04b+LkNTVN5EyyZfY2b9OXFWtyp6nl0yei8438CxlXHEEKF0GAOC/dVzb4vQ
jApPz8YRcFskLRIEcV9dN47TCKJbyU09+rjMkIUrFYBWYoGPLghcqUFK4Onbx5Tp+74UVn+WWkW/
A9TMU9Bo2bFghAv2A1g0HJBhWMaA7qggw/baGVRLqkytP1ftdG0RmWyijPfVjT4kQAegnzA8b+Pa
Qf6B3K9ZiCmxn+tg1NMVTkP7oVZSeUvLBqO7A/TRhWtV2ZNN3PlMWdJBASz1sR/fA8PT7xh09jct
yJFkVXRje2ObuneseIYXgyasa6OprAeSaTJCKnLr0CB0Xci4nsNHxrPJS61hqWx8na5MwEVOB9Hy
wC4Ypk9vWVoQ2aNMaxx5i409A/WyBnAIt5Kwkyqrxw0iPC3fWqllfqFwGtWm1NxsvDIDPbyTodnN
v113j4mR2cE2MgvzLh5i1jtaTi1AzmI+YdRZ1V5ojoKOhFLJeyhTL9sZ8AjxXCJrNnewijqCwTWf
MHg7pF5bIGFBZtokDTcaBH2cXTQ4PNq12zUpqCjCXetYa0ecxGQH0GMcc2oID6gcxFn1VGXkSSox
aasi8Cfmp4Fsbhr0hs8uozWxlKpxorUK4IzpOqmPwBZEVS1FamUXfOrq4Iea3uzsUgeFmoSqeW/S
UAc4E/SBi1jds5xdMbYAbmtF8u2SBCUEtaEesmDbk6EBCGqz/swZ9JJYsryFtBlIo3wjF0EmiJg7
smjCyiyXVl+9ujQGdiXJlK/K6iagrQNqeCDammyW7EzTGtR/PBsU9OCJYPX6JAmVfSCpFbYK6TPx
WWcUd27PwQeRWhQYa4em/TGrm3gdZ12sINHlb0wdfLYyv36cckIg6irhnnfKVudDUuKuYd7cAtqE
lpSpmOZrakP12+SJqi7jCFY2QvaW831qxiGsqQrwSaSSWtHV4LyzCaToH8cwg7uYJBCt1xoikKNm
ucGdQn/zzvgVDa3f9WmxLlQxGctomtOimHlUq6mty4pVGR/fomrgRziGSRK3L+IMYYTy7zswMIvK
DOttbbfAluF5odsap/U0hlsK0l2iY0hYcE7NN2QklUvsGna7SAYGE6YLKg8GlYU8xGEJjLKkeegj
LyFNrx2W7PusJwnfykPgmv6uDdLyVHRBfwuOrF+m4HtWKCWHJwIH03TZ1Hr1EgCsBuobhubrkBVL
oNBrPymmJ6aZ713k17Bb9GDX+KIjsGoE5gPazZVfKZXA93yaJnBrQsToYyhGxIe1/mhY7EYPYVVo
GVF/prw0O9slsqKBqWXWKdbvoC2Jd+s9DsUstHnyUgaSSdXEArGiowoEyHZDDc134ZW7mu1i2bIH
7AeE+teFF/X3yDfmyN9U9NuG6CClhfmRzNZQW1QtOKid1mQuQOE8R5OUC6+/RWvNJFBWdoFGIcle
mF/Vj4IegFxlEFzea0tDzEb/gd89uPUVK5Aulko3S0CnSdFcYnD0TpZOcOAKAaV3ieq9vqEpj+jB
t2FhLfoxrz7beK9Qp5UxzgwKNGLQIFi9qsDh6XBauG5HHjwKwygPi2fPVs0tCk3zxCxJXGaD0dzh
G0KNZJYKdLIZ2CP7LEzMZRdp3hbA4bDj29PTvQl19Wa1oxftiinyjvSMsN/rhQNuKIYLhHhjNIFv
xg32VTFbCdI0w1WiNU7wyATdRo7Rk9BDsiY3sC3MFi19rhnP2MvUwbD74KwX2ez7decSDBM99UA2
iZriwGTMQ02ILN8bmxPEJEiHmAJKbTEJX/e2YW5l7ywS8XPc985Z6uoxmXVDla+5ZuAgOzdCIwR3
FYUXvi/Se/zivrHj7sjDai0j2GbLrjSNg4HpDgpPYkHwVP2aVRWZvYOsFnqF51sINGcUcTCNBDEF
qfcWeCWPdh3aycugZHyqS+mJhRO5Q8YQojZeTAUidNAxikRaIiDJcm7soTjTix+OtY8MspoSwsLM
ML0w4ym/LBw7Fowu8eV6TTrb9gpkR0wDlpJF8tlLdYwSrpKfI9wNL0NaMWAqyUo8G+HTvpSiyGnj
p8GNgpz6KEhevIE3zfnPYQ85x3Hp91vQwA0QNEe0yZIHSxebVicRC31ojZMtkOsh61vQ48QRg4RY
5vkN/FtkkSGf+woVA2R1vLndSjmecxyDPM1webUpJGoz3A0TxcVszZzCJYaL8M02S4pF+O3rSjrZ
dg4GCzYSMe8xgFp3aRt+iN+k126BM6Q3rBfVKTD5GFRGDHu6JBwh7bHhjrCGbkWPXIwb6nP8enJi
VtvBs4Kbqph+0zL/ONKhG48kg56fp9M4t2d+yo8jHUBMVWaW7bRNcA5fob5sz61wFrHmhnOImAtu
jVkI/esW18d2MNoUnVRvmo0ooIRhfmhBi8goJt9Jhm0fBumJKqO9pK9JB1qPw9tyqgFdjCNWflwk
v2mufRyRzK9M24TGGiMJoAUfxjGllMRqZ8jDK7fEYOA6yBSGwtaOyBqTCUOhn799/az/7ibbP8qU
flQp/fd/UisO9RHtq3/WMl2qN5r673U9/tSO+/Zj39txmALALMyNN8nKjzLpTykT3B8Oa7TdIPgw
7Zr/5g8pE84ESzBwI4XA9lxh0ST7LmUy9E9zjgs9QlMwHDK9f8lkMD8aPw5SbFZ+YmMIquJ7xP/8
8C2WJSkcqlQVNYx88rGANi4lAok/EOF6zkhJNfvBPOdU5ubrD1fq8tuL/Jhs9pev8YeX/jCIFbHh
JInekAxs4YYMQnCOYTztysR/6Svjtwlj8yf58ZPOAzVgPlS86HYsIebn+YfxSOx3MboHHJkdkbNo
EP126dEcWg2uSDZjUz7qxMZuudPVOk2Vu/aczlkmpS7hSqhHpI8wXaeZn5Zcjq1zJuNhaapULlrd
f6gqX3Cp2mgRFfHRwB+1/vW1Qvz2l7fP8BW/OyImSfKT9WGNEzVEQrurLEKXW4YapgkWAg4tQSud
NddVE2nSbFirif7Ypafi6Mby5YUYZpwfIBtwe9VjMtG5AJP9pFn5KTStLW2Al8AB4IeNZo8IjRq1
59+KrEfSPKs7gx7WUxEibHDHah9UQr/Vch3hpp/WO4zZK5ByMFyvxkJfxvheOxleWzLeBWP/AtYQ
/kC4htm4GvyuXQZRcoXd4bpMR1QAb+NsncBN/XmIhmnrjBgOqJuds6L2KMmNMtkThaj2aC8gLzUz
7MHlwwwY+qzaMLeQQ4JbO9GvAFbSQfR4ZbPq0pMA0focZ62zLcAvoa9r2SgBPC2sKmc7Zm5UryxD
RYTAOkj10r7a6U7CLudwHIMi5B0snBwn12Uptby4uew730Ie2kB4bAr3s6kLBy1pVFy4COopT+f+
M302yM++t5Z9KF5KOXXvGNH1Q2ccexH2570+zcYvt2k2sZkUG2mL6ZATu4oZbFpC1jA2ZJmXb1EU
v0VBYe97DuK4DQDigW650pqypvkcHvwkfUKle6iQgeNPo3rh1shmrHdGww+Usc8hPvPjFftDdcYB
bD2o4tZJud+//kKKuUv/4+NEqUEbxTaRYVIOOh/1dGQoGxUQQELe0zSHVQJoIF+idCBUBtZeSadC
mrdRJIbTFCrtc+jLucPrwsb0o4qWt2PeYeddTnPLrlfKfR9yd7wxEz3dNoClljaOmevQLJIHvIGK
w6Wvf/n6Ef53U/uNQFdQJrG6/GpTy+Pnl583tK8/8qdrjmqLjQuGnGvYjHD+3NDMT6xQiHLRoKG4
1GfV7vcNzWS+ZCCZ9Rjcs6XNX5fv+5nw2AUpZvhBKjiESuJfGS8xxvrwxWQ/tdlNZ8qe5L9ZBPzj
Oj8HWdhRLvKtUl2zq41EPeeRDSWME+8lqVDNsa/0cZVCa4Sk74bIr/JgXw+4/z09N5aKrum9m4/y
zauhdZG0qW0cBmpMAOLhqCV5iI5KY54upX+wMgY9wTA942QAex2tTCXGhT1kR01LrRVPsbNwCmjO
tRfRKOdgQM/jXhTWG+jJpdlBckiastoK2CX0GHXmtFXJ3guoN6L36Rh3qYwwKlWIeg60RvOzMhmn
C+ra7FUlLLqzRuJljDjA8Xr9Bdu5thGWFvCswWC/x7eDdRt4y9IaGS7Xnp98lplKV8HEq/oAzgHK
cmp+63Szw/xdBA8WTqS9lhfmitFet6ry7AoDWUGERdgeYmPMOOC4w4UCNYaPTg4wrhtax2TeDOoy
xCy00xI7PxZBr67HrJHD0s4h3oAEEkTTgu+th+Emis3gvAkthmkob7f42C5pyHd3racH71Ua1Y+R
3VtXGeMy8CSudxm5lbkcauxWGeHUN+hMBB6J8T52uuoyhPnG0lHJveJaH9vMj05wjfL7nkEhLXR9
xlsEjHMCsnqrKn7uqzI6D0OXRiFQBsNbFL3T3bDaZ+dOGb77FnK0KQJ/1Si7erSJEKAVPJav9oTB
LB7daeV4w0Moyl0SSkRKIllHpWFcdbj01pEbJ5dgxbxHyx7KkzGW1tHM6tnSMKVvTARwsyc153fA
1PJ8JHXrPJ/KeYtG1vlaSlXBDocD0AycppKw7g9wZPzznoCUHSs5VHPiP/e42sRZNTrvfn00xCOg
KX2NUt27oZlbHFLZNKuJGTzGvxgT1RSM+PEzrczBBxqYs4HWJudeOCFd16bxTkypAeSaQWdgFdWD
0UzjeTqSnBvonX4aRdWtAlqFS3K4+pUyuEGcrgWIix7sMOjUstnpIYHSIDZaSLn2F4RvLigbQhwq
UXkbu2WcFHKM3rfsMueccO4IgqtWHvjtDaJVd8Me5tx69KYYC2fpsx1qyLyaiGAMiU+ehjOtvrim
8VVNI2jWXMMwNqpiqY16Rbe70NfWFFFGAkM4y+xi3IlKOduUuC4o/M5FPtTbzMyxobhTeea7vrWS
sYuQzV44pHNsp6BblGiG6thfIuoAJyGKFxmOW5pV0ZHuk7solZ5c0c8mp3gmaCc08CwCwoGXzGMG
AE7onHT3KYmGkXhSPe+ujKjqr+28fLLs7CWfAlhpzanJnde4y+3LCQ3NrtRmMJ6R+Sw+82+EyWUS
bd2ny3K67hvr2sU9BiqkblcUmeNN4MGYMntg3owMYCtHBH/I4ryOpmFNuzBfGsrWrgtgHWCMsFfq
RjJt68TWmQLQZy/G3Ph/3J3JduPalW1/JX8AHjio0XwoCFKiKFFVKKKDEQpJqOsaX/8mGE5nhGzH
HW5k472Oh515r0iiOGefvdea65oxan9VQZvzh74233sUbTujMtQb2ru8TJTRfkgH5QGUKVd11sgg
W+zZ7cYRni2APKyQeelbYtkcDms9f4mAEh1UM0XPnVHhUIhXV7MpJRsLuAvGKl0OuJEA9QrquEO3
RmsQEo96Z0WrvqP31TmhGpnOEi7k+sLldJaMMDmdBC4MznEfZHaT+1JowiJdBqrWQbc2FbP6WiOR
a/inq+VIY1G4hdzPVzifwi80q1YXzC55JPYE/ayZS9KZJ2sfQ2V5hfncX1Opya5lZ/I9LzmSNQQD
oUM5aCTofib1yfhJm9jAE9mFQRFqMTBo0t1w6iVgytKRRvUMEfxttosndWoav16SQMqJcORC7Jmw
mB4bhv4yltJ56KbTkvDLgdjE5K9tbXxAGUg50xfyJVfGN1ZKAgY+r6pCoRu2uU14JL5BmqJxB4sV
AIeJodHtNihHX+p4FM3cz2QGNXGEuRdUmAPL5zikOigflTZWpmrX6QrYCDnIQ7mO87V+4X3opdY/
kM+QbDO1t4we2n6qIuGF4XgTl8kZzIjmZak071ZrbN2kk7Vdj/A1wJFcB6rOCq5vwJEZTDykd6pd
BjbneDSfUqPubQdboYHxsV5e6pRlA05iker70Qhh+G10Exk3L2yXNoCasikG4J8kVPD3skFyDX/d
za1xH47R1z5j1c+TR/owJ6WI/GrjqBR5VPg0LmVH3ygr8cZbwSmZXs1Vph2wajVMt1Xti74RWjrC
z72ksbIDu8S+7MP6IcIaHSzNEOquGDe+S7GhXuYN+tJs+BcTGNd1BSDqnak7KGZ93rbBhUPGBozp
OLB75or7sjMSdAbz4Bvy8DIAm8E7uvH61pMoIo4xscI2i2MUkhOQGrtJKnzXKYvqLEii3AJZJrU7
Imdwi41so8TAabRUJUuTcyi6KqdvUpXAahzynlj7A0lDzjxb9VFh1IDiIH0n2sLWd0bJ4IhpiNI+
qPgYj7X1bs7q9EHmc3hqZszOU6gr1/oFxjNewDxVNfXfV7ah93SVLa/eMD7iQvRZjLlhe4NA/gij
Hor2BQMEBh7f9pQnzXkZ5d5bajQ20sYO0vuCwIZEWeRnlp4U3xIgyK4pMfIryxTIG4NotYiQGwi/
cBcRGw9SFs94YZe1CEgfCmMP9OVjTW9+7hrr1pLwrjq4B5+XhMSAuqJEieT6Pa/n+bEuzBzjpWns
Bi1n91bVwj6jJnqezfGuKkdIO2V8ojm6MwYI2706vIi+fWo5vjlqmaln+irVDo3/smPbg4hyoTUx
qTRf0g3hVFFWRHr2I421gEyn/dqREJiY+6mfBkaMGiedVSvgJ2QqKAUsrVz21K9SnWhTGd4dsPJF
ku8zOf7BhvaM0uOt07WgmSf9RF5Ls4uEZrtGiiNCJ+ORfZcqLIx9HY+olxrrclN3muyGaBw8ddGa
E4L6Xc4cLPam2ew8O9aGU7ShIMy6gQohMd3wUjSRjyy/1nG5mBWhRWk0qW3iNAVVpxaf5CpLruHS
Sx4uVHXfgBs+U8UtD1WaoxocJ/1OWCh3i/QNeBP7zawN1wM32m3y4cZIu+pKiivJ6XQd22ynYI+v
waGHStJ7QgUmpAIlcKtW+p4ykSJYCmoL7ejN090YPnoH2hSdMXvVGuvHbgrFHeV3c4V8QtnXRNmB
M0uvC2luvmL3N5+x+lgYvVG3ONki4YtHwXXf0u28tUMhgimtvls5hD/dbvGHs/s4s2kc0J2QpdH0
Lw16qGasdC9RMLosBWbjnlikUBbSFz0prJeymCQ/Ib33qdRarzC2E7y+oH7Bci+9kx6AsiARxnlC
U+PODCWYZzFhvCL8KMerhwYFgfZenXqDi1pERxI/6zvTYpOKqhwLSjl8wVTVHEnhaL/CikMeozfb
+NRoJBaeLR9xykiXAs7Js5OELpEtoTtFNiQ0zPHuqmt6UI9D+FQucXOWI8XymrgJ79W2hiJIkvyB
Gmy6r5S8/NJGLcLOYkLahKH5XpEK2QFEmb9VhTADCHPlh80kIZinWnOthgoa2YF2BD5CMukqlcV3
AgRIlB3XlOAVBDDXlbwkD1FElcdwr0meCU/WWGprtGhDGJ1ELstBpBbySZCj4hF1Afgx7rpDuCFG
ZbOMvpUaDBxSiRVvkqbiTWsG+0S8j/68CCE5KIoMBxM7pDPCxe8z5r0PFarkq8myyLpLRTJy6ZlB
MftMfN6Y1O26bXMt43OXarsVTTsFW9c9A5DTmOXN08kkIdk1pqY8aR1ROAXh7v4ahu8TdOKLUdrY
lflC6Tar4Y4+mAVlsEWPURbq/bQanT/3ormOutSg/jT0/dLrePt1tre1iOz3ug8Vz+YAeIgXq7o1
oiQ5QZdIgIP3FORa2VxVAGXYNTR7h+OPwZGS3GXSBLo3ojK3Elug9RFMbkgNPClre1vIsQImS8cA
Y/b4zteM9mGt2IeeNuZRn9rsgx/a+KENzRkQCU23vCfsbcqXDz1cf/RFtjiWjEqlnqwIKdOMx9wW
m2cPt3WRl+F1GEenMcuoHIV9o9RL5qHNHMHo6smXREoXb1rzr5U1giqIUvOmHlC46Gu6KxGYuJXS
TdfbIZ90qvKdrIWAEFSs8729+GEbA2xcmvQ5jhVJdUyIrF7MO+flI7NoHO2lNwytOGqUYG6jKOVT
RAEfcpYbnyNZN7C4yA/pEoU7LdxZUxiIrMmuQJefoV57ZjSxuCyU5LK8A1SzwEddm10fEaamLvNt
qnWvPJ4zMVBFeiKXCB/m0pIB0pNEN2EMDtqVJqyTySVgDpUHNQ/hX7SpcUuwzNc1lk8R66efy4q8
1QbJDiGqBL5MUnzOeeHewuDhZWApz2OdJ4R1dM1+7OzVl/QND6F36ZUYGaU2Y2HdDuuiBR3SNBxM
0c1oqjKq61aOAMENYnLIqCIeL0uJIhdVCP50tZUvcETcedNBNXnqEPybR0RkSEz4Mn0fV8fMsgBH
ReN0pJdHYrUlzeNDp6fl1yIET47MSYSQ3stVcsLYJIRUjptZduUxPRetkO5nmGw9JDltBBuyUWYp
M/WRXNOsPKV9KiBBlu0JLyXHXEjMLsSwxnJIr5xRtkn2y6Cu4bMioMA1I+cWp0/I7XGKEp4zkawi
gH3XB8SVGAhF5+xq6Y3hoC+Vfq/OmhYMo9L+MNqUYf3GdP1aIYtBPFAQ91nXvIwjiyeXxr4OcSwc
er7k3lYmBBqGloF67Ho61q0Gtk+enkfobA99M2kn0OywhkVZrY4ht7cq9/QMTIYvs1r9c6RM73We
Kj4nIUih8ihugeGQaTyHSI9UdaRvoG9aLIbYt+y2wi80An2oPgpnWaQjWa7E9hJEvgMdSja5aKRN
lUoekEJgNGU6GVgnubbNBzOfJaTJykTBXRU3ciH7iBhR9kY6K9YYJXtjGbMruyVvzu6rx9nIvrc1
9OMlkZx0St6yTEsPZtMCd2lR5DD5Btw2f+k4/Fi8w7CqlhtCYr/BQJKuCNOJz/8rfc//h8Z06NUZ
hW3G3H/f1Lyhy1cP7a9dzf/51342Nm2NoZtKN4i4Yba/C1rgp3DeVv62KeNtOosaxC9r82T9t3Be
/xv9VEI9hMbQhh7m/0zqFNqhyNx1/qLKoUAlcuO/sQt/H4/9CQemXFj0v7TcLZm+JnxJRYdXg0Lf
+jQw04m2qSU5s/dpmxT7JZYzRiqMK/pVdWoWxwg9+PyYWSkKtjHHwhqv81PBQemBLHnqBLu5kRoy
bTmNzdemMo333aidRUnbIyOvns1fS/bKXMlM/Ds6iHEbPmPfLm76TDp07fYiDdZwzdH2XiozVnPS
LV51iSEGiVxsbGMOgSO1LIcIRZC3HWcphi6DtpPMxF69WjfGRyK+LKrCnmVwWuqbNtUYzOvNIrtF
XG3skzANyHk091LJUHVvdxAt86GIX5K6fs8oV0wv6rdssjlJv5H0/DqB89snmnZKMT/SLsOtO+EO
82hvdF6pLR/I0QtPG8rmNCO0djqqu3vkICiTWWvJ7c4RTJFb2yZ0Ktd2Eu7YJGiW4uRlnFPDQfbK
snEBiHXd1DiTrh5k0aLGx/tSMFbD/KMUgrwohVDGqS/qe3lK3ya902DPhqGrxviLsPRM3Rbf860Q
7FnEApYjmSIwB1DXRQ8jwrtenaSHcTDz85iDIQcyTQxLrYXymXE/ZxktmuLcRdJApS02zxJFpIz+
auPhs3LFcrlPehggoQIErW+IXnH0skX4IZEets8BfkugRTHUY4XqU+BZSpa42tyBtlzTsCcoisBC
Ui274UuvAHg7dA3c24Cok/Gq6fUGSYm9AmUdoeagrTJlCq50Q4aTOqTJP4xGnZ/LkkRfgGCdiQjX
vNj6i6K3/UVa7DsU6JmBLh8WgitsU4eTP6023iqRJi99Z7Q3a98TKSeqNMJuIELtNqY+Qwk8ocVr
t6TrpG5B1NvleMtgvRPnJevJ9GBIJyEO1Mzc9CdNYMW2WzFN90hSw3hPe29ornjCVAAPFlGEXmc2
ykmiNvuo6qS4NlukkX5P9lcd4E3puOecPBn2ZQ0qbeDGE4WlfUZaf2BLAlmLsBCBY+b3cl94o6XK
jmqaka+pJzw3L3ln3s0p4LQ8QSHWJe0+7okE11v5Jq/ZSyu1uh/V8TWstYehNPxFaMspsZGFFtnW
T22OaRR6DAkPRnxjFOSblKadeTUBUT3J3K6mTLrXF/ThIzlT70huld55nGE6lI49yndKnwC5mK2z
LDf1jrraoRiWd+xYYC3a4UNdz0UPgI9cTU+I+qWQFJwEsnyoDXTDU9sCOYqxisJEN7wqk940HPAP
NnGNAEu7O4sxbbepuxr8YzwMVrQHcpqjq40fC3WMgww7NUWqGu0bMwJyahQLPjlCd0VRde6yElfK
BFv6rqF2dhozmEvobKsKm2usSbIvLZm6aps+aAgv3dRWKy9k19/cLMY3e4keMAQlXmIpQzARrskr
k+7IFrU4iJJxioLS/LFqa+e3YvGFNXdHRUkpG+lQks4RHkbdfGDpu4kgADtqsyhXWWLt+kIHnpYT
HMy5I2hsmsW1NQSUv2/5BkKbDeTJWXirIqJmhKMZO62zHqV1FO+or7LXYY1+Tif/rU9d2aA5v0xY
LbJIDEAlCH02XQYq1k+DrJIwHglSr72XItoFcUFksU07iawI5OS3MS6ExJXWQYeL22TdjVzNyQv8
KLKxZyosvC8gtlgne4O3jiQh+y6Fn2b70Zy1nJMTOpgO0zEylDHrL89VW4of4xLyPot2mkLXrHMT
AWCxtgaJ4EO7+c/b8SoT0OWCOMLhcWihw3zpyzq8Hpd0HHf6ZTWRLitLc1llum3BmYknlQ5Dv5jK
nvcSe33blqD4ZU3aWVTG930qLSbGbtlEqtuwTE1G9EMJgTgofbQDJT4c87DbTQwpdwOmB0dNx6Os
xdO1LpcM9zPSW8nk81OlQMCs2LFXcGhzldI2UP2q95xLe2S8RnfEl6gHDaACSDpAjUWVdF4xg4kv
S+VKZVzxLqyqfCL0u/I5p+c8q6Rdoj/IxEC+yUjaumsQXx104bqp7OW05enWLFYhrRZp9pAsnZiu
ORkVpEoRasuAjBm8bbSu3EgFQSJR+Rw39npHvL3mEOd2Sqo2RZgntLsBth6CxjAqv7Io4LNozHUH
a6gioGNtE25ok96O9WC9Rb0++EmZnlviadDYJSXS7yIVN3j7slNhJ+Z2BOmJ/s4h+yWkbCjGdTwD
ES+tQgqIwdNImh6lQEh5fxdKCiczM4p+gBTlbZ2TZoAzwOo1WqNyG+qDfMa1l3uVEK9aHnLIn2GQ
dcAr4JAX7V0e4+FKdCXIi4qJSSOu2O0gNQ7SeG1FjeUZc9v4U8z4k3SwpEXc0/QLMUr6CzLF2efK
fckjtn8tw0xeRZwwJSumI1qLR04alZsBL201VCEIaeHjq2+RDLiBbsqPRk0hjJQk29JxuaIJ5sUi
PeaKuO6K8EuI59Zq4kM1Tq80dJyosk/wHZCtDoO+m9fhrYhxMGWN+l5pkX2TDTXpEKbc7ixyP/aV
6L/rVtddxZbg2Eyi19ti29MVcuXuXFTKcug60NxpnVhI+DMrGMfuB8WizklQfRu13N6hGjbcJoss
rxBJAtRG4vhZRAG6aHFC73uD9WkBaj8odC6lxYPIBC6+r0OQmKhLRkhlLsMcsoUAPdjc7EybUr+3
ao8qYcfcrb9ZsY55CC6XwNSAbdBLhrgWzjd46sgQK5TyKInFoPgQ5JvPpjhnBO/cYYvxCdNKAEBa
uRtNMhmvzAuTKyAzCmNZxsnvhBePvjKI+iMbcQKwfVc7bVgrj7Gu4qgF6dWcjiIPSUsawJmBM5cz
//464wkkb2pelC/mMvSQCVv805yj+mcYgjgbyyRNIVgncEoLeptuSs6q4ejK3NWBtCXp+oQsFdfh
tke3224NRJSNu75s4sZlQ1fNnKOWddnox8umv14KgDoKKQbmS2GAi58iwdjqhXirHP5XzlH/34ki
N083vIc/Hbb+T/n2vfhe/tf38u2/TpAlX7+3/3Xocv5n9+sB7B9/6e/nL/VvsEVktj2VLY+EJw44
/zh/wbBRIXjZdEt0uL//OH8J9W/8XxSOZ0AZTBm95D+UJWgodTRKaCyQzMn8E/+RUlJ8UhnjpubN
55sxeQENbfHXfhOW0ILscL4yR46nAmKQzki3tjKf2q9z4rCl1lrzj95IamAU2SvkQ7x6gF7dZiT/
N6kIfrfKzgsZBRBXlTyP1TK6v1zkvx8Zf1VUik/al+0rWrQZOady2sAn+ukr0gPl4JhFbWAVVMES
TjQ/irHdL7F9HJvmu6bOJ6MbvC7CTZuxnfx8Jf5t0fJvvgCMGIVLxXl5u4a/iCyVTNTWpOWwJzaW
r7rOo7t5b2Hahn7c1DgmOBKhmeuvhrgZaPXyPf58Dbjdv1RN5uUSwOuShYbOU7Y+a8E7LVFaBARN
QFXP1izMxwGVRdL8lQDuIrj89TS+XWvUNXyMhghb+YwFQwrS9ctSNUFZ4aTt0cfvzL4m7q2wd7CE
E3chO96l6CCoZJps1wxlVuJZOeuECNDXsySsu2r4vUv1yW9nRb5XM3aZ7b0IbH1uD0PJZtoWoL2l
GhQmbSPT10kDctoBszrdN/JrB+WukYC1xSEXcmmMr1C+DnLbWR7qCniiJdohic4vmro1vlnCp3Ui
CTAuQKoJS99p8zSfKNo+hLpmfjfmr6VUWB7OYbif9vsYF/fqan758x36va7d7hCvhGzB/kM7BqVg
u4O/PCPmWsos3Q39ZIpyAg+WrykmD8yaPXBuhQMOw2zHbEZ79+fP/Uyd44M1jPTQdUyU09sy8vsH
F3Tv6s620sDqYrKl+pw2nLX2e0WpmdSqKGYYOI6MsRQMZQsvdMl0zTWtkhtK9oifx9EO2qnt6thU
HWjymWeHpuVUzbSgNEFQbCFKo6kowVn+i+9OF+nTY60ZkM2IZwKKCaPhk/xXHmxtXMw4D2xB8dow
6rmO4qx21RFA8zRUfkaeUUC0Q3GqZ+swqgRGZNEVUHDEFYVx+LkAafOu0o+GaVBmdgOIaokfbTKR
cowcpc2srj/+/L3/+V6DWgQFgvJdsXXNZtf49V73AIXlduRrT1K7+XJZFGAfZT8vdGvUNmVOj3RB
y5W/EKhuzbDfX08+eWvW0TUj1fYzW3JQinDCGp0HITGg7jjYloN0pvP+/Pv+1ads5COLk70Nr/ST
FaPM60IlPyoP4sUsA7NliAHa/PXPH2JdHB2ffwx4TAKATebD8I9/v4yQ900TSkweMPH7CE2kIWij
bHT6pUquu8ZLbksTewuMGL8Ua3ZV6PmHiLT1XK8pw+UhZt9ZbFdoQOCLXpeAvEfyPu94yLN0UtxW
Rq2jlhxpDai9kD5PCpSFA+5qUHEzc6ERFPiOOAvw8UxNfKvSAxn6uauLWXGTxpYIEecf62JdHKHC
IAwaaIGQZMRK1NASXFaU3srKf2tmQPNpFCHmgQG8K8mApbNUaztF6Z5naKeU/cjPwz595ejyqqfq
uajX8CqsIe5pavoBSbzag+qwoaKWe2m2ZRdTrr3Lq+SDwtdyBrRNOChNBkCjzQMneL7LqOM4U+ev
xsgzqGXRU7PWRNLk9iMAVp7APuN7q+cysXFSxaPiE1b4gvfKdqdt9V6WrPsCoQApjUS00jyXipsh
E0R4nmrfhbywLCtm5uVT8tpFs+WpnDLdiNA7okD1b2WrpC40CeBU1UTxgFzrhAVa8s08/RAxP3qM
es4IMEMceCX3QMDejYzdc1LhynJm5ijGwj0NdedTvgsvJaTALVrpxYRf7WkhGYR2rFpo5NXQHbQu
Jvl3LQMmfa+qxu3A2Ui3oGMHzpdeJbq5ODLRfUiF/dh0RcFriMIsC604oPhR2VhGzc1Vbk3ZtfdG
sspOUQ+3FBhBaJavrdzRH+SwBE4DeJI9czeLhcWybVJOGpxMmib/KG2aBkYzXjf9CNA7+8iBfAdz
t5CUp/FDu6nQkcDchCpPoIUW10M5dspCElcFKA0HDU/GyBnRf1jznONKkwhMob7CdFuj0ss+pIgQ
BIM7C63+QxfVlk/V6M9jhpOBeMkSVAsxP/DxPiqbZ6KMWa2hrVoeaoYjegpS3zN26nwtXtFz5LcD
AdmuMUrWQ6fkuzWNX7GfV/t4wUBvgIvmkMRvpDw9GikntsuNoTI40bzs/UyweVye3WXisWFYpNDn
JYe4jpNXC62to0fqWbVyO+iX/NViWkffPXkVPa/G5cFtV753WM47cybzFY85LWLrkfTqxYkbmfno
9goUPGFCqOeuZ+Kpb357TavXm3LmZg3JVm1I/L2qqImOjnmCVMHt70juRsBYyZByxvg4yYw7xRQm
bm3x0FZ98nr54nxdqpihXHcpIMLAtvndCvbxL4M9ge/oZdbreuZVM+P6prLtBhA+985ccBivjXkQ
BuwvMpgkJ+lBX6bzeKR9geeEoN/d3If4BFnAAAawYJl0UJnSnnl0gdttN5g+5VnJm5eq5r0y5vSj
MfjWYZO+XpaLwcw++pk62hq5DGUa8QEdgtA+ZwepjSWlndUDZpi4iBwGqIdW6imqZJNjtNgDlKMx
QCish6fJAk8vMt9Y6xddqY6X3QnpceXIGEV3AITDK8VIP0jmCu9I+IaG1jGahKrjtwxhaHQpHuvp
Gw1FqlyFJ7ek6HK6LnnqOt5jTeLvjqy1nJi5ILMetGb+2lNfbcvZAhyLTFXjdFmUBp3lJe67l3Tm
uyWDcVIqY903uX7mvFMGdAAJerLS14WERtdSW+zq2F9/nibirWAxEhWuBduOUZmnyy+cluxjeyWa
RD9vWwGhNee+5otd7gEig1MCDBnUD83CbDpaNEO3mAweG/pDCDcgllb4n+VUE0e9TT+yOsr9duVR
Ya69/FzpLI3FRI+tx2rRWVGNVQJYaE+3nbX0/izx/qa8mf4krfxblibtmRuFV/12d1DYIOsFfLRG
pYwOl/dwxpp7dVmJiU+jEDOi3Jtw5vIGU2Ytq4WJBWqAw79h8E2sedfN/H9J6J556od6l1QDTHfY
/6cKJa1n6TXbT8eKwDPMn9/2FTXjS3Vb8ZwZ+lkQCrnE2RKo4dZYWriQ2xM2r/yT0DbPoO7q3YiG
2pkqHjoE/LWb1zxWUAYw3Y/cGtWmoNjuLs71F1JvEELErPqcgsqgifiDzcip4LL+5tvqGKKLCJic
qY5kV9B3cF/72x6H4Yks6ZinWh94gcw1OxrMzx1l8/6nNVEXl3J4SIhGGRCG3Ehhvjwx88cIhpwV
OQDFFTQOelw8K2VfvELC/6CZ+BjK6cKG0TbOOHKpt90GxAcbY88rACkKKIppIAvBxI9uBNuw1oPl
A6syALUqmx2pAhj6jTY5TZBoPB2Qnavp5o7WPJbxumLDW/rmxCrZXCda3B+0qcQQoBeGM6vx7A1i
tXfZMFk+IgC4mbR/nKqblgndgi7vWwYirwgYBlLKhZbsRlGTnGMlqNJN8BfQtT6qpnoJaRfvZk5W
PyQ7Wx/UPK2v5RI/cVT3Dym0noBzTuIpiMNe6IAmDjB/3OSmmnjxIBimqKtMbF2z01eOSZC+t9Kg
HgFD6LF5J4aCDKN1QeY8EZKQbakoZPImoDCok5u1Paki1tAFzPQ17eiVgRoZyKbSuWNGJJAyrd0u
w+B1vba8TnXJYr8d8/DaZzQjE/6DFuIO0268tyV83eDHcLaXaeJOVd4TNlbI+AyQ0eME16hRsEjF
CDWcctPfo4RAoknB1o96DWioJHwlrHtfMbVDbzcvsEXAnBFK7Yzkot2MKv189LykVDKjBDJJoG/M
QJiHgj+G7Y2/vZaDkwgx7NpBv8qr8VuURxNJoS0stMYKvWkOEagpxo/anPw0Wn4MpMY6kohZtOCE
uAiGMvQ7PZxCBR9AmpUJrjpcDaQ/o6hGFMiMLFH3xL8R19mRgjdGqBll406aMldqWQA6YgMjQg18
fA4/4CbdSFN7nQD05CGcnpiVXuFJtxwrKQhCtaX32uDhMydsFsqW2JMN0ne9Z9VNG0FAxqqdI/Q1
gA1kdMBq5pURr4GcDp3XJkLaN0mM3HgueGu3k8+a1akjryxLyZB8iLmydzHpfAAhWWmqMl6e1F4j
StlEozPl7EBaaYQfE5gvl+iv/LlkpH2trfLLxVcpiY6MZlocRda0P6LV1ljewLCuholwvaIIjhHU
7tD7tQeZM1zmpBIypss6Tqj7Ebv4RxOxODDx732JCUMw1C3/1nai122KO1PlNbVqCplSFmcV+oST
lwkTa0arbrU9ohyYA22aXu1xsIIM40Fs8cSEaBYZXI8smmwF2/ccLZlxP4tTZwiOhezWjk2ZPYj4
NdOrF5kutDvq8rlb5xRfq8kTGnfzlRAxeH7ZJNXVjO5Q0R/rRXzjANnssBe1152stE+DlH1N2dMi
jJeNsthX5BWqsM7S7IY5iATKhk2/s3uq6205XZlL0G5nxxutvt5NuvWoJnA+luJIgTHfrebMlLhR
b+qWukYS9pEpscG5ERhJr0xoseeCQCA4ogq5kT0zwdZJWuNEdzy+k1tRf73EXJWUyb7IzAPmqPYa
qIi0x7hUUWBxTaGhcJ0103qu1LKFzZRMj0WDrBz1FoXn1rxKosWdsiwGvcC6FkKR8rMmnpkeq8rg
GPa2SG9m2XGsqb27fuXHUmMq61gHNLkZZLbVPo9EEMow/5ETfZRS/BGx27ct+1BX6qdI3WbF247e
zxzCtnKn2Z7ViMfkFGoASiNqAg7XZDeR9IhAjQ/Qtj2zXKocBQKnlnWmQWTCGvGGqH2pEOS74zRM
t1HNK6XoMje77MugH5bwaqEz6dhyPpNr22f3zTAmbiELX8Lq485mTHXHid6/7HJtX5XHhGm1a0N1
8SLLFseo5mNyhWd4jtX1WwER6K1NZlTNSALogMBOt4mVdgeJp8leQKHmU8dfaYsPeZXl1yIcy2PO
rnd5+jlvog8Gh8hh9YMmBL8qN+6tOQkMWzmXDIVgy7BzpTXCXBpVurYiv43s8QZFLY3NbNsDI57P
ocJN2lFDsShE9bm10QdrvV27sSA+TpFjzBcsYzQjM78wEZfiPLqSBghEY11fL8q6+hrDJGdBI0D8
O7cjkZTbvB3ByWsYhaV4Esiv6UrxtLPFDdyisdTOl70XFFPHkxQ+/vngfwn6+3zup8eooG8yQXpe
RsS/tMrGdDTHKF2yQCo5dGYqDVu9R+BMBCDE54LITUlk/Arucr+i5I6VYmCpqZ/15ovV1I+ylUAw
IVl2t5UZgylLvmGaj0xz7mRlXl3s1tKeiDOoSRNex3oa74xCQudr9RTAffR0aWRezkiQqt+Svog/
jBn4N76pM84iILZSL44KI5kro56L4ywJCrpxK0pNzkC9yhrSmpnC+Vqn9gI9+/MQNuDUv2eQmRKU
fl12je1qaG95ogjWNjjzenpkhYdMiPk/b5EzESB4Ar0YXlNEWb+3UtIc6Fd0ofJ0HDkscwqvuoGO
hKFQdBWZ/pxcFl76+Ewded0Esuy/aFH/i6aYZTPMMDSCJLdpwu9fAUYB9EYlG4LU7JgBK2u871rq
pNhoyGWQ0paICEQ+Y56of9GuurBVPz1QHN9JzUGRhun2M0WANxvne2YPgdXMZCmzqHsECYr7ZIID
p6014Do5Df1QXit8L+ldNRYj2g8lIDBNvPz56f7neQrqBsxkpNqhbkAn9/tlGJRBrvGoZQFuWsnf
GgZazyttdnPvt7pGFjyr658/cruyn3++UGAoMJ6QBYX37x+plsAa8MAOjO9Vy8+bBc5NxH8TOTrN
riU0OJYmkqnbfJ9EY7H/86f/i2YhcwIatDaywG2U9funF1xUvAFSHzQWxVhGQ8clVa77iyf8X1xW
uswKUkWLvuc/janYTRXUjXC+V5Fo7rAC0mvT+RtmnVNn51+XPk/+4hPFv/phKkASi/72RqX59MOa
kuyKGdFdECVpdx32NMyTXmsPLAm0cibrEdE8HEOZ7pliRK/FnC/BOIvamSNyf/MxeVv/w8iCrde/
zRHBgfOw0wT+9HAhbW4TW655x7L0W1Xry/vP4jdLqfHgCJ/+fGsvsQS/P1nYwk3kowLd5jaI/P3e
DoopGSE+rMBKzFMLwMMrJb30q1BLwImzAYvR+K7l6VONIRUs1FObgOIek+kG8/Bbb014MfRk/YtQ
js+5KFwGHYaVrvOo82obl5HILxuICl1siRAwBYU90qfJKZ6NhqVmkEu2TEU5DFVzjGmSfUFzUO+Q
dHTsdFi9Eql6wVJAY4o6zslrRQFtUi4UGeppwlJFinP6w+j2ei/PWKIoQXqTTCP1jL3hY4jIkSui
IYVLEvmxSafGhH/hghD08m3qmMGMAzuWpy4yRdwdRCK6uEpA+oVl4cohYLhxa2VtY7vLxoZLrT38
+ZZ9JqpwbbZJso5P1Pi/zJ1Zb9xKtqX/ykW/s0AyGAwS6G6gM5M5aLYka/ALIXngPARn8tf3R1Xd
urZ8yrr10mhU1UEZ8lFmMsmI2Huv9S0fhtP7ea5vDRN5K2Z9iAh22cyIWbaqw3OQjwV9MaUhnsUi
oXVQOJtuGMy3j0lrdevkuuJAqGjVhux0C8zns9rsjUCaTImG9dy8rGnmbREtl6t7jyhvOqHEg320
nr0FJf162ym8rkQSrAJjE5/Xu9tu6FjnGw6bHEpbzJ+esaOnNiIZbHAkkjIdu8UFuPwmsFLUXJBS
9s1o1h8sq+vD9P5dQKdxbTBYpgmh5td3UaSLqAeCsg4E1Z3ZIxfG5k5IysH94IXs31eaNXXN8wEV
oblW71capiChtvOM/Hb4aWnKuceasxWo2pU/8qWlw6HoSiVrd1lDPtmUWcObQU2/xVsCJLSOX4kK
eU0gA16ognovowTk+mYBqiNaJxTv9LcvGsFsXuS04QyiWz+Y5f3Vl8YAjwGoVDyev02OSypX21ri
+hC3qFvtHPEUNop6W7ScOhHL6UCM/be1Xpoz2k+9jn/MhffBigWk4/13hiyCeSIxXM7v20Ru960C
WVAfTKf6LuCib7kMvFje4POcP3o1+3dlgsK4oHzmvsIy1Zu2/eeFCCkV+nYb9RYHqn1WV/NuHUsu
Lap134okDVwO1EvHkMOGpnldLNVThZ8XBSyHe8eMXmsPXwTM4eU4UHiDUs2ozOEcorJuh8tUjB/E
4P2+j/KOQS1xIHZZ0d8LCRo5qQIKa31QBqbuqq2JXyBBOuhN6ida2XCVzPyDoeVfHPh5Ne4IMHYm
y/b7Jynn6DBWGqNLmNLYRAbrUIhP9kVaORPW9Y5+KpJoKtr+1NKeOvcFjcq1Z0i/3QgKG4dxUtJC
CBkU7Trc9zRCISXSWrH2mtNsLSgxY2inOyG7J3vhvPXWEyktCieb8fO+U+tqlkj6tev4xbH7BK53
xN1ZAQx0FuUcIvIdt0koPufaXjYWfvhNbbn4hxg67GO1HubD0T/IdUJJHuOnN6bU22yjyh3Mibn/
da2E3aTj5SaTCUX4RRi4vuu6HffLwm34wVL/V8sGqCIEPMyEwX+9Pw14BOc0DstGNHfxTQYxMbAo
X/Y29r0NjeWKPZAiN/HtV9rmdLMlX3Q5olwcezsPShcIh5rpEb2t9Xh/GI3OCapcp4Xs3HX289to
Ewmoj+anIPmccfdVnPIl/PmT/H6A9VhfObyiOMGc9j73pokcRrAkJBwIap43/TSWu0Ktj4QTD+dR
4xdb31uKZ4dsU6SEQ/bBnrmGa75bNWDRQW5C84L+xXovofC9KfNHFNsHE5bCrrKbCds4/X4vpxMu
tO88lLUsyIaKMyyqPCOZww45GfSxk/X/yazUu95UBc54blP2LiZKq7zdJZbZtPqzbK6ewDsn27f5
A60Ny6DPF05pEBO5+STrdRqAGYHZku8dzGLt8U1rO5c45U+NHp0HM5e72vQvmsFONtKFMDGvmhcE
wT/4H0OP3DC/O22aH0oPgU2mGDf++Uv6i5MFZGMyLsCtOOzK7noVf1rsBmZ1ZTrG1UEzpHgbEBSg
/3fCYiJUJzyGS5fDSM4g1prEui9AYbdh8sDwoF65LrQozR7hVOOLLbv1p3xd37R7T6B9wly8fi6Z
6O+imVmEwql5+PO7/33dQwzMiYLnHrDObzVS3xl1CxEJKI/nHKyQ+eK6VGQz7ci3bhRWyg9Wvd8O
z4p7ivMpRRlgdjb29S39dL1iqw3nJqMSpLVdb+a6U2jS2Y7fZjHt29fbMxQaWF9QciAa6dcx4NDh
WRRQh4JGN1kgEbNskGp8tHi83yjf3hxkKsHztqqG1p//9Obc2UtTIB7ZIYk1PbqG90CQBFMAvqd8
vSp/vvx/8XLrI45SSVgUE79tO1ktWwaR2WGU612riovZ4EDltNw7b5kJf365N8Djz2c37GQOKwqK
ToRsZCa9u1fjZmDa2CRI+mO8+X4yOKyFjdpNGJkZNeH+HTNOJEkZsWdwDD0m2F+O2LhxWleOehyd
AmcBGbYYuq9b15sC7aLldcYBxTfP6I7uSnuee3VJSO7sYlQrk4tSpCCvB4T1ydKB1Ej45cnQoNY3
jE+Q9NNT2oPEq9JW74zKJlvP8+ojNYxDSElFXKoTSWKaRDycpnDc05HUQRNph1iuSJyh5TCYqGTX
LYldkHiVOChbcA2tJrlANJ5C4cii65I6eb/gsdjlpYePPeYHuJlfrZpmqjXqHtSFZ++LHJyeiqnU
wmoYaBsife45cy+4kUIGv1khzhCoSnRgmZ/u3EKX+7J2sJ6mzTCitCgzumShOAilMbqS3XJh1CGJ
3MZd3TnXUZzYO2Kt23PPNRbaP4v1pR99ccAuJT940MT7g7qyPQ5hoNGoC5HheWtn6qd72Y904xs5
uzwKCu/4VveIHNVI2ZpMtjlL4aAwr2utS6L9RodQ+NkJyD3nCwStsvMazCQoezjXqwapfZLHX3M7
FURrapeIT+x1khsIu5eX7oh9ZRBeNuWeIYKzXbsSe08sxv1cjc6Fv/76tOquu9i+Ry7ubMcJF74v
exH0TVEe7bT1Pmg4vd+8kP3xQPEEc45hoTHf3eqsnBaG/szbxw1MpHje0CL64Ol9v3i+vYRCYSh9
EL3SfHeBqcIkjYDIQzAAmKPCvrMdGkKFs3pBDIJxkWtjfFQVvT8U8KKsnQ6HG+oJlo13KxRAIjd1
40btdaV0wPCrAR5lasZumYVggJGeIWR7qhoz3DodYKI/LyHW+7O9glPLAdnmAE8/lY7Lr3fVDNV6
SItK7Xu3NpjLpy3ftlh2MPx5wVD6p9rvvAOr3T1th+yQO+7w+c/v4U0B98sytr4HWuQQ/6AP+qtA
/Oc7m8emUXZjuPvUzUjAnXV7LBzRUIivhKFmSHwiAc32ZTKX8IoL6VxVE6rTsrM9eDRq2QEvwp0y
OukenpH3ZLY2l1K3nO7iel+AYbuFBtKeZKP4OF2sLrR23AtVj/rBjlAlkPMMlWn0uxuh4C/Eg5F/
cPiSNp/hl8/IAZaWqQt1msY1e/Ovn3Em3c7RbKH7nqfqYhRE95l1ZG39oRrO3j6E38f5jTlG6qKN
+QGDx3DrL+ayyy20IwtHsJ2gF4EnNYyOfhR7OItSYu/Rc52mxf5Ro8U4GnCatj1UiF0SiU+ZXYig
bjCBLksM0wq4CgqABSwsyB2m2u3KRCAWeXHhKbjdgsKnWmfspbEvagKym1BuIkKf9lmjWyy4i7ev
3QGJRRzdzoY0tm445jfzUj8sTSpYhPozOfa8WYcAyUjHw6WdqO7JqP7BtP6XWnXc179fTprwaCoV
rWDCRn+9nLXvh7ACEGgQ4ELvpDeaLdijiyQa78gkx7jbO+RJd2TEJC4AQJuO1zaVtXfMvFxtSKRI
t+R8WcQK8pil5RCf4/MhJGVOFeNlfznnt7gXA+lUTISd8kgjqd9w0d0DCMCvS1oDQEhDqA0dkj3Z
tc5e27pE1Gc3W8OtHkDv9/thMuAwjc0uW4iF+PND4/y2WpH0RrVJ2wgzuUO79NcrkCYdVl47l3sy
BvprD4/CF3saGYLxxkN2UPCxfeV1h27EUiyMwkCIo+NzK+284+zAyk9j0JbkqhSfk2iVdyQ8dtnS
SogVMgVEOdbcmC6RCEAjlp0J/yYg3j3dWgmos970rGBu+sM0xxZaAuduHMSTY1jYs+AshHHyjVqn
39TMp86LzlDHCNHGJehd76bjPBnEORlL5INRjpdxvSvGqTu49AYODiO/PYNJbnQMvdjvcvFBD+ev
7h0mFw5Nb9ad3w6F85TEzCi5d/DZ/8Bt4N2sz0rT1ynwvmj4oI2rftu5YHNLgUKNTq7tA1H99Ysq
enpVZt+xwiKn2pFV7T8hLIvPa+zgW3Mppr3AOH8Vu118bnsNC17D8csauejToDnBg1jZMk18HPzw
Yozcy3CR8IdQ+Uzu2YxpdKdnnushRfLK3wW65S47w+e+bFK2D3vkaebY/qNq9fLJrhDzWRrom1VV
7bEXPAM1ReFF2ppukEUi2sdI4j+PQ97cMvAnwMGOByCiCaRjG51G5li0uNxFB2QHDZeIufwTE9lP
Hf6Yow/xiWml30NxLNVFg7vicjRZlts6y/bt+naYmObrQXz4LGfurXZgmzFiMmG30lYpLJdujSoy
wOyYFeE6TWl+EaEiaojoGLjXgKz2flPQdia8dE/iB4uRstwgphfECZQHYvngQfuLu4WbhF7MGzyC
XfLXr691XchxEapYr0GUk0quXwNAbbtUDt5OyQPx5wf799djqoginSMWhbp8X6W7WYkyeKnkPi8g
E4C1SffI5vwTmiMAiAtQoT+/nvX7wZKyTQLGICDSZ5jnr+/op4Olh7xN21Hk7NExiSCZUYZa2Gcu
koJBVLmY8fnkO7CcWvBKeImPTcty4eK7DKqCh1+NJaOAUYXbicp56/dsVObAV02qMRZmZXWHWvNR
ErdqbouW5VqW6+YuQ5I2SGjHzVi9kDBjAeaWIYprbjrXyl/QLxKN56IKTStc8RG9yfvKY7MDAHWZ
D3G2Z8rwg9imareM8kem8hc75r0bZjftZy9czulr2QHeXxorVXPfgsjZ4plN/7611hlHrcaL4icU
ZQIoDIJ7C5EvGhGeJt9nl4y5Bc8rjMTnY+d0h8pdd1PoGNuo5lySJewzfdGDAV+f1dlm/WiKnhg2
IEFBNnCfL5pbPGua9ogqnr0nY9lts1o/JElm7LluIsgb3lCtVLWj47LsfCNmCjDr6R8/zbnfk7k3
9o0yqObxwva73h6BhyIt2MzrrpvGdntykkzxsLBcJNbIeaCbFi7i1J7izvQuLc0Av8/5o99F3rFV
PKFlzF8Bmw9vIPRBblSIv9F8d4cmapsraEKoObqwYl/gYxoQI68GY8HGOVht0M+Ve8Cj5GNRTbh2
REIe8sX97M7qa4FedwuMxz7xdA7gDjMRsIJxF8sZk63OObIkHKPfHndSciACtQQ+GQa7APFO8DUL
rn/si46ina/j7W7/f8YNX1/oa8UoJImQ9f7v//mPF969dC+//CEoOzbgT/33Zr793vZ595/wmPVv
/nd/+B/f337L/Vx//1//4+VbgRM8QRmefO1+NmJaJv9xV3nJvwbo/J+mL1++xi/5f9w0L9++t/Ff
/4J/WDnV39acAtr9wpaWT4/5n1ZOC9w3q4QvLdLNKZT+6eQEBM5+Cn+fpjveT8Y7/3Ry2u7fmOR6
jCsodFYf6L/FCKewYDn6+SSNBAJ9OY5RjGCepPnx63KlowJQK5vSqUkgnx17SJjXqpV9txMhnILN
NPV5eoShVveAFkmO3CRe2cPYULF9oi+WBmAbmtMSl9K9tKB295uBFIN+g6YkeSaw3tfwxnHQBPi/
o7OlcjG6yAacLv08yNeVlEVyXJHSz25uAkurrIT4KXbziDo6KlovwN+pHtqRJdXq1AglpR4CUvII
OU0857Ve5iwLQkoQ5rXgRfMdOVDesl0I3/nkW8Q/HCeCOpetPZmzfdQTceANsjCUxwNGixsB0Tnc
OHWN9WOWVnRZkuL8iXNeHW4yPSggEOlYy602dJtwfCjMH3FiVgtyCY8n3XEM57YEvocfLSyiJ41/
C02JF85fhWt0N3Wah6visuy3XloT0SgaZ3iJ03Y6SQ+4EGYSN3lG9wGgPXTYuMfKNJkTuM1uLGz3
ZFkdquaSM+sG8aoN8Ayzwn3n2vMT4yOv25RESZGkalYAizxFuSCWBsyFM6eAPGrwM5cwecbLcVoM
2NsEAOnFSZYrkRS9dWezRwGUcWYd7R2/Fv7jQPTWadZxawW5b6JJWMrI1od5sgwyrvKIB+qk21aa
18BqxjoL9CJIKU7xQXj3LfaQ9TzCdDfEnvnE7BMv5TysFysGexGT1lTWY8CvAQTuO/roZYQKXluY
iGByqxhWWaQ8Js8gZ8dtOqaAWcI1bqQ3p9suMX+ksyboK0NGNbLOnSqD7jA9JHvTaIsU2r6dtwOE
vCu2ZhKFRSKxPjhwtTNrRj2IQD3ZRO6IBtfv1R2NVRIgDQtn4xp2YUBXCpw0vONoFV2JfHi0a0Fl
4zIF5f5A0Ce/AQw/lUNzGqeoBG9sFutsx96uGuZA0MC7jGxRnrncNrfkMBkndxqybSocLp3W3gGz
0WqFXpMzERtEhgO1HpvkEnqXFCjtJfxWZGEDWVIgXRXfqhN/c0g+PHhktD4mnSyvBgGsqR9WE5Vf
zcjnY4idQxtdZ16tApH31a0CEHHFHJX5fCZJy2PCtgrKzPBzlE93GRinzUxK3GnuybHXSjVnAG+Q
GPhVuAOXSypyleLaTgUBVVbGgYnYUBXZoLFhogROOWYb9FTWZoCDlVhdf6mZD2t07HRa0ln293lc
3wx1g7LFXKD34S/h9Bx312EMq0kuc8dZBUUXkFWkVTbbGLD1ebil6Iffp4B0lfX3vocaib5iI0Ps
KXlH7FqZtuq663jKIs9AqMdPmG1n5RPd3JrFSNw7A/f/XBjwW8NvuRUfrL70b9hpze9NCqK4qerz
2lUEpY7AGU2fyMwmm34oGNiQtcytHg2++ZrMQoM4apCCxMYved8hb5A4uclMwL9N8bHMVXuRxobC
FEaCMIX+tB2VQos7y+XJ4H3v0zRcqMscfRBwly+hu6yMbWO8Q19853ZhCpm+UHgy8oHqsFGBB188
yMRUfmrapA0IS442jIKXK3RLvbObiwkgohVCuKJR2++IWxPm1lk5vHOuDQCRISEASdpVm1mE45Xv
k47nZioL/FjKr51uftRaiJ3Ze/psckOxj63RDyjqky0J1cWN9OlJR11rn00oQ1+ruiz3JrUrHx5I
+I3TmRHiXJNmqR2yEgKdbgM5a+8R7lj0rc7AKX9ULLwN8X7ZnYAgrIoOkxnwWja861NWVaPjlHjN
k2e3Qwf9aCzcXZdU83WLx+TzWHUOa1yFs2AUeiHAsBnK+1IbM92T3PrWR9pPL+iyWhakJYmGwXYx
JjTrt49432KbGs1RoYxVIQU0A16IsaVnxSfZF954PeHfJ20mW0ZS90R2O+NCEkRd+u4gz+tk8S6X
pc9uSE9giQL3vOZyC9Ehy+7aV3TR68Esdh+zdgaVVGYzkj6FX3ljan77JlTYFIihaE/jqOZDz/p+
vkSQxnNSSTeLGKYjk3f/zJ9pngN5IhUjx0FGe6F78FOj3rkjLKmmp5HOUTZvSEOgIW/RhELUzb4F
EIxOPFLGFdq1zEfPbQyyFgaLcvSAiNVF0YP17tiYsywulJOQ9NSQ/8rEzfiOwms+a1vbOYGj0cu2
cUzjFuxJHUxVJ6+LuRU3LWD1OxzfwSIa6oekhppbLqtFNrWq68Iv5NZDY36NRFY+lkYtdoPw9LbL
oXHFHVzsyGRgWptxtxeRdxdLr9y2OETT+Xzwu5eqsw59jEPBpid/Vaevw0AVbVjeRWVR30ganTsm
Uu0t+D98YxUXjvPGtuxNdFV01o1jafbJC8d1NNw5k4xeDWedUd7aY0/mBbxrxN/CvYGufFQ0Z09s
Kxk9KDd/aFQNX7alR35aVE/tMdftEKxAlRV/XD6lM0ID065fpzEmVaRx8CstWHAt7s1rrbR1l0Ty
q0KqcFvFPHmoWPqrtpNttAfnQ9KuR8G2nDxil6Ozcoj88ls+O/UT/WB6ZF6mfOeAzR1S9lIPNouy
lNOjv0xWvyNts36Z0ek8kznoLHcSZlHJ+1N63rqMNZ4tEcVXXt0JQn1L93VMQ7VafJgmRFIYr5R6
LTJ3dxi3pdXJg2+YCUMdIovtInXvhDC6rwL1xQZ6VHFng/uPA+hly0FCogfE1MtLNcXNZV/1/sCs
FsaxLLzo1nQ65zJPWW+0Htnn+zHauc6UBK5rePeaTsfGSYT7wqk2U2wnU2QdR1PnZ8moDexzuGrM
TZsb2S1pm+O4ZcwlSB5vssSkAFq1cQ4HjjZgsav1PpuI/IWO5KKcbJZeb5mbRldFF/lcTjtl21fI
2Jkg69u5SovHtZ/8va/c/sjRiyzZWVTMdGqdAkpk0sOD0JfHevYXVj8Ps10wMrN/cCWejWzOxFXl
FMNtlPr+U99SOScFwC7dhNHtYpDTtBFmU97xNrJ7a1n4dnXC1rQ4uXnmeuNwHmtHYhD3WnURZ/lA
4IGvZQAUow3sxn6ecUqd0XjBPWHOWfqcw1l/msPxB4QrA8QhaP6jZZZ7GxgfK5ZMJWi5efqCNquJ
N0TV6Riaq1e84G0d7ixAhE/hpMjDtYshJO6nJUJnk2BgO9IZEl+WDB8xm5Lx7HZJeptYof9St3q6
t5y1dUXTPaOFbxNCxylcHp3UHPKAHjSIIqvKCHMUi/u1d530WBt9R/+KfvkUyD7r2VcrmsawFLv5
i+k1BmlfYAE2ZZgKf2OXYUY2cKovnV6NO3Oxh29m0eA7MLvWe6RiB0yU+rYhzqvMjqg0bDN6svtx
hi1fk++xrY2GyWjHZvFM/6i4kyNhBmOI9cyJ0Cziw3FogjlhCZjC5yS2GQe/PWPRA/RizsMEtyvU
YL3kNNpfOgUG+jg5Y/w6pxVFcwHj6bJOl26jCSDFWpSpdjn3OGObRLBF5/PE8rJHdaK+Uc5aF2Hi
9mdxajfZgbnU8oBtzIbZ2FloQaMJonor45vOLb3XarK6Oxx9NBnXW5LiKSNWvvEjHsIC7DmPPFBz
Z9vQm7rAMGOdErzK1D8kmoIv6yLCUmlbRzdYB5b7zkyM6zmdWOyVufLGpiU3fnQw07CTFTYYz7Y1
5dXiJzTxGGoOlxqjG7AtIV5pM8549FJbf5+7KDtZ2g2zbcWg+amc6FzvMzSq8FYc54edDPDpaNbp
oOgSjPY6UVMQGkM2bJo00w8WascV/TsVAUISr9qwiY6Bn3kznGyjnZj1xUt33oI/vqZZ6d9yfcqr
sbM4dbpt81zo0Qq8EODcjnmcXQMy1fVz0VWd3hRe1zcEgycysKJxOjUk0R1EwQoA45/2yTZFrBLB
G5uqa0zfyXUPQeuoDdES8eBE4tiUCTHaucoHbMlp1tnbOHHoC5VN5z9gGgNYKiv12QII9kodIyoQ
ronjbEi3cEmhCJPmqpmnmUZbhwdrbsYn2zTvBqPT98WgNSHiaH9gaJtmdTNkU3wcFlu+YP1d88Xn
vLtKQHSftByzAOl3+9Rr0f6YItMrdsZYeXeViWtrcdLoYR5zdqJsUPGpaIoYFa3yCJnFnJbtOQgb
l6DabLnva6M8xXSYGBmIGC6fa5/NpegaqI25mR58EHOU2o03XpV+3FwrD1tDHusFZkExQSl12pNy
B+8ZrM5013DcmnYW9uMTpZIb7a1J5Cc0+EWz7/Rc7JaeuxPv41ypa20xf9lhIzC3hKDMB1OP4oVk
oOYEkaC6Mq1sIqFazdiMGmf0qSdrTmAxzcmIrA9jujGasdgkuRy/KhF136I6N5BspV7RYDwc1hMr
68QL5eyAeans1BZNv94RFUMAwyRHxbEonR+iMSUKm0tMurDv1ym1dB3D+lhTqYcNqfXzvI2GRewM
5elTuvTdvSPz1IIJMdHZNnNRRocIN/8GCYi+9AxnOjDEW/3j/fRUVyLMrgsDViTHoHXdrBOSoXes
5wJsAyOrm5rp2BAMVMLJYdLOzPkCHCHcC05FCGHsKkC9PXIz5/6yqXUXfV2aRZy3HrDUAJsJSEO/
gP6+I9oIr2AK5pEAo3Cez8Z8MGCqKr+JA7yj85fa59hm9mnxedK+/i6z0TuZhl8+SpnFD2DceiDh
tjkeRtOwTpVFQ9V1p/40lzEgc1yXPzKL4IB9iGwS82tR5tNWt96wmy3wkbD2jQNb0po6NVPHmRRj
ha0o8yOaKQjElPzqoJVffX21vF98C+WfTREZ+e6ZQtewn3MGSSBBlrthms2rnO7MzjayauOHLSku
yZRWt63rh1+rpUYvLxt9l5vTzJ7dtv2+rzqDerETyS00dsWgPM4fHd8YrvLMme6rWpXowRZsUFxr
8zpRKOx84JqXbW7Ks4EH/n7uOPo3Rj4fIzVBmEomGLaeKq+l3ch7bntOwqlzZtHVPk1W2D1F3eCc
F661nKuFmI5Yiv6EOh8OQyfKg53pTavkHWfy5hOybX0OaAH9Ty+qIyF67rPJN/caipXrN5hyPyTE
ZYSLlV3UfZnctGre0qYifhuCCGE2Nn0GguCjH54Tfw4R/R0d4KRFkwtUdv64ragzg1nI5gIWwbM/
wCcBXDoe/NhvAkZGuPZd9Ea0zR99Fizay/V4km3y1VJMBuhWAFtr0jXVBWyItPszG4Tg0Y26/Dz0
UnvHFHDlBk/5F9TA5eUCXH/jC0oEdof2iIClOzLDJZKp89I9n6fdq8QRO3SIfsXm+VNz9Obv5dof
WWymdBCpM453IINblvtuuGqw/JYjC8nJHhJg8eV6SvPIlLmqx9IZt5JbaN6iRLA2dS/A8My9OgGW
Cz90vP026EZnDkkWI4i7qryE986b0vQhhlJLTaeZoLJ0aLtXWuMjbKDB8dtrzyst9yYzscsHgFDG
22GuqP8gTnSMZwee79gZHojnkPTJZruJ9gVQXgvogCz0iytRBO+c1pCPGhfuDUN1rrwr8idPk8Al
3hpyxThYrwo2NJBwqsZH2h8GOJBO3NnDaHxt4pCDd+9Fn5UJgxXWSQQQOhGrGW5wLn0zoSkAcOHR
I+uE6K14+qQrl4gYOrF+MC9mdg56oNmJuRIcJER0PWK73XbIlW4VYU6EtEziss8jtsNS5nsx5U+2
qMxPnR2dqZGIdHttWqq1fVm/dTJxhrBCGui944CWq7yt39qe0VsLFLGX+aN+a4zajlbfIJ55N5PM
mluCzaxHhIRabzQgGtpf64F96mQPXyzykmPCAOUznB7u0/ztdG+9nfT9t1M/sSFUACuM9yvgbtZO
JmDX6VudYHWVOIZYAzYdXkkbKdlaTtBNcl+QMBDJk/neyQjtzwxI+lM9QWYGcy6DbJnlxkj9atUr
ULOgRaB88dZKplhrGkz2/HGtc8J46uLAW9if02qG3WGNVERrbeStVVIcj6RH1oU82LqhR7l2RLes
JsZr/lZkTWu9la6Vl7/WYPZajQH9rp81lIp5Sy+Hcq32Y3u5c2WbPUs7r1+kQue6K+ERTY/YgrhI
ssrlVbdQXx5Gx6UXTiO9fmrC2i2/GWCAkyCWffSDWKdK3/z5ebV/s2XQboFYiD3QZj5hee8DomFx
pwPMiv6UcNa6rI0pAl5DRmHbiOxUFqZ30l5TjNuQkMmAKMprL6/Ci3gi4IecnBEHbBdpummLEe3o
AJA1WBbZeEvVU5U7hz7pEyPrmmjAROg7ZwTzUNupQw8wGXHlTtcIDa9HvNKgBEZruLAw1HUMFKbw
K7pPsQcs6YIE19knSGsTLX03PROudVeLGCljeAOiDnN2GCHIIOLGMqM7nnFxhUv4ksIMe7bhmAMr
nikNzE5Lz5atPfcYJ1rC3HA5oLJ3mMehVvmN66bmjagstHyVI6N7pGflIQK7Az26N94Y5iO9N5hY
Vywu+sZrWoAsnGS6naS3PG5YV/0hkFOenS3aJKiwtyA6UIDX5TfVt8g2Mq/nICm7G9sf2oclGgH/
gnVetUX5zsedWuDVVuFzzFQBoOxcEMlYVM0+7LL4kGDTz9h1HcXMIu32qZpXcvga8OG4o8vna2Ab
zEU6fCtCmMtgac3wQCVcJrup9edV6InIcKP6wT+SJhJ+Cgc/fi3g/qC7jJIgDEtSVOiM0ClIPIjI
cjjLU5QRtplYV7QWF+5KDp156k/niGSNLz4suIBf1zEf9srbLEk9mz5vrT+b5BpuO2ymm2Hs6Jkx
yYmJJ+vZ0hY57GecZs+DbSX3RtzaD5CjyyP+WzPeVoNmaZrG9NPSdtEOFKQ4l6xSW0eRq0nG4xp+
BcBEgTz+XJothpgs9lG9Yy91zhJhOjlFjBteYJEyD66KTZ5rPxUXdVHdwTEGb5PToHDfdiLEXc4n
oN7R5bhMeUF7x+xJeMAy692UWQgssF6HSNbbPMnqpn7Zhm9zJnMdOTV0dRdm2uskKmxzplJ+MqcA
lkr7lZxIplY+8yv7bZLVInXZM4BWD+T4MekqbcOQG1S9K8KB1bvcsbrVzxHdveQokC1FVxiTLTNY
97FvTj9ODdW37WkOAkzb0nWgvambiX9SGQj3EmodbPIc8t04SuuEqqrjXE3uAMxxf6HVBJsqS4+p
57bMv2lgyF2TWNW56AXnCf3W053W9m4mrSdSx5D2dtE9oLCnpFkfEDtlMgQpWYcLCv7BV/vaqvr1
XYN5YdB6PsWMiFqjkkfSetuXPy9UDEh/nV2CACTE3nYciLgI19bZ5k9SC5POfEZLVJ38CHiEf62z
5qIePr29yL814/7vgYvvq4L/vg2x/znU/vsY+59//P9nxo30GWXKv55xXyZL1bwU7yfbf//X/gkp
dnA44/ZF+6X4cv6LULyqq3n08CbaCEn+a67t/M0RLnY/cmBMaSnJmP0/s6+tv6FadRELI9Xh33X/
rYSY33YwCU0VZSjuDUbaksr011tjstoFulQxHMvBqTgUlPVhlLo4NKl1JZDcnJJw4HkhrFlG/Xc7
dMPLSNKp+umS/cXJlyT6d7fo+j6Y4WOvxRDt0Dr79X0IPzIqsq6GI08EgXnK2jsiA4+8BeQfx+dM
QLV7E4Lq6hO6fzMN4o0dhZcpZ5CNbsR9r0Hq2YQvPizJlQDxL1LskYnXSconPFmuOq+tmooDHakj
u09zD3U+bEklARTErOfz2DIAAas7hWWQFu3NlE3XYwbSQtCNQiRMvuKjU0TXRloXkJyz+z4RTdCK
6MVRWbUz6X7vSKuZanhwRAxOvNCu9xDDs0w9tW19TwrZPgtnOJbiZvTZsh0nizdc2JZJyFPsMiyM
qsXcM0DcVJN7MZBjspckss72ZWVUe5c068F7JDuH/mp6ByX4DGrk/2XvPJrjxrIs/F96DwXsA7CY
WSTSWzLJpNsgSJHCg/f2188HVXVMtXqqzXIietfRJYmp1DP33XvOd7a6Ye8z5sXYExgJlg/DYL3C
qSUadyCt2TRbUmAI9B7M3NkahLjhNTtXzrQXg/WVk0bnqG9Krd7m3I2gsU+VVV2Fr230Jl/R9Vj2
ul4udJuPAVzFG1siTAAR5kn3GZaGQAZhaPgZxA/dnfxdben0ZiYj5URE+jDY04Ea4aQ4WK4grhCb
o+nU9+KBONZdpV7JNfbwHAhs0v1DOQR3aNPoG9KtejRIxkmycQXApxH9nlTTWwoEY6EqJj2xhzIb
fnSpsxtq9XWCiDFi31rIvngJ+nA9WuFBLw0LRT0tBD9fNbZ7Y3ktYgtOKW8EdPEpNXa3GtXuHCj+
i19Mh04YV5TaqLLt9qYRIaJpn3manmu1I9dyoK3eBst8YE7LNADVMcHJsU/dMTS8HRtPJ1MJoFry
YrM0SylujMjUBQDnT7j0xBPLdJnXUcqoGtNl1HxXG/KDfdWH/TvuaX6uaGvzwpPPUao9mumzXVXT
JcLh9NxN6aGOzXt/6LqNM859IxH0O1Mn9a6LDwAyl6LMto2MX0Trf8VKfiLvvbButUl+mkbGJXhU
9Z6blKKzn3ZFED2bWtYzHM+XXSRJlbaP3VAuYZysO8u4mON95RQnHKdeXUnuWXPMj7z7yLAks68V
NGsHn+DKqOGuRevc0CbBQ2rFW0fedYF2JOSMpu2uzozMAz+94Di4C2fWK4Tv5wJ88hSLD38KV1Gf
MSVUtOpUulrFzokTBHvGahyQhjmQXBNnXcZ3jPy9vtDu0zQlEM9cJ+r0RINw2+kJIT9kumIAfVYI
xTSVZMPSsInf09OdkbcmUzy19fxOnPNW20udOAt9uoWdbi3L1n6l82t7Mc1TTH8AWyky0uFi6/UG
WJGXTY596LJ+hab8u+jMO82nl2YG+sVVW2LgGe+FbrDD3/iWxeUubK3PPNZ2EYJXXERA8PQ8XcdJ
trUytT8ye0ZoamPqA7N2nXVe3uSrlwDezSrT7ioxeWqt8s0zlAtUZecU4QltVr9kBI28tuoImmGA
qQjrzqL6TJMIdUJWPCIz2nToarzQkhod7eIjt9ylOYqnlN6t4P9YEneyTpBYL8chR1lY3WzCJP2s
eW3HtGBW3kq0gM7T1I8Pds84anBh/DWHPPAXXVo90k+7TEb52iTWm97odKX8ozq2r+UYP8ejnW6a
gr8HbIpRyVdVx5jTDvXraCpX1+HrSRFU0nDa03gPvRZq4qKE+oaAtoq2ttPvekblum5spqr4YcTp
Jmujd2K+wwXzDDqtUj+VDJ0XWVkMnlY6X6jznwYLoSDtmRVT1XVpzMwmE6osQpZ4UWvZ1pncd70F
OFXWLuuvUTeJQLagR8pN58U/A2VX7LBzM2rPJeneo40NxkzbzFPT+j2KbTYGChTZ9K/on+9gBT4q
vXNUu+Y86Wq3qHk+bGqwiuRx7abA/EJyybi6AkFJJ+048bWS5HWiLlwjMiJgkyRsdJMoiBWFDEdZ
YV+vBn9l0Ihg6+0a9BcrhjJ3VYHgapRBDH1BOZkq6Z9hEH6ixyAvMrlCkwVSqgT3ddJuSpv1UDl8
k/GqEvapdY1dPpn7vkY5VO2FbLwY+Nk2R5rAi2IvrNfWiG9+Wq/ChjT6EaUaE8gy5xBSc3/dSH9T
EN1T5G+yzsiEsZ+7StsNibtsEvPQ18227wpapdlSQ0PP5FHs1HBA/hU1i9h+KP1+Ca1xO4bnMm+e
R7r1fZ9sIV7C99VekCte9L5D7e8GC9vdhI0PHrL2t5MiZ9F59Sj85r2KeUNIk4hIUT07brW0Erqr
AJAzV9/2SXvU7ONA7xqFEFmzWXWvTMZpHDi5ikEs3Igtr1j2nTXIr2I8BJ29ym31IocfaTedsbih
N0Hrrho/UJkykmujZZtoB+o38Gfhj1DPPmVgXgzRnA1RbcM4eERCt1IJGCGPy31xIkCO7Y8GtWk5
cnTyxqyt6myVA5swf2GLPJWjtbeTt86BbtdlbwEewTqOjq3aXgga9wyAKRvdlyf8L8/gZlGx5LSU
hnML/nYs0ktppW9poCTLUTE/XLs8d62+zYfxxCszXTaR4UWutk2NGt9A+95O7QsY0BWJWlssenTS
s4/UGA9SAQDoL7JBx1iRW8TtFqcaclCaaLUXMfwJH/R0b3AoSLyRHMsthiaCac2mXTVDuumN0xQ5
u15PLqobfhHrg2YqCJkRcH/mdNEHRC4JiX+xeoKOyeTRLY+BGd9XmQCNKa5tSg8IhVqYNq/ylCVH
vb5F4AGMUlkXdYROoSbaqc4XRoePObTpOk0k2kj+WtEd7qqstTfJ0G8ZSn4C5zjIkCFkyRdY6UeT
EE9wv8mOhHQU4snBHLBR2uKpGqoPl5j2VWOaKdBbCdZMQUoVN4SnzkMCAgbuiZDTPOKHQbupKoVN
zpgi7wwPpO8+jhKPIRgYENO6I0bqlYHKd91vn0k62ABEShe2WT1VcbHN+znQr1pB6fSE3m2CgWJm
euwYmrccvICxPcNKr2UBnsavN6NmrexO8fTg1PUWiHA5HOl8EsNAGl3/I5GpBzahKaEg4o71m/AS
MZENx6VIbG+4DpNc5zW8r+xSMg5fKvjoGRtK7o8Q7Xl7bbmK5tCtRdRvJvcW2Ppz0KvXsFU5D5xN
yGs0jDf0wbdtaN5NWBqLqj0OanrfaXepwQICTjqFb4oqF0OpxYu8RRxAWGLfbEWvH8nRC0B4DvvB
rQHEleKHSywVe3PMgz0GFlCa+dZ3eUigOgibY6iNwSJxHgXsDsds3kOohKrqtkvLV2k3UD+0iv0c
NwwUx/KpnAJo0CR+6QeANEBIObJMStLBF/syFQ9a+thZRGWPtMHbnyl7DCAAZqfpLUAI52UdPEAX
53NrcyPjTZv2NmylU+EIaKGWdPE4TvmOCXhFDVm5zQsDx/ypbKYOL73VQk5rxh9ZQ+fCjZCuE5DY
fXZ9Hq9ghqgby4p4O0zCR8jR0mBxrGGFIJcIwyyR946RioNaBqTDcdinW1cv4qccR+kq0VL3SnuZ
b1Jp5FtKNbxN8ADT+ETbvmpgLe4h8OithzRHrhi8sWGTcKfNzSnUieoXP9L5jhFl+mDgpm5Ta2wA
Q0baQy4qY63ZQXNxJAgdNYvSg6rY1QPvPepjCrOBDKWsvi/T2Hh0+MSe4uJGHyPZk0ZZF4e8M5lg
Kwy/7CrgjpuUYemPmrML0Jkw3AK6Qf+rKE8Z6Yor7hoGz4zVdwqE0ZOe2f4el1W9d1ELgYRWeHoN
lcv3Tpfp1GAf9zJ9POWODrM8GNXoAVuY/aRWKh3zPGNuRJtpHYgpuJjDlL8SJOGe6R2VNx467B+n
DtIPJxLti5IYVo90U0YXs2usR8uN5NU11PG+7t3irPU02zszGi5V7srDaD51qFkZ4VUbd2qGq8/Q
76aY5tiRITXqrxbawvVQFhxldK3uq85uIRVP9nHkwnyTVmhv07x1sKwNwwdRW9ldm/TNnQUo/JK0
WrRLQ8j9yNJnZ14oFzJ32jWqWUam1PULYRToEboJRYGva15uRinTqqDYpPMDG21bCJk9QIgbJz3G
EEYizwbjNW/geHqLrEQ/F0NrICaxtQN6TLRKCIsxzIV3+fA2yNaLQpRUXZOMF4bO3KRFOnYPNStz
1EJiFtNNnmtEaZfTd2a6NF77uoVu4XePviJuTjZdiKR/FeE8aUt3EpKFObUJxz7icjEcyjBaMZsV
K8u2PMQKwdJUXOSL3L+q/dIr5Y7cPtITNPNTJFxmevRuQlJAO+ThHV43kGZg+/ZcDKY10L8nsfDs
BKa6yfzqedDzRz0zd6HqnBOzXZra5MnI4BO3my7Ge1U9aRrZn4VSv2AdlYsxCKkoU/HYmd3NJ4a5
GNGY0XFchDI+joOyC5wRF2LQ7QqtNJeWoifbNJvd05N+GR30IrqZeHmUrdxS0tTuawgBFOVkGS5a
3Vx3VbPOakVfFitCTBHRLZq8PrjSQeTrrIMk+1Fk9e0fNzuMn+at/1VrYiS3mOiA3hKQtvBbub80
XZiTUTFZot+K5JlnfniYhna4DD0TYKyM414Vc/RsHkz3nE/y2ofCetTAt14qvxT9ohZZ9+IgRf2w
f26VeN4147x/rHknyXlPxfPuYopQHrSfO27ee/kUxA+9kdFAydma7bxHnXm3gqmZ9sm8g/2fm3kI
jJocmFjZBz57fZx3vTPvf6jjwYpU7vKUurW7gReLBIrcJmcX+fG4zLQK9j2NyDVzwgBJPqcMiQj9
LvA5edSGQWVp9sajbY2cS1pNfR5I2TyoUV4/qHmdHuCMILKequYSTLzG3Pmk030MYZCfVL4uzkFr
PhGVINe+9PmUrMYm3ElyH92ilCuGWhym7XyuKghLVunPw5ZIm347xo58ywrqjEId3asZxe5KGnr8
xASHBwN9XxoosheHcuzlvenm2nffVYZVCpzIKCIu+Z+XQN4SZt7PN0M93xH+fFvk870RhS7JwfNd
Us23Cv2c/EmbbxpADlw6/Gvmu4B0ghUjlJQoRW6ner6nsBnK3TDkx3y+w+R8myGev4U/o+6cqZ4+
aRIekDy4FXorrX7qK5LxnJ8heWOY6M+jZdPUSucUvZ5YDXaNwbC6CGhAxazNVSs6UpJTCjgdWtEC
4fTZrpPsDL0jhNSgy3NBgxoBVLkueLRthSJdFPEk4b6bqUVwCva3iccNMtM1fgYbLUrz8ycaFe98
O0Wtxz2t2BmLKZPSq/M8ucuzSLw7pa4f0ohDYiN6h/cqM2cqBYy5Wb+AdRp/GGpx3xkJzr5C1a1y
LZFbFxWvBa9lXEPDKwUSFaFAW6hWMawQFF0lr81tr5ivVUYrp1U7XhITdeXE8h1xJnDZDCtX8R+j
qHxMGpmulD6qlmg9UlR2GeAhHuxfPGKeFUe1Tkbruqu6MG+oW6mAFN1YqQhlOGERiCD3Sq5OL5Sj
Ew7xiouexBw1Dh9ttZEL0dTRXgrxGGrRI1JGeYhKN95mNmV2m6r7wNDI1unkwOxm6Ch6GijuMNff
Qvw/W0cLfxAjHyMVnSRVcdyudG08VtQfiz7ll/csDORb3YvVavk+w5K9zsRg4iDP9U05JtVS69x0
UU/mxpE5UMysVxZYC6w1zVTaKmr1zgzrnrpQX6hiYPah9bciH56go2QPvVLwHHMSuTHbtnMgRscg
rexCLpMYkg85ZYyKFE3bGJEo1g4qUZR1Xb3udPZa7tDX9NGTL5SAGNZgqN/6rLN3oxYz8ZiyN0tL
qCAsrA2JjRs8dQ1cAYwhWFYhOcApoauVNovjC+wF+FBAyZF94jWRhTQkcFNKi0LlOX9nAVwlaIuK
aZQ8+aXj50+53/AvPPJqhXwtvNrtHvl91i4wrIRrF3jdrXZEdkB/7e/0wlXnmUp4yn37UwNU9Bjr
ysQq4EBRUvTEXfIjMsQjBkDwB1qIm0QJkFHnGCsJzAUw6cpP8FIWGeU1V3tZp0uqAuwpY/gxjvpL
n7wi/z8Bq2NFEHYwZvbdpOX6coyzH6KerqOWC0rhFih50oB9VxxbJ9wgDM51pXdLI+Jw1FQeHl1G
rmaOfxUNpK7eIKfWvF6170OuGiurjG42lFnm/+5KwXLNy7hAdBFo8hjYxmG0e9StBvtrqLgkiBEM
lzSkzwT8kdXa2nlJ2DcBBlJX5Dbog+klcuZHZmCM62mA77wYarhgXtR005sfxineH9g5dpsoHgNd
/WI3UfEeydHYBYpQD7J3o13SmPXFz+3mroO5fYfGevjwOX8Oml7a22GuqLq5tsIf1p6Nud7qf1Ze
cw2mK/A/0fgpS/9ndcaJa96cuWSr5uKt5Rv/efH+WxOq/3v29Ed75X//a0OszVd+fk+/6v8/Yyy8
kX8+xnqswqKtmCv+Zv7cff7XXxg7qoyx+G2/j7H0b4ahIwjCoTnjoP8wydK+MTsCBIWzWcwWTcZV
WU7n9b/+opvfLGseVwFYMR1hzBKJv06y9G8udk/TsQxHn8P9nL/81a76+8iIKeCfsjkY4v4yQqKc
EmgEkE8JZI+uOv/3P0w5iyxWlNHU2i0tipFGIw9xenbbtEMUTMjJC0qxYNGhoPOQk4ybKW++Bl1/
hhP1ktqJevVLrC1W2X82yMeJO0nnRohol4qiKSBdy+whLtT6MOPV5wMwWxLlXWO2ju5FoWCsISVp
Sy3JURoUZ5I8oPeEo6Q0tl5yihPm9+M150mXFskd7wWI+AHK24wwMPIlyEwPDLx0QF+tXCnf0LbR
cGKetOUkxtJI8CE/NejeQsZjGPWPGLg75MM9WR6pCO6YYrhLYsOUlVry8NbIOD4S1GQcmsic9oVS
iKPMfKhghW2mPRrP8cl36W2F8TuR3y8xjcUEPNoIfRaExYq3j79ssN17sqVNGOlmeyWtaxNXsXks
hDbs9Nhq15M/5ku8QygrSg0BMOqIcWB+Y2ntD611z/UYiJVWGfY9mjfVcwu5kmUdb8Ya4h8C7+xk
RzlJakPtfxi0ULeCsmOPpqFYAv7Qkf+59i6utGKvJoH4aMT4Vg2u9AxK0Bk9X886Pf5XZhQfrXCV
ky86dYdMQSxCVB7LKbHM0xRX7dpK869Ia/oNj2D7UqkRqLIAbEkbaQgg1dyhVWpjK5MknfRuWdF1
GPSrQ/VVFCQP5QDNUNq08YuRjy+mU0gyHka0i/Ntndbq0Zzv7yI3JTZ67vSYSyXMnHhr5+6bO9/7
ouOXA/Eb5brX0GJ0FAj5XCnwqwhowTF8CO3kkYHEoz3XFc5cYaTBED7WPqldsQ1esoYWA9aPmgRV
iEOZSJ0yxa6x6ufapaGIsQ1Q7Da96FMblc+sV/drmGseda5+Jj2vlulcEXVFzXPQB7I9rEQ+kAhB
8RTNVVQ311MMbuZIEvM1yQZ1GzX1VZurr3iuw0Rk1OsUYeqTGnSExAkH9Z/7SPzHXWbw3OTFw/NU
YsOtO9pKC7cjnHQY6nlYi4W42qQQW3eZzzyISq0q7kwxYAawFIWM9zi5uMSooSBiwJWGWrHG5lNd
MNt1ez8wQ3AuMLgSKTnO3HozNcVphs9L+ssVQhcaFdc6Mp0NVS2OT6t+0oJ6eMBgRYuKcftWawIc
N6YgLybSN3HYpU9JFIce/1TdqrfGjj521KA+bhX/lZ57t/JjvTyGTY0je+wFWlwcq9zWVqUvW7/6
yosqWwaUvXQjeX+J1BzuaQS6y2IgbwF9ieE1tdgTMGpc0AzBVvVJ/xZuH973WkKpXqBpUqMJzI8i
pu/N6HJJYxEVvZ0zmo2aeFFM2r0fNwQj8aKZq6B8Tagaoufap2ctArmMmx5Nniho9evSylDwJAiV
RkUVS7dX2uexdsWtDVp7Wzqj/wxKHPCBCvbE6tDDhyaC+ghX1KG0rfBGZhV93HyWe0tr0q/JpCln
vFwTRVwSPaPOeVYlr+ZcjBhmAsxA9XBXNJ3+hR2ju5IK0C+VsIZUAUgHKOOQT3tHKjT8mUzxOuq/
OqNOL3Zh9Bj2eAPzdqL94OMcV+wkXmtT8OyYSXFWKoc07xRTF06WgFkk8Ryql2JIwh1aHobOBzCO
xD9apkPM+6GT9sFM0uiun/zi6GtNdEG9RAdGbY+tCDs8xU35jNOtXTCXY/RTjrTdRnJz2hDGeVqP
fJ3RFN06l4+R9ON09eV0P1hZutQRvC7zsQ93qOnvuYfoVOKQWVuqFXzwCpq2WqI8BkOpYvHLyETT
s+aSx44F0m4Kl6RkIlrUw+OAu/VaBmZ+b0WoxNOQ8Xyl8eJDFjG/zMCXkEBHRa1YrrYDddUuEYBb
Sz900g0Wr4q0DFwASlraRLQSAtPZBqdwaH0RuJMtXcHDCY7CPQny30PdAWEdMTlhdMtUWy2AjHS8
Y422nlZd63O8+BD68sx/AujMrTh/BtBO+N9C8uXyxtWfnY7dnFi6WMEtd0/E2uCn1jvLJAvaCPoP
JWjxJkfQph71wvlh1dEp7VtOX8LzeolrRXcuHVyyBfZuQ4HJKHtchbJdMx3BfKxEV3vQ5lGziJ4K
iOurUkeD4U7yKc3ExlL6ZCm4EzKkiO4rU1643W7xmQ8sKFEnj12JpjUaRgIYEvU8dRN9CbSj3HbR
DaSFTntTcb1q/pd24tFfGx31vJNy9DQ4CZkEf1AXv3W27vOlTgYdWKQOKxsqySyFCffEQN7B8KxO
jhpAX4WcHKLa9kZaEF6Ofw7RJuIDXgMZ8Tq2sa27uHoMsG4spxq2ucCDvTWG/F1VOIWICln6ur8S
jfUxZgyzTOuTiSPR3o3GlM+wPv9T7v6rZBLbsFEQ/Xm5u3z/rN5/y5p/D0ia3753X0n4d9Xvzz/l
t+rXNr7psyQLPbxtCiRTFLK/6bhs6ljNBGJERQw/Sf9D0ryuUjJbRAVYhqVZlKX/W/yq31SKacT+
KhKwn+KvX4rdf1T8/kJvotlMvi4DD3LcAQrY6i8NxShq9MHwE3/V4wKOomEjTLmmv0YQr7n5w/f0
f0i1fs205+9OcT2TmGYGHlK0X35WkCo8jRnbkhGcrzu7u45pua1je51Bj5rc8jVVLa/pn11jrdjT
JUgn1ZPGC1L6hR4OhyHhUmf1/5NP9YvE8bdPZeizzJGP95NL88fi3y/C3IWj6q8KOa4a1BiJ6Ino
0+21hgFgwuNpK6knKoBa5ORh2VqOPhNCn8a81XimXtz/4w+Eqe1vnyPzJ3J0w4EPSlfL/TuuZ0ov
RSEf1F/VUys3yLZ3gKbMKzwI/zJIPLyFpSSXIunaCqTaBHCdQWEzWVTbcWfOoJg3pcqse06HBJ2p
4x9Mk/vHztYMCHAuZP2bPXxPeId0iL5Fnp0Ew9a4x6LbIQyxyDDAVUZMjlEjfCCTDkENs/5pWTI/
AGR7UktliTtsXZjZMkowTWBZbWW4F8q11/Pr5HPv4VYySxjczjgPGZd9S4qqqu8DgTS6zI+10Ld4
plDgvQCT2Cmy9KbuQ8kOgrbBglbvvqBc081t7D51bffctTGhxyMs+GKwd2bzROA2wYnYpbt8YxAn
nNYJhoXgHhVDaEfnhNsHFqXnWCMJXP7ekiQOmz4y7mQW6z2kXbY3DHs91AbCwYARatqsy8gZ1wpG
OoQiS50pITlcM3731Emxht014KmllYWdoqdi79ZGmeNgfxaOuwcF49kZbs/EAlyFSzfs1niF4K/l
26ruvSCp+Xr4Ma65LMr+mlcW6Bw0z4qxbRuRLqa+W9pkm+p0HLXyQ9oXPSuPGVbZMHS8fhZiqO6+
MNmZnbNSI/gZ4UPc51ulOmNNX2Nmeu8o4U3zoxzyt7r+DqkBLlAJ4se91KAf3fEurOhXk1ObOvYa
y6IX+HV7Vl2reEBS8RbYqXKCU2MubXjGCp3rqz7BIvAClpbe+AyXUzP/HhilHy6Kgi8t7YqIoW+W
fNXY4u71KcjfXSOk7jKsedP4833uy53dmw+21uo3EevdDtBQ+9p3cyiM4Qa0xG0MtaCJgqe0iDMy
ow1/AZOGYpZwU8y3PqiIB25hhmWitpdNhV9wkfUQj/gUYni3qjHZZlaKgGMou+AkuyI8oq++WFUt
7qups6+Nnpbrn/v0Pz2hx3+K72L5z+E/f35JevI9+wy5HuUvF+Pvv/P3i1F8I8ped00mEA7Nl7n5
8/vFKL7RC+JkFJzKvymff+8KGeo3m1xsiF4c2HMzCV7J710h/pNwbI1aj7JQIzHg39M388P/KH03
VdvhVrS5IFXyncgv+9umUCuFnappNDKAqMpbCu74pbSBVzkocGYTfTW8Amj58GOt+nIqI3vrZzSS
6KRsV2bd5yu7y6uVbSnuS6V1+b5Li2CpOWHyaSVB+/yfxfgvVmwsqdmE+OeL8UydlrAe/34pzr/v
9w6l9U3HUwiKmcalzpQVo8PvWnvjZ+9yjrTiIMQTyDr4a4dS0IaEL8ckWqcYM/6wFnXrm0ZlxVqk
9LP4I+1/p0PJlvjbxcg4idXucJGQyUL99OtinJwa7SD2xt0YGtC57PfADl1uhio9S3P0j2HCqD5T
0ltexKjJyazdlEiK3wfTsk+RU2u06J1NZJF2gs+VfgstIjNzbgFA/WVSubT32jkYYiR9tI/N7r7D
ZLPodQNGWtEmD7WEcs+arxDqmojTaJ/V4jTWXE+OhVGOUE1iq/z7lpwCATdopcY+McuRfxuk76yx
0icLO7WO6MvEux1qCVN7hme5zljEcadTkk6UMH2D8gq656JD4QXWpl/3dVdwJTrriXE4qqA2NZZl
Sqk6aPaS+FEFQ21/X0qT/p/7SdG26Iv0CHdtNdb6FSDoIa+KwAM75LW5/sPSwmGvSH8W8sXOtNFl
9RDy3V7yMKUknZRig9fmNqBkEkp/bC2+TLcpjGM08lcOjfhsZs2mVECPIFY6GVaLQFHN0004NN/p
HE1n/6nmAlzUJcnusmz3piYTzInNk7DGJWiXVQJnqkzN0tOc7EdjAr52BYRbxPCDI0hZjR5LdEiy
oH1R2ShqCQxdqMw+l8oUbZWxvVd0q0O5Vg+3NpysnWGnqwK96jKMcyzySKUHuwwQogTyATLrVRrd
h2/RGAhqM1kPw+hAwk/Ni4W7eYH0D/COD3ltRGy4cRrQmbAxrR2i/PHRSPOrEZcmXgMDzUWUyvFB
TfyJYVHdFBugt8FlECcgRDeChckAjER211eK4pFgdgpU8yLRPEI0eg6SEfdagTOt5VkR9dUxqOqd
Qty3StOmD4jLBWMzWmPIP1V9rqrmR5w9YGot6FO4xtayi8QbaSMD01qZQ+epcDkXpWsonj9MFMR6
eR479RhbOAVHElocxwHNO84qf1SrTzpwk0UhYUoPYv7Z0a5UlUWVFOqNVOnQo5C0wLct9HqNIwKp
o9NrmxKOVWZp7yaMjMOkuT/w352MeFqYaopGrLwzGofBW7QEpXKtJqm9dkA2VKLrwpXZus6DKwhn
8MlhX+gjmhgDTu4FRIh1B54DYJ4LPC2Dw/y9MMv2QBR62Hj1aIm7pDSKveHX4yEyK4fyppSe22bB
QeHy2yGVaHdJ5CfPkRHMBtu2Do9Sl+pORkG1HZFkPdY2VmCWao2SXR1fsU6SIVf2+Z0URrez7Sx5
o6lhQ8cAk5yocUwPMBMHKXL3UAA1odDq+3WjabPMaxpOKJDSx6kJh0eiodt9pBbpLaUaX5cdHu1F
VbjVe0ODc1lqsiMW2bVOXODFkVK1v0egbJwtbWr3DVnJr1qUtDSaYUkRho1mIhHxrpKudZmqXH4Z
5kAZV6dj9Qm5lnkD2gb3hIE0PEWF2x8tP2kOie9otOe6Tr1znEG99kZXnknU1o5pnMsbjTAXWwDW
f5aKfTSUXj1SuDY1xj2QuoTp2hst0ZMzj9UA6Spc1CiRavZPXpbGz7nRH9U6FBA60y5uAYc5Fo/e
vy0hYtreuVFPYCeCIDkXZpV3u6ju6nM5E1lanzTDQuv7xahDndL6eFr24INwsoIuQE17E12trBNj
xFBoR/PMu9ZywmpDdY0apEa4HgYgqlrCu8jcsu5EpkaHRk3Pti/gyJfudMfAhQaT7ySnMcDXzkq6
WaA64Ie41pbAsdRjEmUt5Gg9VhWyqbbt04toAyI1+rH1H4u+15WNC4Ru8mp7KrOlzPiDF3TiaCQL
+D4Al+GyezVur2GjpoGMVh18jVdgU2W4pBzPV9akZTeSm51XAtj2ddJMa0UnkddWiK1uMm/Ex1Nk
IwDQxoYoqyawetPsqBgBivBUw0jZGtdiaI6yqB78ynZAhqsNAzkLoGQ4wM/0w1WsIeA3yFj27D4a
PU1ifZnM7uBX+dEO2f5hOCL1Bg/WZyGJTm3Fw5DZzqLsRfBddlYP1qo31wr8FxINhXXO8ZRyxmjJ
2pZxdC0mESyLNkjP7dTbM4qUpTQxcSFASajHvrAQArZRfSTOzD21lipvUg30YxCK8hxTZl5zitY7
GRMc4hF90xz4tx6OAGHCU69CoKA/yHqn+Vl/2gGmugU9JvkF8D7zhsof1tW8U8Z5zzjz7tHnfdTO
OyqpHShJ/mCcY1BB90UZlkdTzbifZd1BgOCqJFSsfgc6g8OIFyh4onkHu/NeVudd7dtx9ggueTjB
1w12OAl62qWcAzCw3cM4oW0qzBxpS5nN66B0HrBlJG8YbrrdNJ8r03zCmPNZY82nTjOfP9N8EoXz
meQqhbqLka0cs0BwZA3w1J+xkrW7KE7dXdH0wSFp8JJ0jXDeo0QfD4WvMLoDPHAnU5eDkaSx9kAB
Ir4zEZGbAc42uv1Q3PGrlUtbBsLT0Piuwv9h7zyaYzfSrP2LoEgk/LZ8sYpk0ZsNgrwG3iVMAvj1
3wO21DI93THafDERMwstFBIveVlViXzPe85zEnpLSJtNSyAjVD4huTnghpIhf7U7P8jg20jHSzXh
dIq+NkRD3GJtRpaa6PCIi+Gm9FJ/LZzGAYfN6mHeyADzKobzAKBkiTpbv7D6VogETlZ3dDFYWXeo
IjVEZ8kMi4TfQi5Z9Z0/9Bjfy0nzsUtIh4nIIPLkx/EUbYJpbPDDzc7M85qAt4D+t6i8dZlWe7/p
rFvLGOS1H43O3WiQacwDq90qEOP37aycDARtWIh948Z5vjWUSVg8ZB9KsKVmHzq4DUJFAOZgpbw5
NrZ9kXMDYkeBX9Pj2Hydc/qe1yhFJmfLlKYBbzGzMc/K6uR9RoIZ83lz54UTlN80JcXQTvW6k+Wh
pSGUBHz31A1nl2gP6r64ZpKqr+0EZUpC4IcUY0FbUqSqyDaSrA9BPNRBNG6KqtYrkqlskYf0HaC5
3k2p/maWVrNmhAL/OslLKBp9U3V8RiFYfSbeJ/Gn4GqS7FJdb5JoVjwGrKqxV6kn9l5c4bgz71Nc
05sx90la0RgVF567jgq4Fn1je6fOHd0D/AS64hLrKvSNeyBrPPMS0zobPP+3Yq6/5W1lLK8RfvSp
tlYq1hce50+zWSc/HRBmx7bHnKfzaj5BW0EsA435bPpi2qRmM/3Eg8J7kHL02iL71omUqo7Ei/7P
iPLfZYYv0gGz17+f8zYfxUf5pcyDtPrXYW/54l91h0V2l5hU8COgtdqLy/ZX3UH8grPhD1o9c9hv
wx7Cg8Xk5aMQ0+yEwvBP4WHR6skdo0kgcAMAhaH6NxT5gFHzT8IDnUIWEUzooHgafZLVf7411Mqg
WbA0bXJcyc/ec2885exrN3hMw5q4VQo2emJeG9jCY1S947n0xkm774P3WKOdmkZ0Yv34nPXunmrN
nWkY2/RMl+RVp0nzesQvw+E61uK5ITqXddGunp19OiusBOsqRkHM65Op1m7v71zN11KLnKfqAODo
mLnWnaucG8e19rqx7+zQpJhtJenZxj66m+qAcsbmwTfqh5mMWsjGy46rdQbzNe8+5/xhiuAXF5Au
R3fn2fraq30QUcXZrO2b0h6fa4vyrq68uI7Y1tO0zwuXeEhHWUH4OE+5zxbcfmxdzLs6vS1CG6pG
vDgZHXWYQ+7+aZTfdZF3sMgJEWsc3jsVPIJJfE1tfmWMJHsrdI8YRLcAT75BOuGgK852mm//8M77
r3Ydy4v0+9WPN9byIi6MFwhIJu+aZaD/g6VoKpRsYyLH9L4Tjy3dr3K9SDe3zjTdeor2wDjG7DF7
W6PH9cAr859/ABuz1Z9/AOQH4bkCLQNRw3KWxc8ffgAuaT5QuyTcGuVqrhFE/V7tRsHjb5gcYD2x
vLXDzN334Xwhd/o8lIl1ZhVlHAuXAdZb/Zgg3+1mFh9rNrDJzjPDYhtW83nM1QEOJ+enHxlHgdGg
oAwZp19ebPZQqACD4NDkIpNvNV2/qxFrZVWFDhkf69SMjJ2wgDmZW/ltAs220uN814tkP7dczvns
vViNPGE4uvbT/lRCbbyqmjo6ff1+/pZ6+9+z6/3b/2v5Xv/TsBMcGeQSBG+Gf39Owk/66Lqk/Rd5
9vcv/sc56cOSWNaMy3uZR7j4XRTzxS9AKQL0MqQHsewnfz8n7V9MweG6bBTFwgLjZ/lVoDW9Xzyb
mch3bdCasCusv3NOIvv+5S3uAq5Dlw2kLwNO37/231FCNGT8M3KSVLHcQaRQMOtTyZo9gNm/smr4
dlvaoEpoOFGIruR5S1jRHuVorKAQ0QOItHcu9VdoDRz3qg8Bw2NnyB+yRBuPzrK8iMZquLhFGZ9U
4YlopxyCy7A3g61ncSC3ZRt/x6kwM6RzQsV0uNFdHI4wjmlqA24T0vh4iszShvUpXcxXvOnv3LEq
QOrPD1FvTeAED7Tn9P5KDoC0+kSpU+wH3Pt5PMgd2TxuK+EYAWj38glMZyl1cwOjG3dGn8/iIXSS
/NUax+ihkvCfXCHTTxw70TUoXzyMkzHMn1EVOMSAbI/UPX5ODRGdMuzs6KQyoBOcAnLSLibYf+oU
ysvYtqwY5yzdlga/nVKOpwjwwNYsYirPLSWBPuURZAMaYmicMD8XpC908KonoNT5SXaGZJB9ahek
MhuoPPgeVUb0JDGBLdZ0mEHgcg1pbiI5lJvOEXg3rMxeCSsZ2UNH8irlBcCLCUS4g5V1omHieUqQ
UzaeHKGRz205rvO0FNV6HpsSbtycWRuLbfd17+r0Iynt4oeQIR4yNUy1AXZ0wFokgomQdcD5xCaa
NRKRFBrQgqGLxrVbRpDYDYsWBkn4EF+2DggtlvVb3IZtty4oScOpPSZVw2wmyZMaVfyKZYrEPoWu
8cFq+T7mZJUDJTraD9ZZhPkT5ogiiFWFKiBCTw/cAbGh/47/S8c7S1YjuUoj2Hu9xwgsI3ciWtFD
EfcsH748oK32qbMteYHyZJ9Dt28f4zKuPiIaSVN842UTnHjkWeyp/bH+1hD0e2uDuDI3BNKYiYNU
1e9mTyvEajZdJ9unaakeTM8KLjbdZeFmrnVwTrOqvRRxA03OL2NgG8Hoqzu88ONza9MrgmlIGD+o
HHNwJpmmeoVdUny6VObs/ZGnHcalQD+2ZWkRo+gK5i7V4fg+IMniuBmMuMRPigdQ5xInZUemIIq1
fg5cXd87XTUfLaYAPrdZQ7I/NkBz1S6zg0Bl35CPHJt1KGT2GfHhWr405DlmqzxvDiJpU7W1B9c/
Dg7zYI73idnMzkfxEjWTeAUvhmQu2F8vMzsvoA+ai53x5Dsr32pEtGqF0uaKqTaCAhPDTA/dH2Eu
5zcdjVuTlC1zufWtGgLW4CJL1afjjVQSALAY38YhLTdNH7NLNVr9iG+vPse+FR4yx5ZXZZFrnI5R
x3/2knzbADV/mVsPs2fUQteUFLBDxe2IcYuZPAPqOHR1YNUQGi24Vti6DjRNkWGa5m2FHMpNgVg2
FDZc7g0dfbP0wudAsg0uO4QoWq4Cd22YPFvpn1B1s9ZR0WziuaTa3Z4TYa4LPRbVVuLfKtjtN8mP
tK/jp9mL45PIzCzaMnwCxzBsqV8NPihUubMF6FdZ0/RvhZXGio9IZ4BESWY+2nPhNBf6bYppB30B
91Mx11BviYisOnZrZOV6t79pmmyCflVW1bEr2va1XYyEaDzfs2JIMbgpzukhz1Egg2zxfvUG5GUc
IU+ikymdbXLGeRGPw4sdRupshXH8ZiKJ5eizxbztJYZN3rAMdjScFAKzQjN731oyEYeIa55oEptu
kZIlHI8ShucILux324gYRA1F3pFfntbXSd9HCA1ONDmb1oR6vzZoJYzXtk6h/PP3dL1DH+Qk/No0
Mq1NJoL2x2S3LMj16K3AsPKUsYfioArVXIVuUsK6ZUVIdS+1YZtC51m3l5T2xCTTgWHYiduRy51L
pDzQPlECg8512Nf3VIzwtxd2u+Gt2fwc9eSj05ALMVvYrivAiRxOQV4+lAYfN3rCEiL1umneEg+O
P7O27991tZLPk1dB2SW2Kc+CwOYT1N3mlRZO/8pP8wifptdRoODXkXVbU4h366JsPDUTahDHhsvb
xyO8bnGvNwl1tMlwPXkdtBFqNKLnwOwFLBxSJj9FI0z/xE8YW7iVSaKStpn8t47uA3b8uWyv+dw6
xSG0JQ4HpR33kbNJnYciSG90WMkdbhhaoENMqPS3KxJDuZEY8Tqfc3NnNFXCAib0XqZU6FWO6/g2
SwOxzmUDoUNXyYX7d7mOZ9PkKutWKEFx89xHInuqA6vemBBHauFZjx3hwktGj/amz1Lr0DiFeASv
bPyQKQWtKxnJfgOn2jpiscRaCc46fCxE5F28KnmsKmFcwmoKNxk5nWZFqji7GKmkBs6uCVFpnDO4
aQLip9tElOVERMlknTZ56WIXyhGqeSfkVv0BdyVE/O4j9EgvQzudKw1LBcM64D4w17mev+UxIRyD
iICibaGKbys3b89FDZSCiG3yDoXjjX3yvB/7YNyHCWqX5xbJR9hP+DJ9nd37ADr2OEDnA/nnctcQ
aHDhbkhjW+rG30x9DGJHUj+hrj2nKN7zeGAX5JtyxF2SZ6ieYEGXaoqaw6W1fPuIw6d7bGYsJ6Wh
Ykw/Qm27xftaeBHrv6xiRSha29rbHEBromLDo8Oj5Q60jhXRdgsTC+YDTs1K6PZjBjR+7beEEzDQ
tvFxqML4JhKDfBB2X1/IAKSQIiNEVdzilCY48dSsc3uJULaW3Kf+6N9AY426U4m5BVy1iPNrN6VU
j46B8K2Hsnzf4Rb4qZrc8ngqc5VgvK0xqZrNot+YkzLqNWyyMr8kI8XZK4dlCc/vAgFJtV0Cnsiu
phc500VHDKy+ZDVszJWN/klLVWtaH+7ApRmuRhQ/u3Ybq51m6DLoncWSb0fpvGmpLw/3VuwB+4BB
P+ljQMd9RTIjdV8GysafyPAO917UNPsuK8xbLWNJfYfTdgSvDI4HaimjvVvk3Rvc6OpOsacLMFf1
NH43ojm5ccZndSY/fvYmiwwgyh91Tejgd1xgNWjYYIhfY7NjS5PrAYM66DDrUaRj80K4sr4ELeBE
lmLzjd+70QDoyrbHjdPQ5bNSKpkLwJbe98q2YZfRnj3dGENYXgV1KfZqDtjEKd0Z+F4999s8+51J
va89fXRELad1W5TG1p7q4TOV8Cx3SJj9TkONPKRI6HdDBrvmH39LRLpyzRpsANTsPVqYEleajsQX
PpzkCZqkrC/+kleJm+LJyfJ7mBewNfOoPQdFjKHKCrEJsbZmoVA4EDiBwXab0pK88GHoBi+1idN2
FdY6Ymq16QBcMbJbz6kbNueAYtH7oKrceyKj9TXDS35uoyl/NXDcp2sXauQ30EPxnqiNQz8knd83
rGoHUD55N777ySSmq2q0hgmvmjlkV3EpTfxMUTQdgGY438I8IsJYClbgJaE1ioZruk9WUvnBTdlE
OMB5cv0wzNb9EUWh6rdDmiEL9zO6xcYteK1XzmAlci+rIMFj3sodRWHp62wY870ICoKvUJQDnm3x
8GzCB71HJs1vAJjPlzmxuh/W18NXhelSPDzTk6Oj8H6Kp/ZzrPz22gOB/6jo0DCbKHJXaODuR0xf
AQ0dth+zyg8piV1LlzQPBH7rlu4UvaH3mbxwnEyYptt8QRqI0s4yQF/pgqlsWg6NpsLhnffSeRWR
2eAwaLoWVFeiIGAJUX+zjQYuUKUIWNLkeZcUunkhT05mskFwz6ELPsPgQoIepzE6BkPfdjtTg8Bd
FwCuoUnYs3HMykYcpIc/NFMWpHVnWlgMS3ifNGPXn5PYKup95vqdv8pMUH2MBHC8lZaHehRNtqIn
KiBFEnMPnQaCUXFf1vXGqpegUErmgs5bj1BsSXXrVVGkWNoGPAL5RoZmdaFNZT70rOi43UAE2jui
TQ++U9IaRARW3pM/tQ/adMtPv5qL92XK7vgOtMRtetsyHkSv+gtgHfVCTGg6ZqZVcFXlgb8mtjWv
a5Zz/JdBcMUwZHVqxVSfqyAi/4HGXoXrKq/Sj6LKVXyQXRLdkk/gr5BlZLX4PKTpXR8UP1WHfMnH
BTQP2a+LoeghXBF4rtZqdpxTFI8mPQakPgjD0iExynTe2v4sbax4vZuRTR64kMC5gRuYYF3duLNt
LxkOtz60HRTiwSkTg9E0hu+Qy6RwDqpreWm4xosioGrI0aiPPJE+kgwpfl0mYRuuiNDREFrSwmUv
S9hwYKNCE+qsu7RcZa0bLyUYVKqsROZuyRTFp1aSu1IgMr4XvumSPR2LbrlGFvXW62Plr9mQJccg
4142Rll1HamvKF8UBjADPPFUOMtM0flOTp6Ap/ha+Ka6tXvWAIXbhQc8NuVhoJPkWPZT3FDLVozP
SLVS7IFTV0eDHkMURT/BrOrO+XVJv548WvD2ohevHzsugJ4G8/r3par/leHTX/UojHn/Xsx66gB7
fWSL3/BPkv/vX/urlmX+ImzpkySlV9ldJKt/av7eL45Hayf+fDyHSzT1N6uh+YuN4I/jyrbwq7s2
P8hvAVT/F/4DsU+2BYtxka/6G4q/6/1VyTItzAMm7jK0Wj9AcfuzWBuHU61wg8t9lDoFzWFY0GH6
EedkZPWcj3YK5Z05cZlu6kysQaijfYhscrk42xyK2vH0GTBoQnqQGzKswWYd10/9XG7KgV5Oz8uc
Tewi4HtcgT/jpO+OIk0stPUuMpJ1MJd8sAjsgOiZCj9b+15CqjU34QZ0zXwrkdNpV6TSIKX6q1qx
GohXAHZGbF76AHxc/YgQWdYdt1ks1kWCpyww/RvR9ck5QtLdTjLlOuv1za6QhGXsrki2bZf6p5QW
nnUQz2rdgK3bw3QJvqfk6emOYXgniRDa+2rqxYPHlHOb1W6zX9x2m8IaKRC2Oz1fEVeXG2axdidn
rwQTSp1asoK5/ZH7Jj+ojvJ0X/gNt/BomDK9ju2B/JfT+3c6T6nQamoKZny7/hSUq9/YGZnM2X3v
AnE9V0nKOZof2D2ch4GWFGe6iw0qQB27v+D3vuamoTaj7dGvppCw3YjiSkhvpNwMN88RBYoalNSo
u02che5jh2LKhjgfQrHB2ky9eXqiHtEHd1PYm5AJAv1lwQLFxcReowsUyMCyl9UHd7oJ3IoK34N0
dOhe8evL3Joc4rM03Mec0qcrlU4t0XlDXBMTIN0qOguyl99lLGYXqc8tRu8wtOTrcaAOTwNbAwoh
IiejnWuGBGIZ5hlbrHGsZGN8a62OvujMkf6Kd1q76kvtvejclaeSxigSpjEbZOiXE30qRfI9wSe7
FbwrD4hPWLAqJy73onLK94EU2K0HC2SVk578VHX11vmT9xYEs7fnapzdF9zdLowS7jNk7pxamFic
8Zl4ZzwOEaYiN94AfT+HFZj8QYzlTjWWcQiEzvaEO+UdD2hGgBETH3yljHe0k8FbM8P+BjEru85H
G6U0zyBzwm81zxNWIyqqzNR77jxu3IAg2O9WTTI90NA0Hgvdmhcucb1NoVs9fFiOr69Yltis3dsU
6+Lcvesi1OeQ2f1AqsZ6bIVvxOw8Ks3mPlXvOVdLtc7SuW3Ww2g4zU0gMhIKoS4MBb6IJ5+XZQZt
lJrseKh9sI9dNuKmMfg2NP3qy+C6xbNd0eyzag1eiiYbiZi1EXtSCkytisoeWPcWYdkrLyUdZgBH
uuW4wGSQJTK5SWMGF5+KtIvu5u48EHy/8KRHmpNgdB6Ak5tXdta1jDSNWX0jpR/dim4CtivNVAI4
aqA9jp7Ax2l6xonIH1212tSVyTct01tJYPE6HObs0ipN4j0cy22Xm3AsfXs8eJ6m7aYzdH3n1zq8
9T38YHGBnjLUQGCpgvGtHekMboSED5OzTENwYtXkns24HU8CRsCeHFR3LkWtr2NU1nenZjLmvsZN
ZC2npxqbES1kXP4fTVWAfpdztQ810J1satSDUyJEJTbqcpKbyR7TKZ+tSRfZTRjl+o5iwPGOTZjG
wQqQYF0HnsdkT+jc6w5GIxQB7CHGURiKQ5BB5O88o7mYblBcEsdznhtaGEDJiuqHthjEVwQl5CGc
fePBm3p5O7TSeTbDxnDWJl3qJzLlVJ13XnoCh8BburSsn5DufcqYdf3sVMLcGFRpPCcxvROZlfXd
imateWuZE+BJHA7kgLJ4J9pYA9uLWnBIigHZwFH1YHtFuItjv6M61dfTscpK6xwVybyfCtfZ+0Hn
s0tW8yYyUyCz1Fm+MsF7u6aV/X0TQF7iX8PFhuO9Jtos9kWk4h1uj+ZGugREMO8unNMOjqwpi3fM
tMF74BfFpXeHZM8uhVlsZnGQYcrZFoOyEBoMTx65qTVbE2SLvXbyLL7KuHNeIcE0pIF8dbRns7jU
hFUgUCffpBp9FPj2qo4VZzxPNfjL77U1NyN2Hu8+aqjbKcbpSEVI9Nik+fCjbAWMW2WN+04tOGCv
l425daeZSVFQkBtjc8PGaEyWG607ZdXn2jO69WwToFU9PZ+5r/hECmwtTkrxQgE3xLZeFVA8B0n+
2qyGQxH57JiT6BpZSh04qrfmxDBfpETX8E+hgCh25dQAlfUW2yqINlM4Vn6VWV0rkMFwNMdpX0L+
i3so3l2aH2MC9kt1UFRu1YjjK1bqnXUaJ3NfeRhhtDUi1QtCSqqdJ+YEOW9lo51dGRTDvWXgzN7i
MwkO5F/xsOEX5zY/BitNJHZGoMiLvr0gxNSfNdBWtq6UaLIMKq7Gml8PPjsHUQsQ+zzW9nXc0hk6
oRKiLZbTydRy31nzfIAfMbPMlfkr0+l3bu38seFHPHrtQRdYCPzSOAA8QyKJ1o1T0XFm2hWscMO6
BxeM7zmtxAPkPFCZyoCwF3tUr6zAH9Lt4MTC3rBZMKEBUIy+gK1/jqFyr0wwA898Ppqz59f9wZqX
3XLUV9+LDs68L2vvqpP1TOzEwQgRl5clfLE4xudtNBThAy9Awe9U+gWVODhnfUn5qd028Y0Z4fXi
f7TQ3UdzX4u5usBMFGdwbsWrhl2wHUDtibUwBkC1WmJAl26HZBeQ6PxZGJZFVZ4B+iHLbFxVliLZ
FPk62WLjdu09XR/xsbTp8QCHTqVHPNrwLMexF4jIpQsANCire+4XSXmdR4YRb4wCGMGKY2AdH0Vr
zv5GNk2qb4NxVFc6UDnxPSv5UXDigP2zXb3Oxwbp2XKTJ4s5dJty3SWbbJq4fQec3ZKsGP/uWYci
jJOdlUrC4FUitoBPUMR9mRxEkcht77FyQY27XZpqS5xOfMP2qKqx2vRkrVe+GBmKuVowwGfRmvDa
+F0n4/gTyNx35j/1TuPfh1sPAsXMjqrbwIjcAzBZ4NxekqzLytJnz1L4s2sA6LMtFZ2QyIReC6lU
5zyeWtFbV1bjP8pZY9OUNPhJ7P6bEOrkJm5pqcrrNoJS5JS7uO2TU1qW+rYzQ2Mf0uv1gFTW7bVj
usQvsTm6iMPfWeUQG1UYYcp4tngZ+uIxcSoKOiw/uogiHsEgD93OgM4MwjV3HyJv2SWUPDrXqZzT
jWN3OWGDIYiuJsMbdq2HyKBw03+aLJm3mFrCS5GgzwhdeWvFEYXVL3VuesqR10Yekn5vaOMJcwuv
nfZLsPII8852zrHJOVRKV2uZaG8bhyLepZ0XRtyuNH6LoLJPnq8GeCejfShGenbCLoi3qoYy1hsy
PDiTnUFd1iYNmFGF3b216Ewb9DHJw+ri6Rzho3fZZC787+TVSVR3aHRW3wsaAjajRBmwk9JbAeOy
n3nQMXG7ymc6SFy5tan4vKKt0T94IQjfnmKVn36Z+ddu6+RPQ1YWxNFLsW2IzsBfB5cVNJO989JQ
UNReU/6XhQGPmoksO7cBCwdvOZ5b0d2hhuy4p+LL9+hHgbTxYoTVBndTfDNMxht+23hlRRXxgRKP
iOsrAHEVQ0vteu26lmK8qsltblVIkGE12lQX9cu2hSGeVnHeGChqRZfre5GxURD27MCk6kL+Bqxj
QGaEV3+YLP8LU4/8F1PNX+e0v5hqDJgMqRaUGbPnY0e2MJANKllYEvvJTjpptQFoYDzRmjU++qYZ
vE7+UN/KeI5O/iSbt5AKCnaVXPDhNMhoH/dT/ThawbwTDqWlVImzJ1KBcSkHJWM+tAk4VZtXgPSm
zVWC1q3k1QZXY3CpKUHKyq7csxRYKuOzk+8nxrfIraKNZVDaaaQU0cFzeO6bFiREVzvbEDvzq+x7
LJEm4WWgc9UG+zof2sxxbuw8A19BMMTZFI0/48r3vHdu6tHekaBYEew/qsG59F3/QMUG/N4MFBEW
+GnjzPF0N/Qlha3ZfKZVjL6wDEIc+1sqWJlKYwK0+ahmju1IOd9l1yBBGZTk8HAvuBRuB8OsXmZZ
5AA1E5+qQBW7wzn0vOkYs7m3WAVI966q2uG2pWxnaXQzQwzOmfzhYB76XofzsKltw9sCuJH31Zzh
QyJVvJoxoYltNQ3uCUu9cXAkyI82nasGGC8JGihLYvwxtONrG88NS0wn2dmqyHfO2OQ7yKRs/Fka
rCxadK9D7VDw2BSq81a9w5qqr4Z2C4w0uZ2zkic02u9VyPx6SWC2UIsKvO+eD3pwHINRH2Vl45dm
UUE8eGp/1nHHVbDQegQhpx3cDtwXqGVuAFivfXoZAV9zzx6+rtz51/VbLjdxnsJcytOaqmZ+kXIn
mOXzldAwna3lJo8hmbPJX+735tdNH2YR6uty/9eG352DZSbIlukgX+aEPh8kKIqIGvE21eauroKW
BlYGDPU1a7jczDiMlhHE+ppG+mUwQUvTl+JrWqEla0RajHlYu1quoQoHCx+9MbZRjNEt+Bp5/K/x
x/RUWR+6xhsx/Lrm1agcSvXsGsKjynjjBhnsvIhemw82DJL6B6RAWQ7dxcY3tp98EmccYsxbczM/
1HimN7lR3xsySQ61wS/MAjFwT/zLpnCXm7IxtTh9Kq7CV94I0XSIGdJsFXYu+KYe9L/PNQxLdke5
eSTMF9k4zronincJfCqjGl6DiW4URkaKy8c1TATmSBwA2XWcdSgFDJlUAqdr/TV5ul9TaLAMpLVp
ZftmGVL7ZVztTTc6N0yw9TLKEtbjZV/GW37IZdBl5FXL8Es157A4jdjeLaOxY0T+W2k3byNLmk93
GaD7ZZSel6G6XMZr6I1M2nQSTod4Gb+DZRCfvmbyfBnPi2VQH5aRnXpI72Vcxvjua6LH6B2S5WfM
n5eBP+WQLkKyDB3BqoJc9qIMZItI0C9ygbMIB7Lrg81/PlG/+qP+aJM0bSkC23SRUE3oa/5S7vMH
l2IbYPoBzWnsp863r0rU206GPtRg0MFyqUPF+eVchL0YDswAT7hDV8Z+kJ751uKkp+a78qLv09Dr
K/rnp5Phm+2F9qPglYtB9Wz59blPypacBG2vXJ70vaJpmdY6o854TVNriYtN2QFkVsso0KWsod3I
8K5aPyqpf5n4qaxADtyswrn8oAcdPjE1ZzD95+Ugy77ONHhqnG/z11lnf5178XIEBsth+J9/YV+R
oT/9wr6UQi7TcpG5wIb8+RcWUPg72YT49viDHuZX67X5MF6be33T3pE6LG+N/OY/f0f7L/1KNs88
U4AGWUAlHJXeX76jRmBBHE/CPRab8DMn3dARVkinm2xMZrnmJl2f1NR0BDBgbH2aztxta6ylP2fT
GaGGT0m4K1ON+0563Ki3c2jxDJc00Ir9DPbxhSyh++h6AY86t6xAW2e259MWlE0KbH/VnAnO0elQ
zuORmwznE3LKihTIfT/O/n7g+onYUKQ76uWa3dTq5uRXzvyOCYxeIR3mx6Fx/D3lQ8ZTkWh1xgqV
3bHlik4y7ymrRbOvH+LAnT9snaTA9fRIBfaYqGfAesv5Vcj8/3Nc+3+m9RQajbPUb/17tf7xB0Hs
6KP8+ItW/9tX/lOrt6R0F0QMf578ilz/6s/3QOlg+sTw+Q/b6e9qvRlg6uddQq4QRdIXPnez33yn
zi8LRoByYGKfFh79vwUG4E/kM/bHz6DrOJbpSlgDZL+x6v/l0Eoyn8rjlHYC7rj3Li79Q9GNIAfB
ZOwCo9A/UhiPUNmC4ICPj97dMYd+S/Ty4M4FaGqg4mI7gDVkO2pq564FOAO9LCyPnWImi/NsJMIX
uddMLnBOwwBuG7vo7wrY1G7Ox5RZaqy7TzJ3or1OF4vuSo2J++o6ZvzcwR2/bioFsa9nJxgidQj/
5PFZOeIIwAEwRk6QH9JULGgQTKB9b1Pu7ZT6W5jMajvhVvUzPby6ODjWTlVLgGymm8yrYfLsg3K5
6tK2W2frQtmo3SCvcDGg7q3LhrUFHLAR3jRdNUYJojLCqzPaSANEl2rSgwbR0D70k3I/Cs95wmPC
zl/QdkZsOemOdZCGj0skDRGSWOpEitGl3BU3JUYiY0TpwACY3IKcHJ5V6STZlpyRONFkzeyhpxtz
ModDYrb6WyUwtRhW3tI6nbftLXcUpm5kInD3uek8h0Jb586yjMc488SrUZV0qrmWNxynZsCcEC7y
jBVF3/0p5xceuePyg2OGAlGC64ZWa6fy1aFCmz+LPCFPz8tcfrp97Rxx/pMAGxIh+SH9ADWKZe0+
I7pxKws6iyFGTtMmpBwBx41BBVjkuAhpLhTs1WSijJGZ3wytBvPYCkZjyTo50jEHXmIg80QDcf5m
Ls+F4aT46DBTfERxk15pSL7XvKH6NGSaqg2MI5SqRjnKZqyCzTC2Fa41c9gEs3IPYI2S55qBajOP
YPG46+T3huFBdfFBVjIWRPuqqGCiddq6xZgntrmfRgemL3HiFQWQbLTsc+ZMvDfzPF/FNl0QFQP1
9ZTyRlWV9j67rBx3whrbY1ZhkC1K/7FpNLZrKpNZU8WXLBvpOQ1U/YTxilaH3rc/ErOfTlygqau1
FPV1jHmWp9oXPANvBZaDlemNPLebgaz9AKqo5ES3t9TtJg8FtS8KoGSNLauPnSsA1JE361VW5pB8
xv9H3Zksx46cWfpVZLUuyDA6gEUtGjEHp2BwvhsYyUsCcMwOOKan7y+uVOpMmaQuVVVbd+dClpnK
GwzGAPh//nO+cxGGNMoSIUUy76Zts0NCacge+R74N51VijNar6g4D0zyWKQUvHW+GTy6vaxzKmMt
J9jxH2XgbyanpEtAFfODjRFnT67QuzV5+TBtsstG6QozJnsHQ3BZC/e5koF765WBs7cwJPm4auo4
in2Kg8wBrpUasTSg4sXdh1kgv/KlDMJHv7KalewzLhSJwKQa8TmZTylJu3uooZS4MYITZ1wQOBry
hHCj+yQ7T0FAWG+coXWy1Rzemkw2t1nmjsfZrLzbnN4XFRGZXnikoqWLR1vn0OaUFywt2M248YbH
IJzsJ136417A2fkIi6ykDx55DlVMuh98vrNvBjTHAf9gIUtVs52+W3FBZUILRQqvDbPjnXQxZs9m
aXugIEqn3ea1bHdj0vZ0wntxumt0Xt0RrnUeh5JocKw8+yEvO+eaDBRiBi+KOLGttOBJCbRLlgKJ
u9OmTu6WUVpAKhI6xkc6Y3qACZ+SjzDvauzYz13d9ddF3jmb2FrafYBqRi1HEdxWVQm/oFBzdTFY
x+aViBtrH7YkUD1rkBQh5znZFc+zZoRLxDWDOYfGL1HAx+V0eOvnfXlPN7h5du3JbiJO9E5K8cDo
PyVFaTpUCMzqc1wooDRLs1v5JsPNSnntJVB1lFQ88Z2XddtHuKfUJjbqnLTzyK4lz4L06CBc78ew
ujWlQs+3cDOvG+fCLw97az8FVnkvJEOixxd30yHo7RT/E0EUqB66wcF02GXdysrCOzoBkpt8KnEv
OWF2g+cHRKYNU7NV/XCViNLe+/juP/KlzW+GgZYXWcX9Li09/6qLZ95DvOjXcdhyImJYWnEtqq6q
eZbLqgbGufHL8sPqipqqGkPtHbcSL8zbWxHoFykK8BB5lR4srBtpayN3gib76dbYjbvG34jOmFcp
a5nVUFMyiEB2zAy33Xnag/BqZXe24fr0/Qjj3jIqfz+TpIAdHh8v6gFpIjGZrJqM+RWrNEUqMaS2
ezt2HeTdxECIh5K1VMUji4BpW3oDLIi0eS3M2T4UDR41obIPaQxjcbQ5Z1M2HGoozAncgsjUy7Tt
Y3c4WzTD3EyDAcKenO+topDAD7wfemr2Lo6TqOpQM7qp05BFJ+s2qO1riybHIKpTWg8ioUIG4hFt
b137Wl7ZThUg3zbLDDALisGO0Y+/1bVb7lpHHhW1x3IFqaOd10tqopBbQT+XJPvHZj+o4r2ci/JI
c4p+c1BHw1WczjAR5n5A8LQw4cDQbc9tX6jd0o4BE6UbcE4YJn1VUgpXbu2SovZuXhD+teF8lX0y
ZBtu8R5NRU2fcpgxkgI0ss4wEDYd94HM7uoJOAEJl9VSSPFZ1Z2+4xA/3mU5PvmmIpDns16PwlDP
q8Kxb+o6uOPXElSCeqBMAMjRPRqH/YgpNx6n5zhOf4Z83N8WT6w59tx4KcvuvGsvLqa4PaNHZhH0
/dKh5K6jSJGgL5FHYo4SGvybkcBJTfxiOkpHhcSIC0xa5tjPKydUpAmD3PvoEHh+JPzgKLEYN4IQ
m0NZGv6WBZB6qn0sPokoKK3yIbKpUp8aGSfPuYdLrMRz+M0IVLARcJut7S9UTwUFHs190ZNjHytQ
adHQqIaFfUV3EWbJ6sQ9YNzReTLcBh71qDYHsuds8fPj1BnTsbVpwnHa1jw0pddzQ/K96wX2GTqJ
nQWHVPFaeWG/fKI9mPsg6bu14y3xtithJ6xLy9uh1OzYhDzNAvZI72Vg4kbI1aB57M5b++YYrwLE
DXzhcMf1qGBokIT0aj6K+SQ2tilqNrwV/OaxXLvCWAt7vjeQy491PbqHvJm9fcay7d3jerbqXI4U
XleSig4qc9v0FM7biw3xSuEqFwsWATpZxm3ZdPENySkZZbhTtg0LsPUQKwZ0x75NBn1l2/O3ZXVp
Bs0H0gWOCeH91FQtotPOeYQ3c7gNifdsK2KRV/2SpDvo5JHZjdxVQmUNj32s+qfZJbM+ZdOwHa3p
1kzIH5DK7+jpFHINc6KKwMnBp6WjKEJICrcOlzI43870xh8arjO6wj9gDUybGFf31k2T6tpscuei
9QS4BYSu8hX5SH/bpLRCegjo+ypzUwgvvn/fDNzLY91QWtDG+R3kAGg+8RLfY+cJrkuzyq/RlHIM
703unfiGIrQ1bDCvmUPK+yqxva/FnMhJ9XF150y2detpWxy1KryvMI3DGwEoJsrGNHtwVNuyHBYu
FPS2ygBolP0Nl83i0C75uEaG+USPCfd+JYt14kp927tW8Oa6PVUhLEgqREXZcC5yJJYTGEOc/DMn
O9QlsKAo9ZqZq0efRcmCIEXYXe9D5QtQwf58jkk7LGSW9LHO/BiQVAgdccrn55FN/91Upq+18OOT
SQD5bTSDdu/4tGDNuQN6kTP4nMgWnoKwNqWiOHdOrfpW+ZI7XRMnkBId1o5sItY6FPhpytx7IZiF
jRw28V2rueBxfqxfIYt4l2b7/MhqlA+w6tzrwOobH6lFa9SbLEnvE5tSiVILKk+aZfqM5+KS4+e+
Fwc2P3nuLnsb7uOT7ydXrFOfRD+AhTZiTpkUAa1ZWb+xJKJ5M9+VoJ0OVgklayDhxx2VdZ/DkXdt
ehpKsWmsTfyWa8Ys1NRm/MyyUdPM3pRHqcaZj/UwHKC3WmiLutjYXW6upzKP9yOE9dDEMtW0hTz4
xU/2i+TfgoZgQc1DcYQ1kWsL9Tkb6XxVgOKmWjqDHW2PWL7icjQ3hHfrbbWMvHzu6N4ZcDR3S5qr
06grog6ibj5MPjC3dArBlLHxs2e2BJptdRwnwOrve3/uYRqb9IMl+FriOOs4L8jiPbfChV+lAfYN
uuWTYcwmOaWstYxpSB7Cvn3CWDyesVkCbceoYL1Vfm38KP1Qb9vMbPbeRE6LmquiCcnelQw9fWCd
FIlq6nLJrAQ57T5DGObbgAw3OthYi4VJbshWTcf75flh/jpX08gnaxS7+tLpU8X6xiHxIcgm+DXp
H6EJcgxZ8B1y4If5cD1VIY8PcWMaKqBZaIEcT81jLqA8kPr5asdpPybhY3DJ7AhryE4Zt0TK0qp5
3wV+sp1dRQcZ4tMh57d8w1s+vC+DhWoKL+eZfUx4XbMJ/zQ4M5GZ1BXdfsjT6F6Ju2H17t84S9Fc
Exst3/wg1pyNPO9QmxxptWNgEQbqYWwAC2U4RhZvUnhbjem6rSou8W1Whjusb7B2RoxGHPXrYBsr
GeC7maH1xJ2HhbiI/R+hMASbWzPInxuOSJsmnMNbfG7Fa8s2YTenBAihzk3vokpL7h05FcCFnk2u
ZdVyz255OObeMt0bXTd2EWWFwwpzgQ2P3l8OC0rFOSzBNSVznO2wQTev1EzS87x0zsGf3XIj8lHd
BL1tanqKG7HRvWVidm7r+97rhXFZeagvsF3Do1EBm4+6we1uBJvWzahBrEf5bAcgaZyLicP+zvIq
PLppGuNRgAtyQnCnkblwsmcuHAiJZqfTdWN4+obOb/uoQLNj2JjLV9hrnFwXvzhVfN3p0y3q21gN
3m2B3RY0y8UaUacVsFYqPbtTjrPxjsO1bC4bxXmvpM2lpuUmek6o0YaVl3rFoRFlsMutRT3IhjMs
0am83Jfg+NYhU8y1zTZg1Rb0tgmTDWPt+P5q7vLk2ZVBtotV7ARRuAzyMFaCto0O82HJ8exI3Gx8
HRZneAw5hd5re+RuskjnuSSqegwHS34kvuZeFI/LrbdgWYryxkyukVGtm6ob6EK1QAR4svAOZjMQ
jmS9YRNXkcJ7H1wjJeaUO+Y7vsi8RTxYphc3H3y0Fhl2CA+9awJiCWtN719nbZw6YNptY2PZEuUi
0oCF6i2d4uZ58Fv20Y3LYBAg9s+BXd8R7QmehJ/7x0CRzrL04K0xm5c0084csWRPaWYE3294xRkF
W9CU6V1MhHqncC1QeTTm4m1hNc+hgdryvgmKK4OGj6syk5facO22G7+N5UmCbeCtDd5xg3EFw+y5
IFptzZkZnN/DWtkt1nrC2yLGxBSxGc+puLhoDxYgsD3tftZaGUX55BQmSIC808MGy4P4IKqYYkCS
HJfCXFCZjFGrJEtpNUBvM2ob+K053tJR+JDFsrjJXFZtnj3RMD65oA5+CZr/FFjgv+LW/n9Q2oW7
QnwZn4tNTgBRBC7yPxJ5r99/Ysj+rcL7Nx/gz1ov7BSM1JCuRch85l3Il3/Weu0/IrOal6WQy9/Y
/0vqdfw/mj6zlungkwx/ua//Xep1Lk1DfoDiCY+FcA0b/H/CmM35/HdSL/lzkO1QPH4ZAX6zl3KL
nj72vE/3xeiXl/VdiFea+FC4AoDXDpEDYODKN6qAS7/qjia+3mNNAIeIjOjJNDYXI1YVzF65RhbE
1GTgRe3CYH4mThdi8CQDiOqTl3nB6a8NzzAtu3s/N91p5cuSTZ/jYz5ucecmhlo1gxVvOsekbKCT
rZ18UKpsNGTmavcGo6FzJCU+vg/xXH1wivUgRbmyQb2rFGBpjx43MNkdrWXjLMQPNVPTxkEnnObd
bPZ8aW3k1PYA/4hvcTunLs3WjYWfWAYiu5+YWJIVfJj20QPn9KADfyJnrIeYXI4Sb/acl6dpsmaD
O7PN3UZJ6FJbewYAAAY6Nd9ayUkxCnGuYTWHiXeeqoxiQY/t26f0mJFCWbpHSyfJ2TO8anOxPTzg
ptAvELy8U2mk5dkvYZUYvRvuwdMsu4sJGO2EQ+n1AIwGB5vHyhmRFqGIHfd20Ex2EXnO9DMcJ95H
o+goUCxsMbD8y8flqjGE8z0yQDzQv7t8ZWNZDheoe/u22Ll7x0ALaCftJCNN6crkyXeLgSW6LvtT
SjHcLdAs+orCCXhOpJN52OUF1mEANMP45FvCeIafxqKfO6T5hNeU8plQUHu/yVgSnwKR2h/SGltC
dAEoULvPKVEzEyL4lbjcebgn+5uyiUMM8nl/LStMkVHrqGrvYx7sDi7dkoo8U9X/KDE803Xu6u4r
KePp0RtqkIIdE4dFb6ARrPxYBzfUzdAYRN9MUaz70KXCppVdeEdwq2hZc0oCBV44gPqcjaJGLVr8
KYvKua3djRyIGW9Ld/G/KkmeaY213ItXjayaZSNam+YQIyxlzWwKaQBvQfpqXqr+yKNORKC9yRs4
Ppdzd0n/lyPiq6/xnsRq0quMhTWv34D7a+Xwg3DsEuA6e8ADFa++SF5RA+NvBht/PqrCjr9w0fd7
GiG19QkB32Rdgo9g2DllzPDIz+prSomR209DYVvXOqS7ivBtwaQ9jt2nFukEL63R1drMSv65szvj
2jIyWjkHDULJrZdFnvp0EDpypxij/TiXTy2648+ZFPcbuaIYSyOxjAb3FBQAC4v7VppG7gIEqMZD
k4Ikw/MpfOK+BhUka3y0BUS5Ou8tTsWJ3s4hY0WULnPwFQ5KQHTvQkLvfuERwph6/97UcXcYoD8S
yyr19GAUYfcRKq97kTI1b2k9XraMKH29xtYm0CJUONwbhtu9jMrzIuWNmMMXtqFDQeRkMwXyUms1
xMOGsw4jINgK2APIN7wWgGJpl5JD8wIdML+qrNxLN0KKzokkBusDSTuIA1bsLJHHp5L8NfY3UnIe
xNRB+gItrx4+Q9ZSLQ4hTVKwn5f+piBmfSYMnaK9xXUT0zI/TzuKuryd1RTmwW9yyAg2b+ObCvPl
Z290CVpFb843Ji2fN9pPk5sQKyn20Nr1z2PZZA/DYJDfYl6yDuYolr1LwdU5C0Y8QbiDsJeOlUGn
kq5e6zr1N8MCYKOL4/ix11xywDgky1bmuOVQXJpsQ76W3DRkYfkDD0Z9Jwvlbbo2CaF7T9OBlqbl
5+VIG6zmFJ7GLs85EUaCNVhDgLxJ6ccZk+aNUov8zbcSm1oiNgQ1xwpfRVzD+yfeHTYV5pxYdzAk
KAkt6A46Gt7EyXwk/BzuarRgSnoMAC8m9oSGz6qsPzBhicfeZcwlKampXkUikT+s2m1evXZEpmxb
daGUaLf3ti7Gv5SeMUkSuPexKe3sxmyeO2nJ/GwHsAZ4SxwuOomJ9doxMNZcpXLGOz3w8i/0c/cX
anMzUxlnF6PjHpQ5dxAB2kbdJAt1shHC15yv/cQOb1XrFx9TmqTfqaHqddOZbE9s1TH+FA63G5qY
AE1z4CO9n9T+hl5wVi1J5WfIpij3a6OmCt4d2gnv3xwXRz0OIAW8oSi7VVH3Ncq3zRRJ/xbw4yCe
TmPTOsvaoBxtN5SpebBAngJE1YW7mtDHpm3rOPLaUWjl2Ap6B46Zk+4GWr0xCCS0bHekQlQ3LNez
bBpYiGVFJ23rmvmqFaX88Nu8IvLuXI0TA35E5IQ/hVOrvW/QvF+cgvAH/hOk/WTuvTRizscNV+MD
XCcAXo98bbz6pSR0AGOj7/a+wG2ASQ09yire8JjDZxEXjlnehnSUVmFxTJ0R3xGefMT1rIs9E3oE
+7yL2r9T1tkJpnvbAucYmGQdC+4G3KgJ3xcIrle0AV9Mc3GwcquuPzM4D98uN58d5UG4akP42moU
6wVUxX4ZnWRv91335Eyes0ce9fnqFhT2MbG7X2Apaf8mjRSetEXYi2JxDU4V8/XRirFSiznT+MfZ
oEQOrHFY4JmcrqE+kspIanMdDjHhGo8L+UaOFTAGa2L2Wrl41+hJElacr1KMfbtOzqGMlqzND0vW
1WcqTYrjxEftOgh6ebWEmXulUx20ABJ09xryOSM6XwWfAmmxwhXitnduWQRnjJD+XvZ9RVlVE7Nl
mwz7Z8gHZh13VnXfSnSJtlgyd1PmwGNNr2+ezAq22Kh5+2uavF9L1r0Xsnm+kMcQickyUfq3FdyU
T3oIwc6hK9crofqGpGdIiUjfQj0AlPA5JVZzErAkbyqCVnRy5DK57bzOZ+DyU/zIoGgio2icnjOX
7f8oFwcQba2L6Um4GQthbyyTrzhtU8h1Bkxx3SCyFyXfQqjlvcUNFNDT2+DOPt0BMFYN10Fjbs04
efPNHC9jkg3TD0Okxo9cuypjNpMg8yB17NKg8e+AEThHfIb5N89XnfykY3O3aATcpZk7jmesK5Gv
VdA/hgRh2kh2oyfXkEcC9BbAdPdBooItGKLxecGttfXbqnwPbcFRo+nykeV7F5OXQZatFOOak+x4
q8ZrK0l6rg5ZrO4z5QAdrRuRSzzkBVcq+EZ9AaE8VRkxJUPXO92TYjs0qjcTIKVwsraFlVq3XdO4
L7Y/UidrdzjatnTsXRbdKgBUkpGWv8pY5Zar2p26fj2wQqa8j4oXNm5MjuxD5lG9jX2m5FqxW6lX
2VLENywUHJjJOLYOfEJCdld21rMt97mpYea0kLl8Xn8IuuiuYBT03obt8+y6aXtGvuvySDEPneXs
sj+3BtACtulfZZ0X3Fm4+78ydIMi4lNQ2Rvuu5etoq2ZvnOG6QfyLhkwkJkjQTSqLq3oR1sQTi2D
EeYUeOUQb8fBc/d+Ydes5nOXxUJBl6+zrrlVDDd21jUxGlyZJKsprP2dsPrgXBR2066XcAyWqA4L
91uW2CrWVWhYT6FnzABGDPNnEBRa7+sRYQcgH1F4DqvIxCzA26mBnCVhS3V9ShqySL5tIpPnfsF8
OYeNhcEj60A/uEG2Wfxa3esAY77Cu3ltVRQkb2dObXLtTrTf0XgfcJ3SeRAJ0cXv4djaZ7PiiLHh
1BsaK1WGXrGZGkGsgOSV8V3ocuGMptUBkyOsmGVo660RV9NG+Q5fE5f7MlCNCYh/K8363Qnbxj4x
3hebeCCIwj9Np9osIExUTT1SUd0oKun4VNkr8G3pKcZHeXDygC57TCCK9CKRAiYguwX771waD30e
MnmSmctzstgLPTejH3Trlnag7xpT7BkcGjsKyOgYTOOWJldpLLTiTLzJakJcdVS/ETHBL7BUnACj
OaENMKmQ4vVC4SClUrkXeWbSvKeFoa7yabE54FsEa4weJsnsgtbd0VHoTzf4hwzYywOPEqSdd0jY
YjGSMXNeojg6PsLCRSkuQg7NC0UAZ+7cDcAxOwuv6LSuyG2ZdCPRA+/sTIhFQJopaAQeNm0SZbcb
Yaf5FFUS9c+VEMPob9SbsMbyo+dO3/Ck3SN4MfOVc0C7ITwPfIpyRIMvTVFH/si2gyrOliojPyHo
JXN9rl2NL650MANSpI0jEgZDdg/CqthYTYg30gtC7+qy999wgos3tog/OKeGO5Pv5KbWPUugMEx+
2KrsP2aTwFRk0BO0TmY7Z3VX+/fJYuHHZDrA1FIbxW4xypKOgn56pF72BOIBjjyb8nuSDnwv7QkX
bCy86Rjg3dm7TZFcCdHkvO4io0OSHm7Ap5m3q3PTfmnVAr6nzmpxOaFjyGLbihvd/xPjJJGcZvPM
/PC4xOwzjqWwoyfZ3WAdoil9oDVSq4HmKtvIZL9O0IQPNSyfLGIPXz9SuxBsOcKJk6Bx/cFdamRV
1t2nuoM8MwKRAJwgxfDYGk2CaB/Y9kEkQbDB0pI+8tWL31JhwxJEYG64PCY4u1G6AGkVFWR32GB4
BOJUnAbXFipq8XoAoxFmfuMZjt6n4C5uM3shURxjTL5TRZtgzzdpPoA55x/iMpkpoteyf4ARkj1R
VTWccFB6n3x3rZOFTeirhYG2pUw+LiNhz9DbjNG1Xuy+5lRv5fIACEve+CYWmcgc0DLKnusV8Cx2
hDooafaukHR1VZa7OGjLKA+N6WA3oiEZ405XRsEvm/s8SBQbFXS8PkE69gjNvChudSk/Dd+9aQLY
yqgWfojtInjsU01R8KwJvlDjMIptm0vc2449sXHGpbG6nFy8FX2k1aNVWnIr3EGeatf+9hkGuSu3
OSvDCaLONe5ZHzauqzZDngfVmWzw+Cy4KfNeLi2ivB7q/meOx3b1rwznRRNXTrF3Ziqw2K1P09oU
sgbPNac0FnBL0UTdJT6P/yMq4v9HVeIgcTl/BJZtuxdEsmddOmz+vlP0b9cs/uF/VD//8Hc5z3/z
R/xJZrx0MNq+TU7W9TzT52n8RWY0QT7TQQ4Dwv/FckAC/A3yGfQDzLOL6ukigP7FUgry2XRdOmUs
fp3LQ/5TDeSW89eW0l+4YJsPtQV+iP3XRYf8jd7IuIStD6wKSfAnPdc34aO1TbY4+DnlwVEPLjDj
rdmdnSc6YkMNlP2pazM63F7iqV9n6HbB4IKEKH9wol/nKQR0AvvGlljZbuBQEXflIQ0+5gn1pqGF
XGcvevzBUWhjoOHRwvJwcaqN9nzngLFyjCOVrAq+5h5mwcA+/2dKvrbyrmcSmdV4Uyu9isU3YtUq
Vyy/DRaPApIoaVfa1W+5PK5n6J1FOu/Ky1FQIPVMLrXBxo6vj9rSp51cTsa3U/qDQxkn/PHDDKun
rjfvy3YhIsFdMPKcudl0vmTQ+eyLOxEMXGGgRjE4wSrg6llwJlYAhH37BK/vISnASDqKlYK9N9zy
mINcgt907UyWXHG8vOu0Yj5IMMbCxBbSPJFWj6ZGclN0anJEQOSq1n0z2U3wNm2GOtkA20EHGbdu
l7NAnFeKOmUp1Bpv2Y2T9adeODSPOJ+5L05TzXMd59nDFGY/T9n8VLOCwfG5SVz4izgArSgVTB9w
wxIgltkpKRsmfOwMl6PWbUtPoJxufvO1+RuhNea032nYf/pSmFyPfQvguY+e/vvPFkiQDmQpgYpp
KZ9UTwzRdbvTNHh7rqQbzzbxAPriiF9rVzR3RD12nuVewfDU69kkIFF2Fz9fHB5EVuxzw9xmetwq
Cc1Nx87JGWpahbwHx/XIJEkOUU521VZXpnZ3qqmurBkCeUDsGKtcttx72NsAAW2UxVKTtxB05Ler
vLOXv7Gj38ZcxSm12iYy3yZWuuLcSl6Q4zC9Ghhp1zYp1UQZ+2YxT8pT28FxT7MZXgtWWhOAqnAi
vZ72j7LBF2uJ3cLy0fohUCDpPji2Yrk1a3Qno07YaflIECGfSkhA22aAkF3d+C1RXZqrcGp+lP28
Lwpzn4yX1gwDxHWul+tl6jdBEL/PjbetqXwvecCIBBo3GWsmwcwMYye3snq0lbpR0J86a3ysph+L
9Karxp5xQoM8emtjhwxgCmVMOpu0sXbYKmFGCZfqnXCP0vsT2wiQwXK+SyhiiTjpeVRROfqqHdkK
iOXHP/6Y2JcYx29N7ZerM4RQx4QBaJLJYcXz2yvQUrNwJkVPyXCdfyWGfol5+WJl/WiZs5ZBESVT
Zzwwt4se7pJOIYxOF1dpZOHe2pLoApUQyjX2vgNguLvULrl29ecOjDF0p/wk0+G78ar/zaebFdFf
PW8A/miYJhdwbjAWwIXfP++OIY3tCMWXra/8CPgzoA6esEcYXbMnxmiDpJaiyHBdbAgqG2TJo9bS
7xS8TggrbYoc6Buo+KoFutNQjnSFlrdhTtzj27MjW2D5yYYHLqw7p5hOmdQPDZPWAlsFyvvPxKOh
2eUg7AQ9G2nFfJyx1VGir1FeAy6Ng/1tIm9ESd8bhFmYoOUCH7VoxnM6DKcx0FeNYEGeiYruypjT
iwh/tP5iRYSjHoVV3A2FS9bQa74Bi6Ubz2kex974DlOnWAWZ+CZ49tAJ+Vqi/amhI7tofTcoQinO
o7DiGSTtATdNtIAkBsT5PJbWDlJEGPnqY0wNSuVwLZbjhpq4xBwp10pXzC8vVcOMTNjVjacN3rUb
osWnrufu0Zg2AK1wb1hQE1ON4VP1Ty15PZSa1yVvn5JsutME0tfDZWgx+r2DB7ZNzL3XVg9eOu5N
iBlVLz9js3ko0v6obcihqJhKemshg1NSmQfKQk6jSy6+CB5Ky2ZeKcWaINcmBBmUAc9MUnPLW39t
WpDmh5G7TPaCDL1HG9z0PmxHtOT6uo+XDbVaW4Cpq8LHKtu9yuXhUk2A4Xad6quwyQ9YX18oCyVi
yJDDbgLqLbHnIF826WWmJy33nacMEb04aayZ4BHf2pLyO/CJ1d62C3O1OHABUP37F1n69zXOdU6d
LWhbljFhMwANkZ9t4YLswBQRlIfYCF9cVFMMwD/h6G8Bk8PMqePriq8hA1d96tt8by8sF+rmAZ/M
OU/klWvTWE6kNWox0RE6t/jz/ZrN/5bo5jpOuoo706u0R8rDp32pKe+ljRz8aM/ePK1ek867npTz
XPQB2xLx6i3t41TqfsOn+tDG/vdiO1cx3ZebkXg18ZTkap6wo+iewIJKgmLjucs1wcAIzuodKWG1
85X57nbMdQDFz7Uzv+ct4QgAJq9oqlTHkcNbZXTPKrd/GpbgOPiAORwT+T0/5EBSoGVVq96aIGTI
RyCIr9rWV+Y0fZTTQoS3gidTOHtjnNaTaZ5KSphgsjxjZowClZNEC89CGzdJ/oZnIiJZvQoBiXZD
du+ABuaUjnmj+V4ygMi8YtMUPkzzxfyX7eqeiLPVnmPjY8jxGS3mj4kNXmJPW0uHnxITMebBgXCG
d47Dr5Kh0Q83rnGrgtsGI59zV+kzttSTMsq1duDsOudhhn4ug6dy6lY5p44aJkMlHDyjbCblV57R
lzUy/3Svfvg4IiZDHo2cApNTurbsN508+Alx+0BFgXtvoF0kHV3B2ubjYpD0gc2XXTZH12YM7mSG
UMo9KhMo9v7Ww7uTZxfet+D+cGeNn5hV8Ug5rz1geTHzvc7t1yA8kZGA1XdvXsCSXCtf2tjOVzrz
1kn2MULRKvX3JOtV2YQfk+MU23DoPoxG7DOV7PPM+jmMsl+xWGO0q0PKDFldeuG4ZuELr6oODhKF
NSIW362DpHzOZsrMJnt2fxrKZiMJ5oEtSrAd6dGBi/6YJq2/XqT1GObGWz3PL3W+PC5EOJa492EF
sTN2KnYSSIzFBv27wovP0DWM1Wetl12w+Ht2R5dlo1qZAccpcIYopy1lZ2azGcEhl+TWe2DammSN
GGOCIcQPFuF/lMNwBPz0Fcz6Ecp7s2qlTS6Keqa642gCLTzfxP4lhAolXQ7o7yzBGgtdfHGv6fn5
zk1UEWuX9OJIIGZt1eomHxuuvnBVWu92nvsdWAp77cZOslUudm93xM/Pvj9bsyw1MNuG/abIjTn6
13Rh0vU1x7TGC085LmJWSPoxM8tX8ILkJWrs5EkXn53UOvLaZJs4nEEmNjRo1L5PM0ClgXAaAM/I
az78d42j/wW7yp8tNev3/n3zq+v1Xn+p+fzV6aL/S4X95f891VnVP9b/uf/o3+0ff/uB/vD1H2qZ
dbxLnPB30+qvJ/XrGf+jxyje+6zXP7/+7V/skEbYwMLL8i9/oLIt+fO/9sUfHbpjXdMNzF9//enn
/Oa1+Xu//T/+xf70Mv7j/+Z3T5xvS9VfXv6Euvjfmnd+DRT/kV/9rx7hN786phzPBscCY/PXX0z+
v30Jwkt9knAvk8qvv/5vvQTvP8sMGljXq+yz/91LYCJb0KLzP5m7ut82YSD+r0R92KPFR4CgqZX2
Ia3tlqzaKu35GlChIUllGk3sr9/PNiaYkC6N0QRvCcn5OO7Od+f7sGWBGQthwMLQDnvpEDH0gERt
c+COlQ4IeMBvOIUZOrTcM4PrsCnKZqNIFJK3uSDEsJmZF6IZgCIOIjRY6P8LQgdzpSBukssL1Pkr
nDD35zHdNgrlLUogYChRxgsO/D4OmOG2EyMnJB7dw0exg/6jthLgBkLUPVASY4DkZfLAlDloYBGH
nqfuQleOiwegw+SAJUQCraTA81mIFhroLYvBReJCUKYlDGCEAJLgezgUkZeSuhEJg+AHz7eWB4+F
OD9GXAoxB3F1dgaXBeieGUItKjKMb2cIPbebDPtWy8CdsggdNrzpESKETPQ1gMqoWQURkHEJBcqM
PFvzCO0b0LfBEX0aejkBRHBQqocIvrrGpxmkjeBbKwZIvh9A9KP6bQNgSzHELvMiJBBBKGpCjI0Z
fJyKQJnZaceQIdcc+tFVvNBRC5g+hx4eMCm18hydRCCd3VUcamEr+GwGRsBpFRRMiwVmEUO5jsiW
f7sonLCBNJ4XxtsUifS58rTsc82O/UA7HYf3a4dDGFPCqzB+eF89p2rtvUt2Zdhi0hZs3dS2oVyn
/nv9gIdLG2vpp9JfXucpJ77MKnmjqtFc0Bp+G04cM06TO05JWmaGVxCIwbF7hC4vDHRbMvAq/LKk
tQYjKCNqDvRn8VTngUU9E3ENZm+92mJ7Tbzqtu9RzrE15HxNy4yKXkpjgClMT9slbgkzFCfvaP38
fvKV0G00NyiEHTaGJrFd5SvxDYIWq06PI2knWMMGnxYdwNIlswX8jVZlRsnvNH3WFJBSKspr9Bfn
M+OckqzqlyFRvmO/wPckB/oajpQiBBMGeJl3u2S3zFLOKwN46LuwVG2JfrfbPNGDhiOxRg/GAbD+
QU+E1D0y4jgi/WEA2D/z1So3FBaODIMB3uE9rfNisqBk16YIXKAQO6ktqeWYkD7VUpsrtvB/peXL
5GOK3maFRlYqXWUH2EKfE5Q5FNYLN3i8trttoX/ZPQG6EfBqvDtr2FsD4yaKYAsXu3Iz7X2RL7cP
xCc3JZrLJWWb/nCbXHcIrv/Ad5vj2xNSPNHCcghFmf/ZctMcAGgn8mL4V7Y0u+fInjc5qAY+gPT2
52tppOVeIh4Ebo3+7vztZEEQM7xqDamGjhCtPwCZ5rQRdOoBPgCZ5ukjbByqDKnAWxC4D2BMfk6L
LD/EXESubbnnaNadwn46wH74SUxxyg/Gkqvg+wB8c8rg8+PHQY1H+5o1f8I4KssVbrEVHB13NQAL
/bNFpyX+p1aHWy7Tr4/OyR99FZE+f7M5tDj0QvWpXN/fTBdb/GJZpMSv/gIAAP//</cx:binary>
              </cx:geoCache>
            </cx:geography>
          </cx:layoutPr>
        </cx:series>
      </cx:plotAreaRegion>
    </cx:plotArea>
    <cx:legend pos="r" align="min" overlay="0"/>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10</xdr:col>
      <xdr:colOff>959787</xdr:colOff>
      <xdr:row>3</xdr:row>
      <xdr:rowOff>49272</xdr:rowOff>
    </xdr:from>
    <xdr:to>
      <xdr:col>12</xdr:col>
      <xdr:colOff>670346</xdr:colOff>
      <xdr:row>14</xdr:row>
      <xdr:rowOff>132614</xdr:rowOff>
    </xdr:to>
    <mc:AlternateContent xmlns:mc="http://schemas.openxmlformats.org/markup-compatibility/2006" xmlns:a14="http://schemas.microsoft.com/office/drawing/2010/main">
      <mc:Choice Requires="a14">
        <xdr:graphicFrame macro="">
          <xdr:nvGraphicFramePr>
            <xdr:cNvPr id="12" name="Sales Rep">
              <a:extLst>
                <a:ext uri="{FF2B5EF4-FFF2-40B4-BE49-F238E27FC236}">
                  <a16:creationId xmlns:a16="http://schemas.microsoft.com/office/drawing/2014/main" id="{BAA6F016-5135-A8BA-D0DC-0F0E8C46AB59}"/>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4710423" y="620772"/>
              <a:ext cx="1821340" cy="2178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98130</xdr:colOff>
      <xdr:row>3</xdr:row>
      <xdr:rowOff>61567</xdr:rowOff>
    </xdr:from>
    <xdr:to>
      <xdr:col>4</xdr:col>
      <xdr:colOff>1044678</xdr:colOff>
      <xdr:row>16</xdr:row>
      <xdr:rowOff>122904</xdr:rowOff>
    </xdr:to>
    <xdr:graphicFrame macro="">
      <xdr:nvGraphicFramePr>
        <xdr:cNvPr id="3" name="Chart 2">
          <a:extLst>
            <a:ext uri="{FF2B5EF4-FFF2-40B4-BE49-F238E27FC236}">
              <a16:creationId xmlns:a16="http://schemas.microsoft.com/office/drawing/2014/main" id="{656A7E13-759B-9E6D-3A82-92AE98466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448827</xdr:colOff>
      <xdr:row>3</xdr:row>
      <xdr:rowOff>10830</xdr:rowOff>
    </xdr:from>
    <xdr:to>
      <xdr:col>9</xdr:col>
      <xdr:colOff>239696</xdr:colOff>
      <xdr:row>12</xdr:row>
      <xdr:rowOff>138266</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974D53A2-9943-6B0B-A8F9-9B400F5E23A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9200621" y="582330"/>
              <a:ext cx="1805891" cy="1841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606588</xdr:colOff>
      <xdr:row>2</xdr:row>
      <xdr:rowOff>42674</xdr:rowOff>
    </xdr:from>
    <xdr:to>
      <xdr:col>16</xdr:col>
      <xdr:colOff>554519</xdr:colOff>
      <xdr:row>20</xdr:row>
      <xdr:rowOff>101554</xdr:rowOff>
    </xdr:to>
    <xdr:graphicFrame macro="">
      <xdr:nvGraphicFramePr>
        <xdr:cNvPr id="5" name="Chart 4">
          <a:extLst>
            <a:ext uri="{FF2B5EF4-FFF2-40B4-BE49-F238E27FC236}">
              <a16:creationId xmlns:a16="http://schemas.microsoft.com/office/drawing/2014/main" id="{8E77F8F8-7080-E596-F956-CB3E47956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943979</xdr:colOff>
      <xdr:row>3</xdr:row>
      <xdr:rowOff>1730</xdr:rowOff>
    </xdr:from>
    <xdr:to>
      <xdr:col>11</xdr:col>
      <xdr:colOff>138988</xdr:colOff>
      <xdr:row>23</xdr:row>
      <xdr:rowOff>13407</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76AD8F2E-AFD2-8B6B-4D88-0ADF5DBD5CE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883597" y="573230"/>
              <a:ext cx="2349974" cy="3821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762000</xdr:colOff>
      <xdr:row>23</xdr:row>
      <xdr:rowOff>155863</xdr:rowOff>
    </xdr:from>
    <xdr:to>
      <xdr:col>11</xdr:col>
      <xdr:colOff>398318</xdr:colOff>
      <xdr:row>35</xdr:row>
      <xdr:rowOff>131444</xdr:rowOff>
    </xdr:to>
    <xdr:graphicFrame macro="">
      <xdr:nvGraphicFramePr>
        <xdr:cNvPr id="8" name="Chart 7">
          <a:extLst>
            <a:ext uri="{FF2B5EF4-FFF2-40B4-BE49-F238E27FC236}">
              <a16:creationId xmlns:a16="http://schemas.microsoft.com/office/drawing/2014/main" id="{1B84A2BD-A3C2-99EC-EF21-277FB8634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59476</xdr:colOff>
      <xdr:row>17</xdr:row>
      <xdr:rowOff>82609</xdr:rowOff>
    </xdr:from>
    <xdr:to>
      <xdr:col>4</xdr:col>
      <xdr:colOff>1044678</xdr:colOff>
      <xdr:row>31</xdr:row>
      <xdr:rowOff>158809</xdr:rowOff>
    </xdr:to>
    <xdr:graphicFrame macro="">
      <xdr:nvGraphicFramePr>
        <xdr:cNvPr id="9" name="Chart 8">
          <a:extLst>
            <a:ext uri="{FF2B5EF4-FFF2-40B4-BE49-F238E27FC236}">
              <a16:creationId xmlns:a16="http://schemas.microsoft.com/office/drawing/2014/main" id="{1DC1468E-DB72-6ECB-D65E-FC79B346A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229720</xdr:colOff>
      <xdr:row>43</xdr:row>
      <xdr:rowOff>169208</xdr:rowOff>
    </xdr:from>
    <xdr:to>
      <xdr:col>9</xdr:col>
      <xdr:colOff>128867</xdr:colOff>
      <xdr:row>58</xdr:row>
      <xdr:rowOff>54908</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2732B329-AE15-CD3E-20F7-F4F59FC472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030320" y="8360708"/>
              <a:ext cx="4080622"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590550</xdr:colOff>
      <xdr:row>1</xdr:row>
      <xdr:rowOff>47625</xdr:rowOff>
    </xdr:from>
    <xdr:to>
      <xdr:col>20</xdr:col>
      <xdr:colOff>0</xdr:colOff>
      <xdr:row>4</xdr:row>
      <xdr:rowOff>19050</xdr:rowOff>
    </xdr:to>
    <xdr:sp macro="" textlink="">
      <xdr:nvSpPr>
        <xdr:cNvPr id="3" name="Rectangle: Rounded Corners 2">
          <a:extLst>
            <a:ext uri="{FF2B5EF4-FFF2-40B4-BE49-F238E27FC236}">
              <a16:creationId xmlns:a16="http://schemas.microsoft.com/office/drawing/2014/main" id="{B29BC934-2C1F-5A1A-A95C-FA73485E267A}"/>
            </a:ext>
          </a:extLst>
        </xdr:cNvPr>
        <xdr:cNvSpPr/>
      </xdr:nvSpPr>
      <xdr:spPr>
        <a:xfrm>
          <a:off x="11078633" y="68792"/>
          <a:ext cx="1938867" cy="490008"/>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323850</xdr:colOff>
      <xdr:row>1</xdr:row>
      <xdr:rowOff>171450</xdr:rowOff>
    </xdr:from>
    <xdr:to>
      <xdr:col>3</xdr:col>
      <xdr:colOff>0</xdr:colOff>
      <xdr:row>3</xdr:row>
      <xdr:rowOff>180975</xdr:rowOff>
    </xdr:to>
    <xdr:sp macro="" textlink="">
      <xdr:nvSpPr>
        <xdr:cNvPr id="4" name="Rectangle: Rounded Corners 3">
          <a:extLst>
            <a:ext uri="{FF2B5EF4-FFF2-40B4-BE49-F238E27FC236}">
              <a16:creationId xmlns:a16="http://schemas.microsoft.com/office/drawing/2014/main" id="{8BB33F25-28AB-5306-A10D-CB14D8EB0FA6}"/>
            </a:ext>
          </a:extLst>
        </xdr:cNvPr>
        <xdr:cNvSpPr/>
      </xdr:nvSpPr>
      <xdr:spPr>
        <a:xfrm>
          <a:off x="323850" y="361950"/>
          <a:ext cx="1352550" cy="466725"/>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476248</xdr:colOff>
      <xdr:row>1</xdr:row>
      <xdr:rowOff>171450</xdr:rowOff>
    </xdr:from>
    <xdr:to>
      <xdr:col>6</xdr:col>
      <xdr:colOff>9525</xdr:colOff>
      <xdr:row>3</xdr:row>
      <xdr:rowOff>180975</xdr:rowOff>
    </xdr:to>
    <xdr:sp macro="" textlink="">
      <xdr:nvSpPr>
        <xdr:cNvPr id="5" name="Rectangle: Rounded Corners 4">
          <a:extLst>
            <a:ext uri="{FF2B5EF4-FFF2-40B4-BE49-F238E27FC236}">
              <a16:creationId xmlns:a16="http://schemas.microsoft.com/office/drawing/2014/main" id="{E10C7A2D-8DBA-4276-AF72-986252114CF0}"/>
            </a:ext>
          </a:extLst>
        </xdr:cNvPr>
        <xdr:cNvSpPr/>
      </xdr:nvSpPr>
      <xdr:spPr>
        <a:xfrm>
          <a:off x="2152648" y="361950"/>
          <a:ext cx="1590677" cy="466725"/>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590550</xdr:colOff>
      <xdr:row>2</xdr:row>
      <xdr:rowOff>0</xdr:rowOff>
    </xdr:from>
    <xdr:to>
      <xdr:col>17</xdr:col>
      <xdr:colOff>0</xdr:colOff>
      <xdr:row>3</xdr:row>
      <xdr:rowOff>180975</xdr:rowOff>
    </xdr:to>
    <xdr:sp macro="" textlink="">
      <xdr:nvSpPr>
        <xdr:cNvPr id="6" name="Rectangle: Rounded Corners 5">
          <a:extLst>
            <a:ext uri="{FF2B5EF4-FFF2-40B4-BE49-F238E27FC236}">
              <a16:creationId xmlns:a16="http://schemas.microsoft.com/office/drawing/2014/main" id="{269A3E70-62C1-4F89-A9A8-0413EDF6C473}"/>
            </a:ext>
          </a:extLst>
        </xdr:cNvPr>
        <xdr:cNvSpPr/>
      </xdr:nvSpPr>
      <xdr:spPr>
        <a:xfrm>
          <a:off x="9186863" y="71438"/>
          <a:ext cx="1481137" cy="442912"/>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409576</xdr:colOff>
      <xdr:row>4</xdr:row>
      <xdr:rowOff>133351</xdr:rowOff>
    </xdr:from>
    <xdr:to>
      <xdr:col>20</xdr:col>
      <xdr:colOff>57150</xdr:colOff>
      <xdr:row>15</xdr:row>
      <xdr:rowOff>47625</xdr:rowOff>
    </xdr:to>
    <xdr:graphicFrame macro="">
      <xdr:nvGraphicFramePr>
        <xdr:cNvPr id="13" name="Chart 12">
          <a:extLst>
            <a:ext uri="{FF2B5EF4-FFF2-40B4-BE49-F238E27FC236}">
              <a16:creationId xmlns:a16="http://schemas.microsoft.com/office/drawing/2014/main" id="{2DB2222A-8985-4B02-A5F7-F318134C1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533401</xdr:colOff>
      <xdr:row>14</xdr:row>
      <xdr:rowOff>28575</xdr:rowOff>
    </xdr:from>
    <xdr:to>
      <xdr:col>13</xdr:col>
      <xdr:colOff>590551</xdr:colOff>
      <xdr:row>25</xdr:row>
      <xdr:rowOff>85725</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42DD7F2D-9268-4165-A64E-F72363BE78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67201" y="2552700"/>
              <a:ext cx="4000500" cy="2152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28574</xdr:colOff>
      <xdr:row>15</xdr:row>
      <xdr:rowOff>123826</xdr:rowOff>
    </xdr:from>
    <xdr:to>
      <xdr:col>5</xdr:col>
      <xdr:colOff>971549</xdr:colOff>
      <xdr:row>25</xdr:row>
      <xdr:rowOff>123826</xdr:rowOff>
    </xdr:to>
    <xdr:graphicFrame macro="">
      <xdr:nvGraphicFramePr>
        <xdr:cNvPr id="18" name="Chart 17">
          <a:extLst>
            <a:ext uri="{FF2B5EF4-FFF2-40B4-BE49-F238E27FC236}">
              <a16:creationId xmlns:a16="http://schemas.microsoft.com/office/drawing/2014/main" id="{37954774-4A8B-43BD-96D9-AF92A22D9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428625</xdr:colOff>
      <xdr:row>15</xdr:row>
      <xdr:rowOff>104775</xdr:rowOff>
    </xdr:from>
    <xdr:to>
      <xdr:col>20</xdr:col>
      <xdr:colOff>95250</xdr:colOff>
      <xdr:row>25</xdr:row>
      <xdr:rowOff>133350</xdr:rowOff>
    </xdr:to>
    <xdr:graphicFrame macro="">
      <xdr:nvGraphicFramePr>
        <xdr:cNvPr id="19" name="Chart 18">
          <a:extLst>
            <a:ext uri="{FF2B5EF4-FFF2-40B4-BE49-F238E27FC236}">
              <a16:creationId xmlns:a16="http://schemas.microsoft.com/office/drawing/2014/main" id="{4E138D65-EABF-48CD-BF9B-8553B79FB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114299</xdr:colOff>
      <xdr:row>4</xdr:row>
      <xdr:rowOff>123826</xdr:rowOff>
    </xdr:from>
    <xdr:to>
      <xdr:col>6</xdr:col>
      <xdr:colOff>28574</xdr:colOff>
      <xdr:row>15</xdr:row>
      <xdr:rowOff>38101</xdr:rowOff>
    </xdr:to>
    <xdr:graphicFrame macro="">
      <xdr:nvGraphicFramePr>
        <xdr:cNvPr id="2" name="Chart 1">
          <a:extLst>
            <a:ext uri="{FF2B5EF4-FFF2-40B4-BE49-F238E27FC236}">
              <a16:creationId xmlns:a16="http://schemas.microsoft.com/office/drawing/2014/main" id="{A18BB9B1-5B38-49EA-BDD1-E93C84FB0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314326</xdr:colOff>
      <xdr:row>4</xdr:row>
      <xdr:rowOff>95249</xdr:rowOff>
    </xdr:from>
    <xdr:to>
      <xdr:col>9</xdr:col>
      <xdr:colOff>200025</xdr:colOff>
      <xdr:row>13</xdr:row>
      <xdr:rowOff>123825</xdr:rowOff>
    </xdr:to>
    <mc:AlternateContent xmlns:mc="http://schemas.openxmlformats.org/markup-compatibility/2006" xmlns:a14="http://schemas.microsoft.com/office/drawing/2010/main">
      <mc:Choice Requires="a14">
        <xdr:graphicFrame macro="">
          <xdr:nvGraphicFramePr>
            <xdr:cNvPr id="7" name="Item 1">
              <a:extLst>
                <a:ext uri="{FF2B5EF4-FFF2-40B4-BE49-F238E27FC236}">
                  <a16:creationId xmlns:a16="http://schemas.microsoft.com/office/drawing/2014/main" id="{B698A0FC-9673-45DF-8152-AA2EF100DD5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4048126" y="628649"/>
              <a:ext cx="1390649" cy="1828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314324</xdr:colOff>
      <xdr:row>4</xdr:row>
      <xdr:rowOff>66675</xdr:rowOff>
    </xdr:from>
    <xdr:to>
      <xdr:col>14</xdr:col>
      <xdr:colOff>295275</xdr:colOff>
      <xdr:row>13</xdr:row>
      <xdr:rowOff>114300</xdr:rowOff>
    </xdr:to>
    <mc:AlternateContent xmlns:mc="http://schemas.openxmlformats.org/markup-compatibility/2006" xmlns:a14="http://schemas.microsoft.com/office/drawing/2010/main">
      <mc:Choice Requires="a14">
        <xdr:graphicFrame macro="">
          <xdr:nvGraphicFramePr>
            <xdr:cNvPr id="9" name="State 1">
              <a:extLst>
                <a:ext uri="{FF2B5EF4-FFF2-40B4-BE49-F238E27FC236}">
                  <a16:creationId xmlns:a16="http://schemas.microsoft.com/office/drawing/2014/main" id="{D7FF8C5F-6D97-4DFF-BAC9-2AE3185C2B7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772274" y="600075"/>
              <a:ext cx="1809751"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257175</xdr:colOff>
      <xdr:row>4</xdr:row>
      <xdr:rowOff>76201</xdr:rowOff>
    </xdr:from>
    <xdr:to>
      <xdr:col>11</xdr:col>
      <xdr:colOff>219075</xdr:colOff>
      <xdr:row>13</xdr:row>
      <xdr:rowOff>133350</xdr:rowOff>
    </xdr:to>
    <mc:AlternateContent xmlns:mc="http://schemas.openxmlformats.org/markup-compatibility/2006" xmlns:a14="http://schemas.microsoft.com/office/drawing/2010/main">
      <mc:Choice Requires="a14">
        <xdr:graphicFrame macro="">
          <xdr:nvGraphicFramePr>
            <xdr:cNvPr id="10" name="Sales Rep 1">
              <a:extLst>
                <a:ext uri="{FF2B5EF4-FFF2-40B4-BE49-F238E27FC236}">
                  <a16:creationId xmlns:a16="http://schemas.microsoft.com/office/drawing/2014/main" id="{5D7ED4ED-1AC5-4973-8790-F6879528FD6C}"/>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5495925" y="609601"/>
              <a:ext cx="1181100" cy="1857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600075</xdr:colOff>
      <xdr:row>1</xdr:row>
      <xdr:rowOff>28575</xdr:rowOff>
    </xdr:from>
    <xdr:to>
      <xdr:col>14</xdr:col>
      <xdr:colOff>0</xdr:colOff>
      <xdr:row>3</xdr:row>
      <xdr:rowOff>190500</xdr:rowOff>
    </xdr:to>
    <xdr:sp macro="" textlink="">
      <xdr:nvSpPr>
        <xdr:cNvPr id="11" name="Rectangle: Rounded Corners 10">
          <a:extLst>
            <a:ext uri="{FF2B5EF4-FFF2-40B4-BE49-F238E27FC236}">
              <a16:creationId xmlns:a16="http://schemas.microsoft.com/office/drawing/2014/main" id="{CB0ECE01-7FF6-C09C-63F5-0CAF72CD27BB}"/>
            </a:ext>
          </a:extLst>
        </xdr:cNvPr>
        <xdr:cNvSpPr/>
      </xdr:nvSpPr>
      <xdr:spPr>
        <a:xfrm>
          <a:off x="4333875" y="47625"/>
          <a:ext cx="3952875" cy="476250"/>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790575</xdr:colOff>
      <xdr:row>22</xdr:row>
      <xdr:rowOff>14287</xdr:rowOff>
    </xdr:from>
    <xdr:to>
      <xdr:col>7</xdr:col>
      <xdr:colOff>390525</xdr:colOff>
      <xdr:row>29</xdr:row>
      <xdr:rowOff>9525</xdr:rowOff>
    </xdr:to>
    <xdr:graphicFrame macro="">
      <xdr:nvGraphicFramePr>
        <xdr:cNvPr id="2" name="Chart 1">
          <a:extLst>
            <a:ext uri="{FF2B5EF4-FFF2-40B4-BE49-F238E27FC236}">
              <a16:creationId xmlns:a16="http://schemas.microsoft.com/office/drawing/2014/main" id="{B077009D-7948-0878-F716-9C90BD2A4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446618</xdr:colOff>
      <xdr:row>21</xdr:row>
      <xdr:rowOff>119062</xdr:rowOff>
    </xdr:from>
    <xdr:to>
      <xdr:col>13</xdr:col>
      <xdr:colOff>582085</xdr:colOff>
      <xdr:row>36</xdr:row>
      <xdr:rowOff>4762</xdr:rowOff>
    </xdr:to>
    <xdr:graphicFrame macro="">
      <xdr:nvGraphicFramePr>
        <xdr:cNvPr id="3" name="Chart 2">
          <a:extLst>
            <a:ext uri="{FF2B5EF4-FFF2-40B4-BE49-F238E27FC236}">
              <a16:creationId xmlns:a16="http://schemas.microsoft.com/office/drawing/2014/main" id="{2437A6EB-3D9F-2D52-4D25-6B4A9F623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899583</xdr:colOff>
      <xdr:row>22</xdr:row>
      <xdr:rowOff>14816</xdr:rowOff>
    </xdr:from>
    <xdr:to>
      <xdr:col>4</xdr:col>
      <xdr:colOff>761999</xdr:colOff>
      <xdr:row>36</xdr:row>
      <xdr:rowOff>91016</xdr:rowOff>
    </xdr:to>
    <xdr:graphicFrame macro="">
      <xdr:nvGraphicFramePr>
        <xdr:cNvPr id="4" name="Chart 3">
          <a:extLst>
            <a:ext uri="{FF2B5EF4-FFF2-40B4-BE49-F238E27FC236}">
              <a16:creationId xmlns:a16="http://schemas.microsoft.com/office/drawing/2014/main" id="{7C7054F2-117B-648F-CEFA-01D3467C5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222250</xdr:colOff>
      <xdr:row>38</xdr:row>
      <xdr:rowOff>57149</xdr:rowOff>
    </xdr:from>
    <xdr:to>
      <xdr:col>13</xdr:col>
      <xdr:colOff>0</xdr:colOff>
      <xdr:row>52</xdr:row>
      <xdr:rowOff>133349</xdr:rowOff>
    </xdr:to>
    <xdr:graphicFrame macro="">
      <xdr:nvGraphicFramePr>
        <xdr:cNvPr id="5" name="Chart 4">
          <a:extLst>
            <a:ext uri="{FF2B5EF4-FFF2-40B4-BE49-F238E27FC236}">
              <a16:creationId xmlns:a16="http://schemas.microsoft.com/office/drawing/2014/main" id="{2B133EFA-4429-2622-543C-9EE5AE4B2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486833</xdr:colOff>
      <xdr:row>4</xdr:row>
      <xdr:rowOff>35983</xdr:rowOff>
    </xdr:from>
    <xdr:to>
      <xdr:col>9</xdr:col>
      <xdr:colOff>508000</xdr:colOff>
      <xdr:row>18</xdr:row>
      <xdr:rowOff>112183</xdr:rowOff>
    </xdr:to>
    <xdr:graphicFrame macro="">
      <xdr:nvGraphicFramePr>
        <xdr:cNvPr id="6" name="Chart 5">
          <a:extLst>
            <a:ext uri="{FF2B5EF4-FFF2-40B4-BE49-F238E27FC236}">
              <a16:creationId xmlns:a16="http://schemas.microsoft.com/office/drawing/2014/main" id="{1332CC77-31BB-2870-221F-FD523ED6A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402167</xdr:colOff>
      <xdr:row>58</xdr:row>
      <xdr:rowOff>38100</xdr:rowOff>
    </xdr:from>
    <xdr:to>
      <xdr:col>8</xdr:col>
      <xdr:colOff>114301</xdr:colOff>
      <xdr:row>71</xdr:row>
      <xdr:rowOff>85725</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66F13638-7A27-9EA6-339F-26CFEFCA300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73084" y="1108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1068917</xdr:colOff>
      <xdr:row>58</xdr:row>
      <xdr:rowOff>6350</xdr:rowOff>
    </xdr:from>
    <xdr:to>
      <xdr:col>9</xdr:col>
      <xdr:colOff>504825</xdr:colOff>
      <xdr:row>71</xdr:row>
      <xdr:rowOff>53975</xdr:rowOff>
    </xdr:to>
    <mc:AlternateContent xmlns:mc="http://schemas.openxmlformats.org/markup-compatibility/2006" xmlns:a14="http://schemas.microsoft.com/office/drawing/2010/main">
      <mc:Choice Requires="a14">
        <xdr:graphicFrame macro="">
          <xdr:nvGraphicFramePr>
            <xdr:cNvPr id="8" name="Business Unit">
              <a:extLst>
                <a:ext uri="{FF2B5EF4-FFF2-40B4-BE49-F238E27FC236}">
                  <a16:creationId xmlns:a16="http://schemas.microsoft.com/office/drawing/2014/main" id="{AD7FE9B5-D9E2-C9FA-4F9D-F83EB0AAF26B}"/>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6486525" y="11055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486833</xdr:colOff>
      <xdr:row>60</xdr:row>
      <xdr:rowOff>122766</xdr:rowOff>
    </xdr:from>
    <xdr:to>
      <xdr:col>14</xdr:col>
      <xdr:colOff>1426633</xdr:colOff>
      <xdr:row>73</xdr:row>
      <xdr:rowOff>170391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DAB92EB4-DBAA-A6E9-24A3-94B9846D206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546416" y="1155276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455084</xdr:colOff>
      <xdr:row>58</xdr:row>
      <xdr:rowOff>154517</xdr:rowOff>
    </xdr:from>
    <xdr:to>
      <xdr:col>11</xdr:col>
      <xdr:colOff>781051</xdr:colOff>
      <xdr:row>72</xdr:row>
      <xdr:rowOff>11642</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C00FFAAB-F0CE-E34B-FE0C-312BCBF710A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265584" y="1120351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42333</xdr:colOff>
      <xdr:row>33</xdr:row>
      <xdr:rowOff>99483</xdr:rowOff>
    </xdr:from>
    <xdr:to>
      <xdr:col>3</xdr:col>
      <xdr:colOff>10584</xdr:colOff>
      <xdr:row>47</xdr:row>
      <xdr:rowOff>175683</xdr:rowOff>
    </xdr:to>
    <xdr:graphicFrame macro="">
      <xdr:nvGraphicFramePr>
        <xdr:cNvPr id="11" name="Chart 10">
          <a:extLst>
            <a:ext uri="{FF2B5EF4-FFF2-40B4-BE49-F238E27FC236}">
              <a16:creationId xmlns:a16="http://schemas.microsoft.com/office/drawing/2014/main" id="{5E79B320-06AB-EE79-0EA4-395BD10C1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359834</xdr:colOff>
      <xdr:row>22</xdr:row>
      <xdr:rowOff>141816</xdr:rowOff>
    </xdr:from>
    <xdr:to>
      <xdr:col>10</xdr:col>
      <xdr:colOff>243417</xdr:colOff>
      <xdr:row>37</xdr:row>
      <xdr:rowOff>27516</xdr:rowOff>
    </xdr:to>
    <xdr:graphicFrame macro="">
      <xdr:nvGraphicFramePr>
        <xdr:cNvPr id="12" name="Chart 11">
          <a:extLst>
            <a:ext uri="{FF2B5EF4-FFF2-40B4-BE49-F238E27FC236}">
              <a16:creationId xmlns:a16="http://schemas.microsoft.com/office/drawing/2014/main" id="{5EBB1CCB-76A9-7211-86DC-44BB6334E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861483</xdr:colOff>
      <xdr:row>7</xdr:row>
      <xdr:rowOff>142875</xdr:rowOff>
    </xdr:from>
    <xdr:to>
      <xdr:col>7</xdr:col>
      <xdr:colOff>573617</xdr:colOff>
      <xdr:row>21</xdr:row>
      <xdr:rowOff>0</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BE3FB42B-19B0-FCC1-F40B-D3369384734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110566" y="1476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14817</xdr:colOff>
      <xdr:row>2</xdr:row>
      <xdr:rowOff>174625</xdr:rowOff>
    </xdr:from>
    <xdr:to>
      <xdr:col>9</xdr:col>
      <xdr:colOff>125677</xdr:colOff>
      <xdr:row>7</xdr:row>
      <xdr:rowOff>63446</xdr:rowOff>
    </xdr:to>
    <xdr:pic>
      <xdr:nvPicPr>
        <xdr:cNvPr id="15" name="Picture 14">
          <a:extLst>
            <a:ext uri="{FF2B5EF4-FFF2-40B4-BE49-F238E27FC236}">
              <a16:creationId xmlns:a16="http://schemas.microsoft.com/office/drawing/2014/main" id="{F445A6A1-BB7A-099C-256F-B4456D1D37F6}"/>
            </a:ext>
          </a:extLst>
        </xdr:cNvPr>
        <xdr:cNvPicPr>
          <a:picLocks noChangeAspect="1"/>
        </xdr:cNvPicPr>
      </xdr:nvPicPr>
      <xdr:blipFill>
        <a:blip xmlns:r="http://schemas.openxmlformats.org/officeDocument/2006/relationships" r:embed="rId8"/>
        <a:stretch>
          <a:fillRect/>
        </a:stretch>
      </xdr:blipFill>
      <xdr:spPr>
        <a:xfrm>
          <a:off x="5613400" y="555625"/>
          <a:ext cx="2322777" cy="8413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9525</xdr:colOff>
      <xdr:row>0</xdr:row>
      <xdr:rowOff>19050</xdr:rowOff>
    </xdr:from>
    <xdr:to>
      <xdr:col>12</xdr:col>
      <xdr:colOff>600075</xdr:colOff>
      <xdr:row>2</xdr:row>
      <xdr:rowOff>0</xdr:rowOff>
    </xdr:to>
    <xdr:sp macro="" textlink="">
      <xdr:nvSpPr>
        <xdr:cNvPr id="6" name="Rectangle: Rounded Corners 5">
          <a:extLst>
            <a:ext uri="{FF2B5EF4-FFF2-40B4-BE49-F238E27FC236}">
              <a16:creationId xmlns:a16="http://schemas.microsoft.com/office/drawing/2014/main" id="{6902D207-6AB9-2606-C6BA-7EE46EA4FC4A}"/>
            </a:ext>
          </a:extLst>
        </xdr:cNvPr>
        <xdr:cNvSpPr/>
      </xdr:nvSpPr>
      <xdr:spPr>
        <a:xfrm>
          <a:off x="4457700" y="19050"/>
          <a:ext cx="3638550" cy="381000"/>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590551</xdr:colOff>
      <xdr:row>0</xdr:row>
      <xdr:rowOff>19050</xdr:rowOff>
    </xdr:from>
    <xdr:to>
      <xdr:col>6</xdr:col>
      <xdr:colOff>19051</xdr:colOff>
      <xdr:row>2</xdr:row>
      <xdr:rowOff>9525</xdr:rowOff>
    </xdr:to>
    <xdr:sp macro="" textlink="">
      <xdr:nvSpPr>
        <xdr:cNvPr id="7" name="Rectangle: Rounded Corners 6">
          <a:extLst>
            <a:ext uri="{FF2B5EF4-FFF2-40B4-BE49-F238E27FC236}">
              <a16:creationId xmlns:a16="http://schemas.microsoft.com/office/drawing/2014/main" id="{42C3A703-BA30-4236-97B0-72E5EB332056}"/>
            </a:ext>
          </a:extLst>
        </xdr:cNvPr>
        <xdr:cNvSpPr/>
      </xdr:nvSpPr>
      <xdr:spPr>
        <a:xfrm>
          <a:off x="2419351" y="19050"/>
          <a:ext cx="1428750" cy="390525"/>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21167</xdr:colOff>
      <xdr:row>0</xdr:row>
      <xdr:rowOff>21166</xdr:rowOff>
    </xdr:from>
    <xdr:to>
      <xdr:col>2</xdr:col>
      <xdr:colOff>7407</xdr:colOff>
      <xdr:row>1</xdr:row>
      <xdr:rowOff>191558</xdr:rowOff>
    </xdr:to>
    <xdr:sp macro="" textlink="">
      <xdr:nvSpPr>
        <xdr:cNvPr id="8" name="Rectangle: Rounded Corners 7">
          <a:extLst>
            <a:ext uri="{FF2B5EF4-FFF2-40B4-BE49-F238E27FC236}">
              <a16:creationId xmlns:a16="http://schemas.microsoft.com/office/drawing/2014/main" id="{152C4202-2928-4D6A-9EA0-FCF46316FF7A}"/>
            </a:ext>
          </a:extLst>
        </xdr:cNvPr>
        <xdr:cNvSpPr/>
      </xdr:nvSpPr>
      <xdr:spPr>
        <a:xfrm>
          <a:off x="21167" y="21166"/>
          <a:ext cx="1224490" cy="371475"/>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600074</xdr:colOff>
      <xdr:row>0</xdr:row>
      <xdr:rowOff>19050</xdr:rowOff>
    </xdr:from>
    <xdr:to>
      <xdr:col>15</xdr:col>
      <xdr:colOff>609599</xdr:colOff>
      <xdr:row>2</xdr:row>
      <xdr:rowOff>9525</xdr:rowOff>
    </xdr:to>
    <xdr:sp macro="" textlink="">
      <xdr:nvSpPr>
        <xdr:cNvPr id="9" name="Rectangle: Rounded Corners 8">
          <a:extLst>
            <a:ext uri="{FF2B5EF4-FFF2-40B4-BE49-F238E27FC236}">
              <a16:creationId xmlns:a16="http://schemas.microsoft.com/office/drawing/2014/main" id="{A5312B53-FB8D-4CCA-B710-2636E1A31406}"/>
            </a:ext>
          </a:extLst>
        </xdr:cNvPr>
        <xdr:cNvSpPr/>
      </xdr:nvSpPr>
      <xdr:spPr>
        <a:xfrm>
          <a:off x="8696324" y="19050"/>
          <a:ext cx="1228725" cy="390525"/>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0</xdr:colOff>
      <xdr:row>0</xdr:row>
      <xdr:rowOff>0</xdr:rowOff>
    </xdr:from>
    <xdr:to>
      <xdr:col>19</xdr:col>
      <xdr:colOff>590550</xdr:colOff>
      <xdr:row>1</xdr:row>
      <xdr:rowOff>190500</xdr:rowOff>
    </xdr:to>
    <xdr:sp macro="" textlink="">
      <xdr:nvSpPr>
        <xdr:cNvPr id="10" name="Rectangle: Rounded Corners 9">
          <a:extLst>
            <a:ext uri="{FF2B5EF4-FFF2-40B4-BE49-F238E27FC236}">
              <a16:creationId xmlns:a16="http://schemas.microsoft.com/office/drawing/2014/main" id="{85D67D1B-87D4-4947-A091-BDD0390F8460}"/>
            </a:ext>
          </a:extLst>
        </xdr:cNvPr>
        <xdr:cNvSpPr/>
      </xdr:nvSpPr>
      <xdr:spPr>
        <a:xfrm>
          <a:off x="11144250" y="0"/>
          <a:ext cx="1200150" cy="390525"/>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12</xdr:row>
      <xdr:rowOff>179916</xdr:rowOff>
    </xdr:from>
    <xdr:to>
      <xdr:col>6</xdr:col>
      <xdr:colOff>10583</xdr:colOff>
      <xdr:row>21</xdr:row>
      <xdr:rowOff>148166</xdr:rowOff>
    </xdr:to>
    <xdr:graphicFrame macro="">
      <xdr:nvGraphicFramePr>
        <xdr:cNvPr id="12" name="Chart 11">
          <a:extLst>
            <a:ext uri="{FF2B5EF4-FFF2-40B4-BE49-F238E27FC236}">
              <a16:creationId xmlns:a16="http://schemas.microsoft.com/office/drawing/2014/main" id="{9ACB10CA-9E13-4245-9F95-3C119E02A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42333</xdr:colOff>
      <xdr:row>2</xdr:row>
      <xdr:rowOff>52917</xdr:rowOff>
    </xdr:from>
    <xdr:to>
      <xdr:col>6</xdr:col>
      <xdr:colOff>0</xdr:colOff>
      <xdr:row>12</xdr:row>
      <xdr:rowOff>127000</xdr:rowOff>
    </xdr:to>
    <xdr:graphicFrame macro="">
      <xdr:nvGraphicFramePr>
        <xdr:cNvPr id="13" name="Chart 12">
          <a:extLst>
            <a:ext uri="{FF2B5EF4-FFF2-40B4-BE49-F238E27FC236}">
              <a16:creationId xmlns:a16="http://schemas.microsoft.com/office/drawing/2014/main" id="{5DC62795-BCEE-484E-A6F7-C60CF7456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21166</xdr:colOff>
      <xdr:row>2</xdr:row>
      <xdr:rowOff>63500</xdr:rowOff>
    </xdr:from>
    <xdr:to>
      <xdr:col>20</xdr:col>
      <xdr:colOff>52917</xdr:colOff>
      <xdr:row>12</xdr:row>
      <xdr:rowOff>105833</xdr:rowOff>
    </xdr:to>
    <xdr:graphicFrame macro="">
      <xdr:nvGraphicFramePr>
        <xdr:cNvPr id="14" name="Chart 13">
          <a:extLst>
            <a:ext uri="{FF2B5EF4-FFF2-40B4-BE49-F238E27FC236}">
              <a16:creationId xmlns:a16="http://schemas.microsoft.com/office/drawing/2014/main" id="{C4F482DE-F70B-4877-B29A-E1A0DE32C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12</xdr:row>
      <xdr:rowOff>148166</xdr:rowOff>
    </xdr:from>
    <xdr:to>
      <xdr:col>20</xdr:col>
      <xdr:colOff>21167</xdr:colOff>
      <xdr:row>21</xdr:row>
      <xdr:rowOff>148167</xdr:rowOff>
    </xdr:to>
    <xdr:graphicFrame macro="">
      <xdr:nvGraphicFramePr>
        <xdr:cNvPr id="15" name="Chart 14">
          <a:extLst>
            <a:ext uri="{FF2B5EF4-FFF2-40B4-BE49-F238E27FC236}">
              <a16:creationId xmlns:a16="http://schemas.microsoft.com/office/drawing/2014/main" id="{C279A148-4E93-4342-8D50-27B4747D1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243416</xdr:colOff>
      <xdr:row>11</xdr:row>
      <xdr:rowOff>127000</xdr:rowOff>
    </xdr:from>
    <xdr:to>
      <xdr:col>12</xdr:col>
      <xdr:colOff>349250</xdr:colOff>
      <xdr:row>21</xdr:row>
      <xdr:rowOff>137583</xdr:rowOff>
    </xdr:to>
    <xdr:graphicFrame macro="">
      <xdr:nvGraphicFramePr>
        <xdr:cNvPr id="16" name="Chart 15">
          <a:extLst>
            <a:ext uri="{FF2B5EF4-FFF2-40B4-BE49-F238E27FC236}">
              <a16:creationId xmlns:a16="http://schemas.microsoft.com/office/drawing/2014/main" id="{3BBCE04F-E9AB-4E5A-A424-463EC7ECB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603249</xdr:colOff>
      <xdr:row>2</xdr:row>
      <xdr:rowOff>52917</xdr:rowOff>
    </xdr:from>
    <xdr:to>
      <xdr:col>12</xdr:col>
      <xdr:colOff>590549</xdr:colOff>
      <xdr:row>6</xdr:row>
      <xdr:rowOff>105834</xdr:rowOff>
    </xdr:to>
    <mc:AlternateContent xmlns:mc="http://schemas.openxmlformats.org/markup-compatibility/2006" xmlns:a14="http://schemas.microsoft.com/office/drawing/2010/main">
      <mc:Choice Requires="a14">
        <xdr:graphicFrame macro="">
          <xdr:nvGraphicFramePr>
            <xdr:cNvPr id="18" name="Business Unit 1">
              <a:extLst>
                <a:ext uri="{FF2B5EF4-FFF2-40B4-BE49-F238E27FC236}">
                  <a16:creationId xmlns:a16="http://schemas.microsoft.com/office/drawing/2014/main" id="{7D4CA51D-367A-4AE9-BF05-04F125F23478}"/>
                </a:ext>
              </a:extLst>
            </xdr:cNvPr>
            <xdr:cNvGraphicFramePr/>
          </xdr:nvGraphicFramePr>
          <xdr:xfrm>
            <a:off x="0" y="0"/>
            <a:ext cx="0" cy="0"/>
          </xdr:xfrm>
          <a:graphic>
            <a:graphicData uri="http://schemas.microsoft.com/office/drawing/2010/slicer">
              <sle:slicer xmlns:sle="http://schemas.microsoft.com/office/drawing/2010/slicer" name="Business Unit 1"/>
            </a:graphicData>
          </a:graphic>
        </xdr:graphicFrame>
      </mc:Choice>
      <mc:Fallback xmlns="">
        <xdr:sp macro="" textlink="">
          <xdr:nvSpPr>
            <xdr:cNvPr id="0" name=""/>
            <xdr:cNvSpPr>
              <a:spLocks noTextEdit="1"/>
            </xdr:cNvSpPr>
          </xdr:nvSpPr>
          <xdr:spPr>
            <a:xfrm>
              <a:off x="6307666" y="455084"/>
              <a:ext cx="1828800" cy="82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603249</xdr:colOff>
      <xdr:row>6</xdr:row>
      <xdr:rowOff>137584</xdr:rowOff>
    </xdr:from>
    <xdr:to>
      <xdr:col>12</xdr:col>
      <xdr:colOff>590549</xdr:colOff>
      <xdr:row>11</xdr:row>
      <xdr:rowOff>52916</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1183C3F4-0D2F-49FF-A6F8-DF635AA920E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307666" y="1312334"/>
              <a:ext cx="1828800" cy="867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63500</xdr:colOff>
      <xdr:row>7</xdr:row>
      <xdr:rowOff>0</xdr:rowOff>
    </xdr:from>
    <xdr:to>
      <xdr:col>9</xdr:col>
      <xdr:colOff>508000</xdr:colOff>
      <xdr:row>11</xdr:row>
      <xdr:rowOff>105833</xdr:rowOff>
    </xdr:to>
    <mc:AlternateContent xmlns:mc="http://schemas.openxmlformats.org/markup-compatibility/2006" xmlns:a14="http://schemas.microsoft.com/office/drawing/2010/main">
      <mc:Choice Requires="a14">
        <xdr:graphicFrame macro="">
          <xdr:nvGraphicFramePr>
            <xdr:cNvPr id="19" name="Country 1">
              <a:extLst>
                <a:ext uri="{FF2B5EF4-FFF2-40B4-BE49-F238E27FC236}">
                  <a16:creationId xmlns:a16="http://schemas.microsoft.com/office/drawing/2014/main" id="{0C5BC308-2975-4E94-AD2B-EA89A377B4A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926417" y="1365250"/>
              <a:ext cx="2286000" cy="867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76201</xdr:colOff>
      <xdr:row>2</xdr:row>
      <xdr:rowOff>47626</xdr:rowOff>
    </xdr:from>
    <xdr:to>
      <xdr:col>9</xdr:col>
      <xdr:colOff>542925</xdr:colOff>
      <xdr:row>6</xdr:row>
      <xdr:rowOff>123825</xdr:rowOff>
    </xdr:to>
    <mc:AlternateContent xmlns:mc="http://schemas.openxmlformats.org/markup-compatibility/2006" xmlns:a14="http://schemas.microsoft.com/office/drawing/2010/main">
      <mc:Choice Requires="a14">
        <xdr:graphicFrame macro="">
          <xdr:nvGraphicFramePr>
            <xdr:cNvPr id="5" name="Department 2">
              <a:extLst>
                <a:ext uri="{FF2B5EF4-FFF2-40B4-BE49-F238E27FC236}">
                  <a16:creationId xmlns:a16="http://schemas.microsoft.com/office/drawing/2014/main" id="{80C1D16A-AF6B-44D5-8F5D-238456A214F0}"/>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3914776" y="447676"/>
              <a:ext cx="2295524" cy="847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91.965849421293" createdVersion="8" refreshedVersion="8" minRefreshableVersion="3" recordCount="1000" xr:uid="{0781ED01-2B97-45F9-8C6B-D885D159608D}">
  <cacheSource type="worksheet">
    <worksheetSource name="Table9"/>
  </cacheSource>
  <cacheFields count="14">
    <cacheField name="EMP ID.1" numFmtId="0">
      <sharedItems/>
    </cacheField>
    <cacheField name="Job Title" numFmtId="0">
      <sharedItems count="33">
        <s v="Sr. Manger"/>
        <s v="Sr. Analyst"/>
        <s v="Vice President"/>
        <s v="Test Engineer"/>
        <s v="Computer Systems Manager"/>
        <s v="Development Engineer"/>
        <s v="Director"/>
        <s v="Analyst II"/>
        <s v="Field Engineer"/>
        <s v="Controls Engineer"/>
        <s v="Sr. Account Representative"/>
        <s v="System Administrator "/>
        <s v="Manager"/>
        <s v="Enterprise Architect"/>
        <s v="Cloud Infrastructure Architect"/>
        <s v="Analyst"/>
        <s v="Operations Engineer"/>
        <s v="Systems Analyst"/>
        <s v="Quality Engineer"/>
        <s v="Automation Engineer"/>
        <s v="Network Engineer"/>
        <s v="Technical Architect"/>
        <s v="Solutions Architect"/>
        <s v="Network Architect"/>
        <s v="Sr. Business Partner"/>
        <s v="Engineering Manager"/>
        <s v="IT Coordinator"/>
        <s v="IT Systems Architect"/>
        <s v="Account Representative"/>
        <s v="Service Desk Analyst"/>
        <s v="Network Administrator"/>
        <s v="HRIS Analyst"/>
        <s v="Business Partner"/>
      </sharedItems>
    </cacheField>
    <cacheField name="Department" numFmtId="0">
      <sharedItems count="7">
        <s v="IT"/>
        <s v="Finance"/>
        <s v="Sales"/>
        <s v="Accounting"/>
        <s v="Engineering"/>
        <s v="Human Resources"/>
        <s v="Marketing"/>
      </sharedItems>
    </cacheField>
    <cacheField name="Business Unit" numFmtId="0">
      <sharedItems count="4">
        <s v="Research &amp; Development"/>
        <s v="Speciality Products"/>
        <s v="Manufacturing"/>
        <s v="Corporate"/>
      </sharedItems>
    </cacheField>
    <cacheField name="Gender" numFmtId="0">
      <sharedItems count="2">
        <s v="Female"/>
        <s v="Male"/>
      </sharedItems>
    </cacheField>
    <cacheField name="Age" numFmtId="0">
      <sharedItems containsSemiMixedTypes="0" containsString="0" containsNumber="1" containsInteger="1" minValue="25" maxValue="65"/>
    </cacheField>
    <cacheField name="Age under" numFmtId="0">
      <sharedItems count="5">
        <s v="55-65"/>
        <s v="25-35"/>
        <s v="45-55"/>
        <s v="35-45"/>
        <s v="65-75"/>
      </sharedItems>
    </cacheField>
    <cacheField name="Hire Date" numFmtId="22">
      <sharedItems containsSemiMixedTypes="0" containsNonDate="0" containsDate="1" containsString="0" minDate="1992-01-09T00:00:00" maxDate="2021-12-27T00:00:00"/>
    </cacheField>
    <cacheField name="Annual Salary" numFmtId="0">
      <sharedItems containsMixedTypes="1" containsNumber="1" containsInteger="1" minValue="40063" maxValue="258498" count="1001">
        <n v="141604"/>
        <n v="77203"/>
        <n v="219693"/>
        <n v="216195"/>
        <n v="61773"/>
        <n v="74546"/>
        <n v="62575"/>
        <n v="199041"/>
        <n v="52310"/>
        <n v="159571"/>
        <n v="91763"/>
        <n v="96475"/>
        <n v="113781"/>
        <n v="157333"/>
        <n v="166599"/>
        <n v="95372"/>
        <n v="161203"/>
        <n v="74738"/>
        <n v="171173"/>
        <n v="201464"/>
        <n v="174895"/>
        <n v="134486"/>
        <n v="71699"/>
        <n v="94430"/>
        <n v="109851"/>
        <n v="103504"/>
        <n v="92771"/>
        <n v="71531"/>
        <n v="90304"/>
        <n v="104903"/>
        <n v="55859"/>
        <n v="79785"/>
        <n v="99017"/>
        <n v="53809"/>
        <n v="71864"/>
        <n v="105086"/>
        <n v="225558"/>
        <n v="128984"/>
        <n v="96997"/>
        <n v="176294"/>
        <n v="48340"/>
        <n v="240488"/>
        <n v="97339"/>
        <n v="211291"/>
        <n v="249506"/>
        <n v="80950"/>
        <n v="146742"/>
        <n v="86538"/>
        <n v="70992"/>
        <n v="205314"/>
        <n v="196951"/>
        <n v="67686"/>
        <n v="86431"/>
        <n v="125936"/>
        <n v="149712"/>
        <n v="88758"/>
        <n v="83639"/>
        <n v="97078"/>
        <n v="68268"/>
        <n v="75819"/>
        <n v="86658"/>
        <n v="74552"/>
        <n v="82839"/>
        <n v="64475"/>
        <n v="69453"/>
        <n v="127148"/>
        <n v="190253"/>
        <n v="115798"/>
        <n v="249270"/>
        <n v="93102"/>
        <n v="110054"/>
        <n v="95786"/>
        <n v="90855"/>
        <n v="92897"/>
        <n v="242919"/>
        <n v="184368"/>
        <n v="144754"/>
        <n v="89458"/>
        <n v="190815"/>
        <n v="175837"/>
        <n v="137995"/>
        <n v="93840"/>
        <n v="94790"/>
        <n v="197367"/>
        <n v="174097"/>
        <n v="120128"/>
        <n v="129708"/>
        <n v="102270"/>
        <n v="249686"/>
        <n v="50475"/>
        <n v="154828"/>
        <n v="100099"/>
        <n v="41673"/>
        <n v="70996"/>
        <n v="40752"/>
        <n v="97537"/>
        <n v="96567"/>
        <n v="49404"/>
        <n v="66819"/>
        <n v="50784"/>
        <n v="125828"/>
        <n v="186503"/>
        <n v="92610"/>
        <n v="123405"/>
        <n v="73004"/>
        <n v="95061"/>
        <n v="160832"/>
        <n v="64417"/>
        <n v="127543"/>
        <n v="56154"/>
        <n v="218530"/>
        <n v="91954"/>
        <n v="99975"/>
        <n v="166331"/>
        <n v="221217"/>
        <n v="87536"/>
        <n v="41429"/>
        <n v="245482"/>
        <n v="71359"/>
        <n v="183161"/>
        <n v="69260"/>
        <n v="95639"/>
        <n v="120660"/>
        <n v="75119"/>
        <n v="146140"/>
        <n v="192213"/>
        <n v="65047"/>
        <n v="151413"/>
        <n v="76906"/>
        <n v="122802"/>
        <n v="99091"/>
        <n v="113987"/>
        <n v="95045"/>
        <n v="190401"/>
        <n v="86061"/>
        <n v="151703"/>
        <n v="79882"/>
        <n v="255431"/>
        <n v="82017"/>
        <n v="53799"/>
        <n v="82739"/>
        <n v="99080"/>
        <n v="96719"/>
        <n v="180687"/>
        <n v="95743"/>
        <n v="89695"/>
        <n v="172787"/>
        <n v="122753"/>
        <n v="93734"/>
        <n v="52069"/>
        <n v="258426"/>
        <n v="125375"/>
        <n v="198243"/>
        <n v="96023"/>
        <n v="83066"/>
        <n v="61216"/>
        <n v="144231"/>
        <n v="49998"/>
        <n v="51630"/>
        <n v="124129"/>
        <n v="60055"/>
        <n v="189290"/>
        <n v="182202"/>
        <n v="117518"/>
        <n v="157474"/>
        <n v="126856"/>
        <n v="129124"/>
        <n v="165181"/>
        <n v="207172"/>
        <n v="247939"/>
        <n v="169509"/>
        <n v="138521"/>
        <n v="113873"/>
        <n v="73317"/>
        <n v="69096"/>
        <n v="87158"/>
        <n v="70778"/>
        <n v="153938"/>
        <n v="59888"/>
        <n v="152239"/>
        <n v="63098"/>
        <n v="255369"/>
        <n v="142318"/>
        <n v="49186"/>
        <n v="220937"/>
        <n v="183156"/>
        <n v="192749"/>
        <n v="135325"/>
        <n v="79356"/>
        <n v="74412"/>
        <n v="98581"/>
        <n v="61886"/>
        <n v="173071"/>
        <n v="70189"/>
        <n v="181452"/>
        <n v="70369"/>
        <n v="78056"/>
        <n v="189933"/>
        <n v="78237"/>
        <n v="48687"/>
        <n v="121065"/>
        <n v="246231"/>
        <n v="94246"/>
        <n v="44614"/>
        <n v="234469"/>
        <n v="88272"/>
        <n v="74449"/>
        <n v="222941"/>
        <n v="50341"/>
        <n v="72235"/>
        <n v="70165"/>
        <n v="148485"/>
        <n v="99354"/>
        <n v="86089"/>
        <n v="106313"/>
        <n v="46833"/>
        <n v="155320"/>
        <n v="89984"/>
        <n v="83756"/>
        <n v="176324"/>
        <n v="74077"/>
        <n v="104162"/>
        <n v="82162"/>
        <n v="163099"/>
        <n v="231141"/>
        <n v="63880"/>
        <n v="73248"/>
        <n v="91853"/>
        <n v="168014"/>
        <n v="70770"/>
        <n v="50825"/>
        <n v="145846"/>
        <n v="125807"/>
        <n v="46845"/>
        <n v="157969"/>
        <n v="54775"/>
        <n v="97807"/>
        <n v="73854"/>
        <n v="149537"/>
        <n v="128303"/>
        <n v="67374"/>
        <n v="102167"/>
        <n v="151027"/>
        <n v="120905"/>
        <n v="231567"/>
        <n v="215388"/>
        <n v="55499"/>
        <n v="127972"/>
        <n v="80701"/>
        <n v="115417"/>
        <n v="88045"/>
        <n v="86478"/>
        <n v="180994"/>
        <n v="64494"/>
        <n v="70122"/>
        <n v="181854"/>
        <n v="52811"/>
        <n v="66521"/>
        <n v="50111"/>
        <n v="71192"/>
        <n v="155351"/>
        <n v="161690"/>
        <n v="60132"/>
        <n v="87216"/>
        <n v="50069"/>
        <n v="151108"/>
        <n v="67398"/>
        <n v="68488"/>
        <n v="59100"/>
        <n v="92932"/>
        <n v="43363"/>
        <n v="95963"/>
        <n v="111038"/>
        <n v="200246"/>
        <n v="194871"/>
        <n v="98769"/>
        <n v="65334"/>
        <n v="83934"/>
        <n v="150399"/>
        <n v="49011"/>
        <n v="160280"/>
        <n v="54051"/>
        <n v="150699"/>
        <n v="69570"/>
        <n v="86774"/>
        <n v="57606"/>
        <n v="125730"/>
        <n v="64170"/>
        <n v="72303"/>
        <n v="105891"/>
        <n v="99575"/>
        <n v="255230"/>
        <n v="59591"/>
        <n v="187048"/>
        <n v="58605"/>
        <n v="178502"/>
        <n v="103724"/>
        <n v="156277"/>
        <n v="87744"/>
        <n v="54714"/>
        <n v="99169"/>
        <n v="99989"/>
        <n v="142628"/>
        <n v="75869"/>
        <n v="60985"/>
        <n v="126911"/>
        <n v="216949"/>
        <n v="168510"/>
        <n v="85870"/>
        <n v="86510"/>
        <n v="119647"/>
        <n v="80921"/>
        <n v="256420"/>
        <n v="98110"/>
        <n v="86831"/>
        <n v="72826"/>
        <n v="171217"/>
        <n v="103058"/>
        <n v="117062"/>
        <n v="159031"/>
        <n v="125086"/>
        <n v="67976"/>
        <n v="74215"/>
        <n v="78940"/>
        <n v="187389"/>
        <n v="131841"/>
        <n v="97231"/>
        <n v="155004"/>
        <n v="41859"/>
        <n v="52733"/>
        <n v="250953"/>
        <n v="191807"/>
        <n v="64677"/>
        <n v="130274"/>
        <n v="84913"/>
        <n v="82872"/>
        <n v="96331"/>
        <n v="150758"/>
        <n v="173629"/>
        <n v="62174"/>
        <n v="56555"/>
        <n v="74655"/>
        <n v="93017"/>
        <n v="82300"/>
        <n v="91621"/>
        <n v="91280"/>
        <n v="86317"/>
        <n v="47071"/>
        <n v="81218"/>
        <n v="181801"/>
        <n v="63137"/>
        <n v="221465"/>
        <n v="79388"/>
        <n v="68176"/>
        <n v="122829"/>
        <n v="126353"/>
        <n v="188727"/>
        <n v="113135"/>
        <n v="99624"/>
        <n v="108686"/>
        <n v="50857"/>
        <n v="120628"/>
        <n v="181216"/>
        <n v="46081"/>
        <n v="159885"/>
        <n v="153271"/>
        <n v="114242"/>
        <n v="48415"/>
        <n v="199808"/>
        <n v="65566"/>
        <n v="147752"/>
        <n v="136810"/>
        <n v="54635"/>
        <n v="96636"/>
        <n v="91592"/>
        <n v="55563"/>
        <n v="159724"/>
        <n v="183190"/>
        <n v="54829"/>
        <n v="56037"/>
        <n v="96639"/>
        <n v="117278"/>
        <n v="84193"/>
        <n v="87806"/>
        <n v="63959"/>
        <n v="234723"/>
        <n v="50809"/>
        <n v="77396"/>
        <n v="89523"/>
        <n v="86173"/>
        <n v="122350"/>
        <n v="222224"/>
        <n v="109456"/>
        <n v="170221"/>
        <n v="97433"/>
        <n v="59646"/>
        <n v="158787"/>
        <n v="83378"/>
        <n v="88895"/>
        <n v="168846"/>
        <n v="92952"/>
        <n v="43336"/>
        <n v="127801"/>
        <n v="76352"/>
        <n v="250767"/>
        <n v="223055"/>
        <n v="189680"/>
        <n v="71167"/>
        <n v="76027"/>
        <n v="183113"/>
        <n v="67753"/>
        <n v="79921"/>
        <n v="63744"/>
        <n v="92209"/>
        <n v="157487"/>
        <n v="99697"/>
        <n v="90770"/>
        <n v="55369"/>
        <n v="69578"/>
        <n v="167526"/>
        <n v="65507"/>
        <n v="108268"/>
        <n v="167199"/>
        <n v="80055"/>
        <n v="76802"/>
        <n v="253249"/>
        <n v="78388"/>
        <n v="249870"/>
        <n v="148321"/>
        <n v="90258"/>
        <n v="72486"/>
        <n v="95499"/>
        <n v="90212"/>
        <n v="71476"/>
        <n v="254057"/>
        <n v="43001"/>
        <n v="85120"/>
        <n v="52200"/>
        <n v="150855"/>
        <n v="65702"/>
        <n v="162038"/>
        <n v="157057"/>
        <n v="127559"/>
        <n v="62644"/>
        <n v="95409"/>
        <n v="189420"/>
        <n v="73907"/>
        <n v="90040"/>
        <n v="91134"/>
        <n v="201396"/>
        <n v="54733"/>
        <n v="65341"/>
        <n v="139208"/>
        <n v="73200"/>
        <n v="102636"/>
        <n v="87427"/>
        <n v="64057"/>
        <n v="49219"/>
        <n v="106437"/>
        <n v="64364"/>
        <n v="172180"/>
        <n v="88343"/>
        <n v="66649"/>
        <n v="102847"/>
        <n v="134881"/>
        <n v="68807"/>
        <n v="228822"/>
        <n v="68728"/>
        <n v="43391"/>
        <n v="91782"/>
        <n v="211637"/>
        <n v="73255"/>
        <n v="108826"/>
        <n v="94352"/>
        <n v="73955"/>
        <n v="113909"/>
        <n v="92321"/>
        <n v="99557"/>
        <n v="125633"/>
        <n v="115854"/>
        <n v="82462"/>
        <n v="198473"/>
        <n v="153492"/>
        <n v="208210"/>
        <n v="91632"/>
        <n v="71755"/>
        <n v="111006"/>
        <n v="99774"/>
        <n v="184648"/>
        <n v="66889"/>
        <n v="247874"/>
        <n v="62239"/>
        <n v="114911"/>
        <n v="115490"/>
        <n v="118708"/>
        <n v="197649"/>
        <n v="89841"/>
        <n v="61026"/>
        <n v="96693"/>
        <n v="82907"/>
        <n v="178700"/>
        <n v="257194"/>
        <n v="94658"/>
        <n v="89419"/>
        <n v="51983"/>
        <n v="179494"/>
        <n v="68426"/>
        <n v="144986"/>
        <n v="60113"/>
        <n v="50548"/>
        <n v="68846"/>
        <n v="83990"/>
        <n v="90901"/>
        <n v="102033"/>
        <n v="151783"/>
        <n v="170164"/>
        <n v="155905"/>
        <n v="50733"/>
        <n v="88663"/>
        <n v="88213"/>
        <n v="67130"/>
        <n v="94876"/>
        <n v="102043"/>
        <n v="98230"/>
        <n v="96757"/>
        <n v="51513"/>
        <n v="234311"/>
        <n v="152353"/>
        <n v="124774"/>
        <n v="157070"/>
        <n v="130133"/>
        <n v="108780"/>
        <n v="151853"/>
        <n v="90678"/>
        <n v="64669"/>
        <n v="69352"/>
        <n v="74631"/>
        <n v="96441"/>
        <n v="114250"/>
        <n v="109059"/>
        <n v="77442"/>
        <n v="72126"/>
        <n v="70334"/>
        <n v="59067"/>
        <n v="78006"/>
        <n v="160385"/>
        <n v="202323"/>
        <n v="141555"/>
        <n v="184960"/>
        <n v="221592"/>
        <n v="53301"/>
        <n v="91276"/>
        <n v="140042"/>
        <n v="57225"/>
        <n v="50994"/>
        <n v="135062"/>
        <n v="102839"/>
        <n v="199783"/>
        <n v="70980"/>
        <n v="104431"/>
        <n v="48510"/>
        <n v="70110"/>
        <n v="186138"/>
        <n v="56350"/>
        <n v="149761"/>
        <n v="126277"/>
        <n v="159044"/>
        <n v="119631"/>
        <n v="256561"/>
        <n v="66958"/>
        <n v="158897"/>
        <n v="71695"/>
        <n v="73779"/>
        <n v="123640"/>
        <n v="46878"/>
        <n v="57032"/>
        <n v="98150"/>
        <n v="74691"/>
        <n v="171426"/>
        <n v="48266"/>
        <n v="223404"/>
        <n v="74854"/>
        <n v="217783"/>
        <n v="44735"/>
        <n v="50685"/>
        <n v="58993"/>
        <n v="115765"/>
        <n v="193044"/>
        <n v="92753"/>
        <n v="56686"/>
        <n v="131652"/>
        <n v="150577"/>
        <n v="87359"/>
        <n v="51877"/>
        <n v="86417"/>
        <n v="96548"/>
        <n v="92940"/>
        <n v="61410"/>
        <n v="110302"/>
        <n v="236946"/>
        <n v="187205"/>
        <n v="81687"/>
        <n v="241083"/>
        <n v="223805"/>
        <n v="161759"/>
        <n v="95899"/>
        <n v="80700"/>
        <n v="128136"/>
        <n v="58745"/>
        <n v="76202"/>
        <n v="48906"/>
        <n v="195200"/>
        <n v="71454"/>
        <n v="94652"/>
        <n v="63411"/>
        <n v="67171"/>
        <n v="152036"/>
        <n v="95562"/>
        <n v="96092"/>
        <n v="254289"/>
        <n v="69110"/>
        <n v="80024"/>
        <n v="236314"/>
        <n v="45206"/>
        <n v="210708"/>
        <n v="87770"/>
        <n v="106858"/>
        <n v="155788"/>
        <n v="74891"/>
        <n v="95670"/>
        <n v="67837"/>
        <n v="72425"/>
        <n v="54415"/>
        <n v="93103"/>
        <n v="76272"/>
        <n v="55760"/>
        <n v="253294"/>
        <n v="58671"/>
        <n v="55457"/>
        <n v="72340"/>
        <n v="122054"/>
        <n v="167100"/>
        <n v="78153"/>
        <n v="120341"/>
        <n v="103524"/>
        <n v="119906"/>
        <n v="45061"/>
        <n v="91399"/>
        <n v="97336"/>
        <n v="124629"/>
        <n v="231850"/>
        <n v="128329"/>
        <n v="186033"/>
        <n v="121480"/>
        <n v="208415"/>
        <n v="153275"/>
        <n v="97830"/>
        <n v="239394"/>
        <n v="49738"/>
        <n v="45049"/>
        <n v="153628"/>
        <n v="142731"/>
        <n v="137106"/>
        <n v="183239"/>
        <n v="45819"/>
        <n v="119746"/>
        <n v="78844"/>
        <n v="55518"/>
        <n v="108134"/>
        <n v="113950"/>
        <n v="182035"/>
        <n v="181356"/>
        <n v="66084"/>
        <n v="76912"/>
        <n v="67987"/>
        <n v="59833"/>
        <n v="128468"/>
        <n v="76354"/>
        <n v="102440"/>
        <n v="246619"/>
        <n v="101143"/>
        <n v="51404"/>
        <n v="87292"/>
        <n v="182321"/>
        <n v="53929"/>
        <n v="191571"/>
        <n v="150555"/>
        <n v="122890"/>
        <n v="165927"/>
        <n v="216999"/>
        <n v="110565"/>
        <n v="48762"/>
        <n v="87036"/>
        <n v="177443"/>
        <n v="75862"/>
        <n v="90870"/>
        <n v="99202"/>
        <n v="92293"/>
        <n v="63196"/>
        <n v="109812"/>
        <n v="65340"/>
        <n v="202680"/>
        <n v="77461"/>
        <n v="109680"/>
        <n v="159567"/>
        <n v="94407"/>
        <n v="234594"/>
        <n v="43080"/>
        <n v="129541"/>
        <n v="165756"/>
        <n v="86299"/>
        <n v="142878"/>
        <n v="187992"/>
        <n v="249801"/>
        <n v="76505"/>
        <n v="84297"/>
        <n v="75769"/>
        <n v="235619"/>
        <n v="187187"/>
        <n v="68987"/>
        <n v="155926"/>
        <n v="206624"/>
        <n v="93668"/>
        <n v="69647"/>
        <n v="63318"/>
        <n v="77629"/>
        <n v="138808"/>
        <n v="88777"/>
        <n v="186378"/>
        <n v="60017"/>
        <n v="148991"/>
        <n v="97398"/>
        <n v="53215"/>
        <n v="72805"/>
        <n v="72131"/>
        <n v="104668"/>
        <n v="89769"/>
        <n v="127616"/>
        <n v="109883"/>
        <n v="47974"/>
        <n v="120321"/>
        <n v="57446"/>
        <n v="174099"/>
        <n v="86858"/>
        <n v="128703"/>
        <n v="65247"/>
        <n v="64247"/>
        <n v="118253"/>
        <n v="109422"/>
        <n v="126950"/>
        <n v="97500"/>
        <n v="41844"/>
        <n v="58875"/>
        <n v="64204"/>
        <n v="93971"/>
        <n v="67743"/>
        <n v="71677"/>
        <n v="40063"/>
        <n v="40124"/>
        <n v="103183"/>
        <n v="95239"/>
        <n v="75012"/>
        <n v="96366"/>
        <n v="40897"/>
        <n v="124928"/>
        <n v="57008"/>
        <n v="108221"/>
        <n v="75579"/>
        <n v="129903"/>
        <n v="186870"/>
        <n v="57531"/>
        <n v="55894"/>
        <n v="72903"/>
        <n v="45369"/>
        <n v="106578"/>
        <n v="92994"/>
        <n v="41336"/>
        <n v="141899"/>
        <n v="83685"/>
        <n v="99335"/>
        <n v="131179"/>
        <n v="73899"/>
        <n v="252325"/>
        <n v="52697"/>
        <n v="123588"/>
        <n v="243568"/>
        <n v="199176"/>
        <n v="82806"/>
        <n v="64847"/>
        <n v="164399"/>
        <n v="154956"/>
        <n v="143970"/>
        <n v="163143"/>
        <n v="89390"/>
        <n v="67468"/>
        <n v="100810"/>
        <n v="74779"/>
        <n v="63985"/>
        <n v="77903"/>
        <n v="116878"/>
        <n v="164396"/>
        <n v="71234"/>
        <n v="122487"/>
        <n v="101870"/>
        <n v="40316"/>
        <n v="115145"/>
        <n v="62335"/>
        <n v="41561"/>
        <n v="131183"/>
        <n v="92655"/>
        <n v="70505"/>
        <n v="64462"/>
        <n v="79352"/>
        <n v="157812"/>
        <n v="80745"/>
        <n v="75354"/>
        <n v="78938"/>
        <n v="96313"/>
        <n v="153767"/>
        <n v="103423"/>
        <n v="189702"/>
        <n v="86464"/>
        <n v="80516"/>
        <n v="105390"/>
        <n v="83418"/>
        <n v="66660"/>
        <n v="101985"/>
        <n v="199504"/>
        <n v="147966"/>
        <n v="41728"/>
        <n v="94422"/>
        <n v="180664"/>
        <n v="191026"/>
        <n v="186725"/>
        <n v="52800"/>
        <n v="113982"/>
        <n v="56239"/>
        <n v="44732"/>
        <n v="153961"/>
        <n v="68337"/>
        <n v="145093"/>
        <n v="74170"/>
        <n v="48345"/>
        <n v="62605"/>
        <n v="107195"/>
        <n v="127422"/>
        <n v="161269"/>
        <n v="203445"/>
        <n v="131353"/>
        <n v="88182"/>
        <n v="75780"/>
        <n v="52621"/>
        <n v="106079"/>
        <n v="152214"/>
        <n v="92058"/>
        <n v="67114"/>
        <n v="56565"/>
        <n v="64937"/>
        <n v="127626"/>
        <n v="88478"/>
        <n v="91679"/>
        <n v="199848"/>
        <n v="61944"/>
        <n v="154624"/>
        <n v="69803"/>
        <n v="79447"/>
        <n v="71111"/>
        <n v="159538"/>
        <n v="111404"/>
        <n v="172007"/>
        <n v="219474"/>
        <n v="174415"/>
        <n v="90333"/>
        <n v="67299"/>
        <n v="45286"/>
        <n v="76588"/>
        <n v="194723"/>
        <n v="109850"/>
        <n v="45295"/>
        <n v="61310"/>
        <n v="87851"/>
        <n v="47913"/>
        <n v="46727"/>
        <n v="133400"/>
        <n v="90535"/>
        <n v="93343"/>
        <n v="113527"/>
        <n v="84596"/>
        <n v="63705"/>
        <n v="258081"/>
        <n v="54654"/>
        <n v="58006"/>
        <n v="150034"/>
        <n v="198562"/>
        <n v="62411"/>
        <n v="111299"/>
        <n v="41545"/>
        <n v="74467"/>
        <n v="114441"/>
        <n v="117545"/>
        <n v="117226"/>
        <n v="55767"/>
        <n v="60930"/>
        <n v="154973"/>
        <n v="69332"/>
        <n v="119699"/>
        <n v="198176"/>
        <n v="58586"/>
        <n v="74010"/>
        <n v="140402"/>
        <n v="96598"/>
        <n v="106444"/>
        <n v="156931"/>
        <n v="171360"/>
        <n v="64505"/>
        <n v="102298"/>
        <n v="133297"/>
        <n v="155080"/>
        <n v="81828"/>
        <n v="149417"/>
        <n v="59817"/>
        <n v="113269"/>
        <n v="136716"/>
        <n v="122644"/>
        <n v="106428"/>
        <n v="238236"/>
        <n v="153253"/>
        <n v="103707"/>
        <n v="245360"/>
        <n v="67275"/>
        <n v="101288"/>
        <n v="55854"/>
        <n v="91400"/>
        <n v="181247"/>
        <n v="135558"/>
        <n v="56878"/>
        <n v="94735"/>
        <n v="51234"/>
        <n v="230025"/>
        <n v="134006"/>
        <n v="103096"/>
        <n v="95998"/>
        <n v="58703"/>
        <n v="132544"/>
        <n v="126671"/>
        <n v="56405"/>
        <n v="88730"/>
        <n v="62861"/>
        <n v="151246"/>
        <n v="154388"/>
        <n v="162978"/>
        <n v="80170"/>
        <n v="154941"/>
        <n v="98520"/>
        <n v="116527"/>
        <n v="174607"/>
        <n v="64202"/>
        <n v="50883"/>
        <n v="94618"/>
        <n v="151556"/>
        <n v="80659"/>
        <n v="195385"/>
        <n v="52693"/>
        <n v="247022"/>
        <n v="72045"/>
        <n v="62749"/>
        <n v="154884"/>
        <n v="96566"/>
        <n v="54994"/>
        <n v="61523"/>
        <n v="190512"/>
        <n v="124827"/>
        <n v="101577"/>
        <n v="105223"/>
        <n v="88072"/>
        <n v="94815"/>
        <n v="114893"/>
        <n v="80622"/>
        <n v="246589"/>
        <n v="119397"/>
        <n v="150666"/>
        <n v="148035"/>
        <n v="158898"/>
        <n v="89659"/>
        <n v="171487"/>
        <n v="67925"/>
        <n v="258498"/>
        <n v="146961"/>
        <n v="85369"/>
        <n v="67489"/>
        <n v="166259"/>
        <n v="47032"/>
        <n v="98427"/>
        <n v="47387"/>
        <n v="176710"/>
        <n v="95960"/>
        <s v="Formula1" f="1"/>
        <s v="Formula2" f="1"/>
        <s v="Formula3" f="1"/>
        <s v="Formula4" f="1"/>
        <s v="Formula5" f="1"/>
      </sharedItems>
    </cacheField>
    <cacheField name="Bonus %" numFmtId="0">
      <sharedItems containsSemiMixedTypes="0" containsString="0" containsNumber="1" minValue="0" maxValue="0.4"/>
    </cacheField>
    <cacheField name="Total salary" numFmtId="0">
      <sharedItems containsSemiMixedTypes="0" containsString="0" containsNumber="1" minValue="0" maxValue="103370.40000000001"/>
    </cacheField>
    <cacheField name="Country" numFmtId="0">
      <sharedItems count="3">
        <s v="United States"/>
        <s v="China"/>
        <s v="Brazil"/>
      </sharedItems>
    </cacheField>
    <cacheField name="City" numFmtId="0">
      <sharedItems/>
    </cacheField>
    <cacheField name="Exit Date" numFmtId="22">
      <sharedItems containsNonDate="0" containsDate="1" containsString="0" containsBlank="1" minDate="1994-12-18T00:00:00" maxDate="2022-08-18T00:00:00"/>
    </cacheField>
  </cacheFields>
  <calculatedItems count="5">
    <calculatedItem>
      <pivotArea cacheIndex="1" outline="0" fieldPosition="0">
        <references count="1">
          <reference field="8" count="1">
            <x v="996"/>
          </reference>
        </references>
      </pivotArea>
    </calculatedItem>
    <calculatedItem>
      <pivotArea cacheIndex="1" outline="0" fieldPosition="0">
        <references count="1">
          <reference field="8" count="1">
            <x v="997"/>
          </reference>
        </references>
      </pivotArea>
    </calculatedItem>
    <calculatedItem>
      <pivotArea cacheIndex="1" outline="0" fieldPosition="0">
        <references count="1">
          <reference field="8" count="1">
            <x v="998"/>
          </reference>
        </references>
      </pivotArea>
    </calculatedItem>
    <calculatedItem>
      <pivotArea cacheIndex="1" outline="0" fieldPosition="0">
        <references count="1">
          <reference field="8" count="1">
            <x v="999"/>
          </reference>
        </references>
      </pivotArea>
    </calculatedItem>
    <calculatedItem>
      <pivotArea cacheIndex="1" outline="0" fieldPosition="0">
        <references count="1">
          <reference field="8" count="1">
            <x v="1000"/>
          </reference>
        </references>
      </pivotArea>
    </calculatedItem>
  </calculatedItems>
  <extLst>
    <ext xmlns:x14="http://schemas.microsoft.com/office/spreadsheetml/2009/9/main" uri="{725AE2AE-9491-48be-B2B4-4EB974FC3084}">
      <x14:pivotCacheDefinition pivotCacheId="18671704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91.96585104167" createdVersion="8" refreshedVersion="8" minRefreshableVersion="3" recordCount="1300" xr:uid="{C12B748D-941F-449A-96AB-AD53F9B180E2}">
  <cacheSource type="worksheet">
    <worksheetSource name="sales9"/>
  </cacheSource>
  <cacheFields count="10">
    <cacheField name="Order ID" numFmtId="0">
      <sharedItems/>
    </cacheField>
    <cacheField name="Date" numFmtId="22">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6" maxValue="230"/>
    </cacheField>
    <cacheField name="Total sales " numFmtId="0">
      <sharedItems containsSemiMixedTypes="0" containsString="0" containsNumber="1" containsInteger="1" minValue="32" maxValue="5290"/>
    </cacheField>
    <cacheField name="Commission" numFmtId="0">
      <sharedItems containsSemiMixedTypes="0" containsString="0" containsNumber="1" minValue="0.01" maxValue="0.12"/>
    </cacheField>
    <cacheField name="Total commisstion" numFmtId="0">
      <sharedItems containsSemiMixedTypes="0" containsString="0" containsNumber="1" minValue="0.96" maxValue="556.6"/>
    </cacheField>
    <cacheField name="State" numFmtId="0">
      <sharedItems count="12">
        <s v="Meghalaya"/>
        <s v="Uttar Pradesh"/>
        <s v="Maharashtra"/>
        <s v="Delhi"/>
        <s v="West Bengal"/>
        <s v="Bihar"/>
        <s v="Goa"/>
        <s v="Karnataka"/>
        <s v="Gujarat"/>
        <s v="Jharkhand"/>
        <s v="Haryana"/>
        <s v="Kerala"/>
      </sharedItems>
    </cacheField>
  </cacheFields>
  <extLst>
    <ext xmlns:x14="http://schemas.microsoft.com/office/spreadsheetml/2009/9/main" uri="{725AE2AE-9491-48be-B2B4-4EB974FC3084}">
      <x14:pivotCacheDefinition pivotCacheId="784101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1"/>
    <x v="0"/>
    <x v="0"/>
    <x v="0"/>
    <x v="0"/>
    <n v="55"/>
    <x v="0"/>
    <d v="2016-04-08T00:00:00"/>
    <x v="0"/>
    <n v="0.15"/>
    <n v="21240.6"/>
    <x v="0"/>
    <s v="Seattle"/>
    <d v="2021-10-16T00:00:00"/>
  </r>
  <r>
    <s v="emp-10"/>
    <x v="1"/>
    <x v="1"/>
    <x v="1"/>
    <x v="0"/>
    <n v="34"/>
    <x v="1"/>
    <d v="2018-06-13T00:00:00"/>
    <x v="1"/>
    <n v="0"/>
    <n v="0"/>
    <x v="0"/>
    <s v="Chicago"/>
    <m/>
  </r>
  <r>
    <s v="emp-100"/>
    <x v="2"/>
    <x v="2"/>
    <x v="2"/>
    <x v="0"/>
    <n v="31"/>
    <x v="1"/>
    <d v="2020-08-20T00:00:00"/>
    <x v="2"/>
    <n v="0.3"/>
    <n v="65907.899999999994"/>
    <x v="0"/>
    <s v="Austin"/>
    <m/>
  </r>
  <r>
    <s v="emp-1000"/>
    <x v="2"/>
    <x v="3"/>
    <x v="3"/>
    <x v="0"/>
    <n v="63"/>
    <x v="0"/>
    <d v="2020-07-26T00:00:00"/>
    <x v="3"/>
    <n v="0.31"/>
    <n v="67020.45"/>
    <x v="0"/>
    <s v="Miami"/>
    <m/>
  </r>
  <r>
    <s v="emp-101"/>
    <x v="3"/>
    <x v="4"/>
    <x v="0"/>
    <x v="0"/>
    <n v="45"/>
    <x v="2"/>
    <d v="2013-04-22T00:00:00"/>
    <x v="4"/>
    <n v="0"/>
    <n v="0"/>
    <x v="0"/>
    <s v="Seattle"/>
    <m/>
  </r>
  <r>
    <s v="emp-102"/>
    <x v="4"/>
    <x v="0"/>
    <x v="1"/>
    <x v="0"/>
    <n v="48"/>
    <x v="2"/>
    <d v="2007-01-09T00:00:00"/>
    <x v="5"/>
    <n v="0.09"/>
    <n v="6709.1399999999994"/>
    <x v="0"/>
    <s v="Seattle"/>
    <m/>
  </r>
  <r>
    <s v="emp-103"/>
    <x v="5"/>
    <x v="4"/>
    <x v="1"/>
    <x v="1"/>
    <n v="56"/>
    <x v="0"/>
    <d v="2015-01-27T00:00:00"/>
    <x v="6"/>
    <n v="0"/>
    <n v="0"/>
    <x v="0"/>
    <s v="Miami"/>
    <m/>
  </r>
  <r>
    <s v="emp-104"/>
    <x v="6"/>
    <x v="5"/>
    <x v="3"/>
    <x v="0"/>
    <n v="27"/>
    <x v="1"/>
    <d v="2021-02-23T00:00:00"/>
    <x v="7"/>
    <n v="0.16"/>
    <n v="31846.560000000001"/>
    <x v="1"/>
    <s v="Beijing"/>
    <m/>
  </r>
  <r>
    <s v="emp-105"/>
    <x v="7"/>
    <x v="3"/>
    <x v="1"/>
    <x v="1"/>
    <n v="55"/>
    <x v="0"/>
    <d v="2007-04-05T00:00:00"/>
    <x v="8"/>
    <n v="0"/>
    <n v="0"/>
    <x v="0"/>
    <s v="Miami"/>
    <d v="2018-10-12T00:00:00"/>
  </r>
  <r>
    <s v="emp-106"/>
    <x v="0"/>
    <x v="1"/>
    <x v="1"/>
    <x v="1"/>
    <n v="64"/>
    <x v="0"/>
    <d v="2013-06-29T00:00:00"/>
    <x v="9"/>
    <n v="0.1"/>
    <n v="15957.1"/>
    <x v="0"/>
    <s v="Columbus"/>
    <m/>
  </r>
  <r>
    <s v="emp-107"/>
    <x v="8"/>
    <x v="4"/>
    <x v="0"/>
    <x v="0"/>
    <n v="50"/>
    <x v="2"/>
    <d v="1997-10-23T00:00:00"/>
    <x v="10"/>
    <n v="0"/>
    <n v="0"/>
    <x v="0"/>
    <s v="Austin"/>
    <m/>
  </r>
  <r>
    <s v="emp-108"/>
    <x v="5"/>
    <x v="4"/>
    <x v="3"/>
    <x v="0"/>
    <n v="51"/>
    <x v="2"/>
    <d v="1995-12-22T00:00:00"/>
    <x v="11"/>
    <n v="0"/>
    <n v="0"/>
    <x v="0"/>
    <s v="Austin"/>
    <m/>
  </r>
  <r>
    <s v="emp-109"/>
    <x v="9"/>
    <x v="4"/>
    <x v="2"/>
    <x v="1"/>
    <n v="36"/>
    <x v="3"/>
    <d v="2016-12-02T00:00:00"/>
    <x v="12"/>
    <n v="0"/>
    <n v="0"/>
    <x v="0"/>
    <s v="Columbus"/>
    <m/>
  </r>
  <r>
    <s v="emp-11"/>
    <x v="0"/>
    <x v="5"/>
    <x v="2"/>
    <x v="0"/>
    <n v="36"/>
    <x v="3"/>
    <d v="2009-02-11T00:00:00"/>
    <x v="13"/>
    <n v="0.15"/>
    <n v="23599.95"/>
    <x v="0"/>
    <s v="Miami"/>
    <m/>
  </r>
  <r>
    <s v="emp-110"/>
    <x v="6"/>
    <x v="1"/>
    <x v="0"/>
    <x v="1"/>
    <n v="42"/>
    <x v="3"/>
    <d v="2003-01-15T00:00:00"/>
    <x v="14"/>
    <n v="0.26"/>
    <n v="43315.74"/>
    <x v="0"/>
    <s v="Seattle"/>
    <m/>
  </r>
  <r>
    <s v="emp-111"/>
    <x v="10"/>
    <x v="2"/>
    <x v="3"/>
    <x v="0"/>
    <n v="41"/>
    <x v="3"/>
    <d v="2005-02-15T00:00:00"/>
    <x v="15"/>
    <n v="0"/>
    <n v="0"/>
    <x v="1"/>
    <s v="Shanghai"/>
    <m/>
  </r>
  <r>
    <s v="emp-112"/>
    <x v="6"/>
    <x v="0"/>
    <x v="0"/>
    <x v="0"/>
    <n v="29"/>
    <x v="1"/>
    <d v="2020-08-09T00:00:00"/>
    <x v="16"/>
    <n v="0.15"/>
    <n v="24180.45"/>
    <x v="1"/>
    <s v="Chengdu"/>
    <m/>
  </r>
  <r>
    <s v="emp-113"/>
    <x v="11"/>
    <x v="0"/>
    <x v="2"/>
    <x v="0"/>
    <n v="44"/>
    <x v="3"/>
    <d v="2006-12-13T00:00:00"/>
    <x v="17"/>
    <n v="0"/>
    <n v="0"/>
    <x v="0"/>
    <s v="Miami"/>
    <m/>
  </r>
  <r>
    <s v="emp-114"/>
    <x v="6"/>
    <x v="2"/>
    <x v="0"/>
    <x v="0"/>
    <n v="41"/>
    <x v="3"/>
    <d v="2018-08-10T00:00:00"/>
    <x v="18"/>
    <n v="0.21"/>
    <n v="35946.33"/>
    <x v="0"/>
    <s v="Columbus"/>
    <m/>
  </r>
  <r>
    <s v="emp-115"/>
    <x v="2"/>
    <x v="2"/>
    <x v="3"/>
    <x v="1"/>
    <n v="61"/>
    <x v="0"/>
    <d v="2019-09-24T00:00:00"/>
    <x v="19"/>
    <n v="0.37"/>
    <n v="74541.679999999993"/>
    <x v="0"/>
    <s v="Chicago"/>
    <m/>
  </r>
  <r>
    <s v="emp-116"/>
    <x v="6"/>
    <x v="5"/>
    <x v="3"/>
    <x v="1"/>
    <n v="50"/>
    <x v="2"/>
    <d v="1998-07-22T00:00:00"/>
    <x v="20"/>
    <n v="0.15"/>
    <n v="26234.25"/>
    <x v="0"/>
    <s v="Chicago"/>
    <m/>
  </r>
  <r>
    <s v="emp-117"/>
    <x v="0"/>
    <x v="0"/>
    <x v="2"/>
    <x v="0"/>
    <n v="49"/>
    <x v="2"/>
    <d v="2006-04-18T00:00:00"/>
    <x v="21"/>
    <n v="0.14000000000000001"/>
    <n v="18828.04"/>
    <x v="0"/>
    <s v="Austin"/>
    <m/>
  </r>
  <r>
    <s v="emp-118"/>
    <x v="1"/>
    <x v="1"/>
    <x v="2"/>
    <x v="0"/>
    <n v="60"/>
    <x v="0"/>
    <d v="2007-02-24T00:00:00"/>
    <x v="22"/>
    <n v="0"/>
    <n v="0"/>
    <x v="2"/>
    <s v="Manaus"/>
    <m/>
  </r>
  <r>
    <s v="emp-119"/>
    <x v="1"/>
    <x v="6"/>
    <x v="3"/>
    <x v="0"/>
    <n v="42"/>
    <x v="3"/>
    <d v="2021-01-02T00:00:00"/>
    <x v="23"/>
    <n v="0"/>
    <n v="0"/>
    <x v="0"/>
    <s v="Seattle"/>
    <m/>
  </r>
  <r>
    <s v="emp-12"/>
    <x v="9"/>
    <x v="4"/>
    <x v="1"/>
    <x v="0"/>
    <n v="27"/>
    <x v="1"/>
    <d v="2021-10-21T00:00:00"/>
    <x v="24"/>
    <n v="0"/>
    <n v="0"/>
    <x v="0"/>
    <s v="Seattle"/>
    <m/>
  </r>
  <r>
    <s v="emp-120"/>
    <x v="12"/>
    <x v="1"/>
    <x v="3"/>
    <x v="1"/>
    <n v="39"/>
    <x v="3"/>
    <d v="2010-01-14T00:00:00"/>
    <x v="25"/>
    <n v="7.0000000000000007E-2"/>
    <n v="7245.2800000000007"/>
    <x v="1"/>
    <s v="Chengdu"/>
    <m/>
  </r>
  <r>
    <s v="emp-121"/>
    <x v="13"/>
    <x v="0"/>
    <x v="2"/>
    <x v="0"/>
    <n v="55"/>
    <x v="0"/>
    <d v="2005-08-09T00:00:00"/>
    <x v="26"/>
    <n v="0"/>
    <n v="0"/>
    <x v="0"/>
    <s v="Miami"/>
    <m/>
  </r>
  <r>
    <s v="emp-122"/>
    <x v="7"/>
    <x v="1"/>
    <x v="1"/>
    <x v="0"/>
    <n v="39"/>
    <x v="3"/>
    <d v="2006-04-06T00:00:00"/>
    <x v="27"/>
    <n v="0"/>
    <n v="0"/>
    <x v="0"/>
    <s v="Columbus"/>
    <m/>
  </r>
  <r>
    <s v="emp-123"/>
    <x v="14"/>
    <x v="0"/>
    <x v="1"/>
    <x v="1"/>
    <n v="28"/>
    <x v="1"/>
    <d v="2019-03-06T00:00:00"/>
    <x v="28"/>
    <n v="0"/>
    <n v="0"/>
    <x v="0"/>
    <s v="Chicago"/>
    <m/>
  </r>
  <r>
    <s v="emp-124"/>
    <x v="12"/>
    <x v="6"/>
    <x v="2"/>
    <x v="0"/>
    <n v="65"/>
    <x v="4"/>
    <d v="2011-09-07T00:00:00"/>
    <x v="29"/>
    <n v="0.1"/>
    <n v="10490.300000000001"/>
    <x v="0"/>
    <s v="Columbus"/>
    <m/>
  </r>
  <r>
    <s v="emp-125"/>
    <x v="15"/>
    <x v="1"/>
    <x v="3"/>
    <x v="0"/>
    <n v="52"/>
    <x v="2"/>
    <d v="2019-02-19T00:00:00"/>
    <x v="30"/>
    <n v="0"/>
    <n v="0"/>
    <x v="1"/>
    <s v="Beijing"/>
    <m/>
  </r>
  <r>
    <s v="emp-126"/>
    <x v="16"/>
    <x v="4"/>
    <x v="3"/>
    <x v="0"/>
    <n v="62"/>
    <x v="0"/>
    <d v="2006-10-12T00:00:00"/>
    <x v="31"/>
    <n v="0"/>
    <n v="0"/>
    <x v="0"/>
    <s v="Austin"/>
    <m/>
  </r>
  <r>
    <s v="emp-127"/>
    <x v="1"/>
    <x v="6"/>
    <x v="3"/>
    <x v="0"/>
    <n v="39"/>
    <x v="3"/>
    <d v="2007-11-05T00:00:00"/>
    <x v="32"/>
    <n v="0"/>
    <n v="0"/>
    <x v="1"/>
    <s v="Beijing"/>
    <m/>
  </r>
  <r>
    <s v="emp-128"/>
    <x v="17"/>
    <x v="0"/>
    <x v="2"/>
    <x v="0"/>
    <n v="63"/>
    <x v="0"/>
    <d v="1992-04-01T00:00:00"/>
    <x v="33"/>
    <n v="0"/>
    <n v="0"/>
    <x v="0"/>
    <s v="Phoenix"/>
    <m/>
  </r>
  <r>
    <s v="emp-129"/>
    <x v="8"/>
    <x v="4"/>
    <x v="1"/>
    <x v="1"/>
    <n v="27"/>
    <x v="1"/>
    <d v="2020-04-16T00:00:00"/>
    <x v="34"/>
    <n v="0"/>
    <n v="0"/>
    <x v="1"/>
    <s v="Chengdu"/>
    <m/>
  </r>
  <r>
    <s v="emp-13"/>
    <x v="12"/>
    <x v="5"/>
    <x v="2"/>
    <x v="1"/>
    <n v="59"/>
    <x v="0"/>
    <d v="1999-03-14T00:00:00"/>
    <x v="35"/>
    <n v="0.09"/>
    <n v="9457.74"/>
    <x v="0"/>
    <s v="Austin"/>
    <m/>
  </r>
  <r>
    <s v="emp-130"/>
    <x v="2"/>
    <x v="1"/>
    <x v="3"/>
    <x v="0"/>
    <n v="37"/>
    <x v="3"/>
    <d v="2011-12-06T00:00:00"/>
    <x v="36"/>
    <n v="0.33"/>
    <n v="74434.14"/>
    <x v="1"/>
    <s v="Shanghai"/>
    <m/>
  </r>
  <r>
    <s v="emp-131"/>
    <x v="0"/>
    <x v="0"/>
    <x v="2"/>
    <x v="1"/>
    <n v="37"/>
    <x v="3"/>
    <d v="2014-02-25T00:00:00"/>
    <x v="37"/>
    <n v="0.12"/>
    <n v="15478.08"/>
    <x v="0"/>
    <s v="Miami"/>
    <d v="2021-05-01T00:00:00"/>
  </r>
  <r>
    <s v="emp-132"/>
    <x v="8"/>
    <x v="4"/>
    <x v="1"/>
    <x v="1"/>
    <n v="46"/>
    <x v="2"/>
    <d v="1999-06-20T00:00:00"/>
    <x v="38"/>
    <n v="0"/>
    <n v="0"/>
    <x v="2"/>
    <s v="Sao Paulo"/>
    <m/>
  </r>
  <r>
    <s v="emp-133"/>
    <x v="6"/>
    <x v="5"/>
    <x v="2"/>
    <x v="0"/>
    <n v="54"/>
    <x v="2"/>
    <d v="2018-01-22T00:00:00"/>
    <x v="39"/>
    <n v="0.28000000000000003"/>
    <n v="49362.320000000007"/>
    <x v="0"/>
    <s v="Austin"/>
    <m/>
  </r>
  <r>
    <s v="emp-134"/>
    <x v="15"/>
    <x v="2"/>
    <x v="0"/>
    <x v="0"/>
    <n v="30"/>
    <x v="1"/>
    <d v="2021-02-14T00:00:00"/>
    <x v="40"/>
    <n v="0"/>
    <n v="0"/>
    <x v="1"/>
    <s v="Beijing"/>
    <m/>
  </r>
  <r>
    <s v="emp-135"/>
    <x v="2"/>
    <x v="4"/>
    <x v="3"/>
    <x v="0"/>
    <n v="28"/>
    <x v="1"/>
    <d v="2017-07-06T00:00:00"/>
    <x v="41"/>
    <n v="0.4"/>
    <n v="96195.200000000012"/>
    <x v="2"/>
    <s v="Rio de Janerio"/>
    <m/>
  </r>
  <r>
    <s v="emp-136"/>
    <x v="13"/>
    <x v="0"/>
    <x v="2"/>
    <x v="1"/>
    <n v="40"/>
    <x v="3"/>
    <d v="2011-01-22T00:00:00"/>
    <x v="42"/>
    <n v="0"/>
    <n v="0"/>
    <x v="0"/>
    <s v="Austin"/>
    <m/>
  </r>
  <r>
    <s v="emp-137"/>
    <x v="2"/>
    <x v="5"/>
    <x v="2"/>
    <x v="0"/>
    <n v="49"/>
    <x v="2"/>
    <d v="2003-02-28T00:00:00"/>
    <x v="43"/>
    <n v="0.37"/>
    <n v="78177.67"/>
    <x v="1"/>
    <s v="Chongqing"/>
    <m/>
  </r>
  <r>
    <s v="emp-138"/>
    <x v="2"/>
    <x v="2"/>
    <x v="0"/>
    <x v="1"/>
    <n v="39"/>
    <x v="3"/>
    <d v="2011-08-23T00:00:00"/>
    <x v="44"/>
    <n v="0.3"/>
    <n v="74851.8"/>
    <x v="2"/>
    <s v="Rio de Janerio"/>
    <m/>
  </r>
  <r>
    <s v="emp-139"/>
    <x v="18"/>
    <x v="4"/>
    <x v="1"/>
    <x v="1"/>
    <n v="61"/>
    <x v="0"/>
    <d v="2002-11-22T00:00:00"/>
    <x v="45"/>
    <n v="0"/>
    <n v="0"/>
    <x v="1"/>
    <s v="Chongqing"/>
    <m/>
  </r>
  <r>
    <s v="emp-14"/>
    <x v="0"/>
    <x v="1"/>
    <x v="0"/>
    <x v="0"/>
    <n v="51"/>
    <x v="2"/>
    <d v="2021-06-10T00:00:00"/>
    <x v="46"/>
    <n v="0.1"/>
    <n v="14674.2"/>
    <x v="1"/>
    <s v="Shanghai"/>
    <m/>
  </r>
  <r>
    <s v="emp-140"/>
    <x v="19"/>
    <x v="4"/>
    <x v="0"/>
    <x v="0"/>
    <n v="46"/>
    <x v="2"/>
    <d v="2021-01-10T00:00:00"/>
    <x v="47"/>
    <n v="0"/>
    <n v="0"/>
    <x v="1"/>
    <s v="Chengdu"/>
    <m/>
  </r>
  <r>
    <s v="emp-141"/>
    <x v="1"/>
    <x v="6"/>
    <x v="1"/>
    <x v="0"/>
    <n v="35"/>
    <x v="3"/>
    <d v="2019-09-07T00:00:00"/>
    <x v="48"/>
    <n v="0"/>
    <n v="0"/>
    <x v="0"/>
    <s v="Austin"/>
    <m/>
  </r>
  <r>
    <s v="emp-142"/>
    <x v="2"/>
    <x v="4"/>
    <x v="3"/>
    <x v="1"/>
    <n v="33"/>
    <x v="1"/>
    <d v="2015-06-18T00:00:00"/>
    <x v="49"/>
    <n v="0.3"/>
    <n v="61594.2"/>
    <x v="0"/>
    <s v="Columbus"/>
    <m/>
  </r>
  <r>
    <s v="emp-143"/>
    <x v="2"/>
    <x v="5"/>
    <x v="3"/>
    <x v="0"/>
    <n v="61"/>
    <x v="0"/>
    <d v="2017-03-10T00:00:00"/>
    <x v="50"/>
    <n v="0.33"/>
    <n v="64993.83"/>
    <x v="1"/>
    <s v="Beijing"/>
    <m/>
  </r>
  <r>
    <s v="emp-144"/>
    <x v="20"/>
    <x v="0"/>
    <x v="1"/>
    <x v="1"/>
    <n v="45"/>
    <x v="2"/>
    <d v="2005-09-18T00:00:00"/>
    <x v="51"/>
    <n v="0"/>
    <n v="0"/>
    <x v="1"/>
    <s v="Beijing"/>
    <m/>
  </r>
  <r>
    <s v="emp-145"/>
    <x v="21"/>
    <x v="0"/>
    <x v="0"/>
    <x v="1"/>
    <n v="51"/>
    <x v="2"/>
    <d v="2008-04-15T00:00:00"/>
    <x v="52"/>
    <n v="0"/>
    <n v="0"/>
    <x v="0"/>
    <s v="Columbus"/>
    <m/>
  </r>
  <r>
    <s v="emp-146"/>
    <x v="12"/>
    <x v="5"/>
    <x v="2"/>
    <x v="1"/>
    <n v="55"/>
    <x v="0"/>
    <d v="1995-11-16T00:00:00"/>
    <x v="53"/>
    <n v="0.08"/>
    <n v="10074.880000000001"/>
    <x v="1"/>
    <s v="Chongqing"/>
    <m/>
  </r>
  <r>
    <s v="emp-147"/>
    <x v="0"/>
    <x v="2"/>
    <x v="3"/>
    <x v="0"/>
    <n v="46"/>
    <x v="2"/>
    <d v="2013-07-18T00:00:00"/>
    <x v="54"/>
    <n v="0.14000000000000001"/>
    <n v="20959.68"/>
    <x v="0"/>
    <s v="Columbus"/>
    <m/>
  </r>
  <r>
    <s v="emp-148"/>
    <x v="8"/>
    <x v="4"/>
    <x v="1"/>
    <x v="1"/>
    <n v="30"/>
    <x v="1"/>
    <d v="2021-10-02T00:00:00"/>
    <x v="55"/>
    <n v="0"/>
    <n v="0"/>
    <x v="0"/>
    <s v="Seattle"/>
    <m/>
  </r>
  <r>
    <s v="emp-149"/>
    <x v="22"/>
    <x v="0"/>
    <x v="0"/>
    <x v="1"/>
    <n v="54"/>
    <x v="2"/>
    <d v="2013-07-13T00:00:00"/>
    <x v="56"/>
    <n v="0"/>
    <n v="0"/>
    <x v="1"/>
    <s v="Beijing"/>
    <m/>
  </r>
  <r>
    <s v="emp-15"/>
    <x v="1"/>
    <x v="3"/>
    <x v="1"/>
    <x v="1"/>
    <n v="31"/>
    <x v="1"/>
    <d v="2017-11-04T00:00:00"/>
    <x v="57"/>
    <n v="0"/>
    <n v="0"/>
    <x v="0"/>
    <s v="Austin"/>
    <d v="2020-03-09T00:00:00"/>
  </r>
  <r>
    <s v="emp-150"/>
    <x v="23"/>
    <x v="0"/>
    <x v="0"/>
    <x v="0"/>
    <n v="54"/>
    <x v="2"/>
    <d v="1998-05-18T00:00:00"/>
    <x v="58"/>
    <n v="0"/>
    <n v="0"/>
    <x v="0"/>
    <s v="Phoenix"/>
    <m/>
  </r>
  <r>
    <s v="emp-151"/>
    <x v="8"/>
    <x v="4"/>
    <x v="2"/>
    <x v="1"/>
    <n v="45"/>
    <x v="2"/>
    <d v="2002-02-26T00:00:00"/>
    <x v="59"/>
    <n v="0"/>
    <n v="0"/>
    <x v="2"/>
    <s v="Sao Paulo"/>
    <m/>
  </r>
  <r>
    <s v="emp-152"/>
    <x v="1"/>
    <x v="2"/>
    <x v="1"/>
    <x v="0"/>
    <n v="49"/>
    <x v="2"/>
    <d v="1996-05-15T00:00:00"/>
    <x v="60"/>
    <n v="0"/>
    <n v="0"/>
    <x v="0"/>
    <s v="Phoenix"/>
    <m/>
  </r>
  <r>
    <s v="emp-153"/>
    <x v="7"/>
    <x v="1"/>
    <x v="0"/>
    <x v="1"/>
    <n v="55"/>
    <x v="0"/>
    <d v="2014-03-16T00:00:00"/>
    <x v="61"/>
    <n v="0"/>
    <n v="0"/>
    <x v="1"/>
    <s v="Chengdu"/>
    <m/>
  </r>
  <r>
    <s v="emp-154"/>
    <x v="13"/>
    <x v="0"/>
    <x v="2"/>
    <x v="0"/>
    <n v="62"/>
    <x v="0"/>
    <d v="2009-03-15T00:00:00"/>
    <x v="62"/>
    <n v="0"/>
    <n v="0"/>
    <x v="0"/>
    <s v="Miami"/>
    <m/>
  </r>
  <r>
    <s v="emp-155"/>
    <x v="23"/>
    <x v="0"/>
    <x v="1"/>
    <x v="0"/>
    <n v="28"/>
    <x v="1"/>
    <d v="2021-10-08T00:00:00"/>
    <x v="63"/>
    <n v="0"/>
    <n v="0"/>
    <x v="0"/>
    <s v="Phoenix"/>
    <m/>
  </r>
  <r>
    <s v="emp-156"/>
    <x v="23"/>
    <x v="0"/>
    <x v="2"/>
    <x v="1"/>
    <n v="33"/>
    <x v="1"/>
    <d v="2020-07-24T00:00:00"/>
    <x v="64"/>
    <n v="0"/>
    <n v="0"/>
    <x v="1"/>
    <s v="Chengdu"/>
    <m/>
  </r>
  <r>
    <s v="emp-157"/>
    <x v="12"/>
    <x v="0"/>
    <x v="3"/>
    <x v="1"/>
    <n v="32"/>
    <x v="1"/>
    <d v="2014-01-03T00:00:00"/>
    <x v="65"/>
    <n v="0.1"/>
    <n v="12714.800000000001"/>
    <x v="0"/>
    <s v="Miami"/>
    <m/>
  </r>
  <r>
    <s v="emp-158"/>
    <x v="2"/>
    <x v="1"/>
    <x v="1"/>
    <x v="0"/>
    <n v="32"/>
    <x v="1"/>
    <d v="2018-01-02T00:00:00"/>
    <x v="66"/>
    <n v="0.33"/>
    <n v="62783.490000000005"/>
    <x v="0"/>
    <s v="Austin"/>
    <m/>
  </r>
  <r>
    <s v="emp-159"/>
    <x v="12"/>
    <x v="3"/>
    <x v="0"/>
    <x v="1"/>
    <n v="55"/>
    <x v="0"/>
    <d v="2000-04-28T00:00:00"/>
    <x v="67"/>
    <n v="0.05"/>
    <n v="5789.9000000000005"/>
    <x v="0"/>
    <s v="Miami"/>
    <m/>
  </r>
  <r>
    <s v="emp-16"/>
    <x v="2"/>
    <x v="6"/>
    <x v="0"/>
    <x v="0"/>
    <n v="41"/>
    <x v="3"/>
    <d v="2013-03-13T00:00:00"/>
    <x v="68"/>
    <n v="0.3"/>
    <n v="74781"/>
    <x v="0"/>
    <s v="Seattle"/>
    <m/>
  </r>
  <r>
    <s v="emp-160"/>
    <x v="24"/>
    <x v="5"/>
    <x v="0"/>
    <x v="0"/>
    <n v="58"/>
    <x v="0"/>
    <d v="1994-08-21T00:00:00"/>
    <x v="69"/>
    <n v="0"/>
    <n v="0"/>
    <x v="0"/>
    <s v="Seattle"/>
    <d v="2013-12-13T00:00:00"/>
  </r>
  <r>
    <s v="emp-161"/>
    <x v="25"/>
    <x v="4"/>
    <x v="1"/>
    <x v="1"/>
    <n v="34"/>
    <x v="1"/>
    <d v="2017-11-16T00:00:00"/>
    <x v="70"/>
    <n v="0.15"/>
    <n v="16508.099999999999"/>
    <x v="0"/>
    <s v="Miami"/>
    <m/>
  </r>
  <r>
    <s v="emp-162"/>
    <x v="18"/>
    <x v="4"/>
    <x v="0"/>
    <x v="0"/>
    <n v="27"/>
    <x v="1"/>
    <d v="2021-01-28T00:00:00"/>
    <x v="71"/>
    <n v="0"/>
    <n v="0"/>
    <x v="0"/>
    <s v="Chicago"/>
    <m/>
  </r>
  <r>
    <s v="emp-163"/>
    <x v="1"/>
    <x v="2"/>
    <x v="1"/>
    <x v="1"/>
    <n v="61"/>
    <x v="0"/>
    <d v="2017-05-03T00:00:00"/>
    <x v="72"/>
    <n v="0"/>
    <n v="0"/>
    <x v="2"/>
    <s v="Sao Paulo"/>
    <m/>
  </r>
  <r>
    <s v="emp-164"/>
    <x v="13"/>
    <x v="0"/>
    <x v="2"/>
    <x v="1"/>
    <n v="47"/>
    <x v="2"/>
    <d v="1999-03-14T00:00:00"/>
    <x v="73"/>
    <n v="0"/>
    <n v="0"/>
    <x v="2"/>
    <s v="Sao Paulo"/>
    <m/>
  </r>
  <r>
    <s v="emp-165"/>
    <x v="2"/>
    <x v="6"/>
    <x v="1"/>
    <x v="1"/>
    <n v="40"/>
    <x v="3"/>
    <d v="2009-02-28T00:00:00"/>
    <x v="74"/>
    <n v="0.31"/>
    <n v="75304.89"/>
    <x v="1"/>
    <s v="Chongqing"/>
    <m/>
  </r>
  <r>
    <s v="emp-166"/>
    <x v="6"/>
    <x v="4"/>
    <x v="1"/>
    <x v="1"/>
    <n v="30"/>
    <x v="1"/>
    <d v="2018-05-20T00:00:00"/>
    <x v="75"/>
    <n v="0.28999999999999998"/>
    <n v="53466.719999999994"/>
    <x v="0"/>
    <s v="Austin"/>
    <m/>
  </r>
  <r>
    <s v="emp-167"/>
    <x v="0"/>
    <x v="1"/>
    <x v="3"/>
    <x v="1"/>
    <n v="45"/>
    <x v="2"/>
    <d v="2021-12-24T00:00:00"/>
    <x v="76"/>
    <n v="0.15"/>
    <n v="21713.1"/>
    <x v="0"/>
    <s v="Phoenix"/>
    <m/>
  </r>
  <r>
    <s v="emp-168"/>
    <x v="10"/>
    <x v="2"/>
    <x v="0"/>
    <x v="0"/>
    <n v="30"/>
    <x v="1"/>
    <d v="2016-12-18T00:00:00"/>
    <x v="77"/>
    <n v="0"/>
    <n v="0"/>
    <x v="0"/>
    <s v="Austin"/>
    <m/>
  </r>
  <r>
    <s v="emp-169"/>
    <x v="2"/>
    <x v="3"/>
    <x v="3"/>
    <x v="0"/>
    <n v="56"/>
    <x v="0"/>
    <d v="2014-03-16T00:00:00"/>
    <x v="78"/>
    <n v="0.4"/>
    <n v="76326"/>
    <x v="0"/>
    <s v="Austin"/>
    <m/>
  </r>
  <r>
    <s v="emp-17"/>
    <x v="6"/>
    <x v="1"/>
    <x v="0"/>
    <x v="0"/>
    <n v="65"/>
    <x v="4"/>
    <d v="2002-03-04T00:00:00"/>
    <x v="79"/>
    <n v="0.2"/>
    <n v="35167.4"/>
    <x v="0"/>
    <s v="Phoenix"/>
    <m/>
  </r>
  <r>
    <s v="emp-170"/>
    <x v="0"/>
    <x v="2"/>
    <x v="0"/>
    <x v="0"/>
    <n v="62"/>
    <x v="0"/>
    <d v="1999-08-02T00:00:00"/>
    <x v="80"/>
    <n v="0.14000000000000001"/>
    <n v="19319.300000000003"/>
    <x v="0"/>
    <s v="Austin"/>
    <m/>
  </r>
  <r>
    <s v="emp-171"/>
    <x v="24"/>
    <x v="5"/>
    <x v="2"/>
    <x v="0"/>
    <n v="45"/>
    <x v="2"/>
    <d v="2007-12-21T00:00:00"/>
    <x v="81"/>
    <n v="0"/>
    <n v="0"/>
    <x v="2"/>
    <s v="Manaus"/>
    <m/>
  </r>
  <r>
    <s v="emp-172"/>
    <x v="21"/>
    <x v="0"/>
    <x v="0"/>
    <x v="1"/>
    <n v="46"/>
    <x v="2"/>
    <d v="2021-10-26T00:00:00"/>
    <x v="82"/>
    <n v="0"/>
    <n v="0"/>
    <x v="1"/>
    <s v="Chongqing"/>
    <m/>
  </r>
  <r>
    <s v="emp-173"/>
    <x v="2"/>
    <x v="5"/>
    <x v="0"/>
    <x v="1"/>
    <n v="48"/>
    <x v="2"/>
    <d v="2014-03-08T00:00:00"/>
    <x v="83"/>
    <n v="0.39"/>
    <n v="76973.13"/>
    <x v="0"/>
    <s v="Austin"/>
    <m/>
  </r>
  <r>
    <s v="emp-174"/>
    <x v="6"/>
    <x v="3"/>
    <x v="2"/>
    <x v="0"/>
    <n v="27"/>
    <x v="1"/>
    <d v="2018-06-25T00:00:00"/>
    <x v="84"/>
    <n v="0.21"/>
    <n v="36560.369999999995"/>
    <x v="0"/>
    <s v="Phoenix"/>
    <m/>
  </r>
  <r>
    <s v="emp-175"/>
    <x v="12"/>
    <x v="0"/>
    <x v="1"/>
    <x v="1"/>
    <n v="53"/>
    <x v="2"/>
    <d v="2006-10-31T00:00:00"/>
    <x v="85"/>
    <n v="0.1"/>
    <n v="12012.800000000001"/>
    <x v="0"/>
    <s v="Austin"/>
    <m/>
  </r>
  <r>
    <s v="emp-176"/>
    <x v="12"/>
    <x v="6"/>
    <x v="2"/>
    <x v="0"/>
    <n v="59"/>
    <x v="0"/>
    <d v="2007-04-25T00:00:00"/>
    <x v="86"/>
    <n v="0.05"/>
    <n v="6485.4000000000005"/>
    <x v="0"/>
    <s v="Miami"/>
    <m/>
  </r>
  <r>
    <s v="emp-177"/>
    <x v="12"/>
    <x v="6"/>
    <x v="0"/>
    <x v="1"/>
    <n v="55"/>
    <x v="0"/>
    <d v="1994-09-18T00:00:00"/>
    <x v="87"/>
    <n v="0.1"/>
    <n v="10227"/>
    <x v="0"/>
    <s v="Chicago"/>
    <m/>
  </r>
  <r>
    <s v="emp-178"/>
    <x v="2"/>
    <x v="1"/>
    <x v="1"/>
    <x v="0"/>
    <n v="43"/>
    <x v="3"/>
    <d v="2005-07-31T00:00:00"/>
    <x v="88"/>
    <n v="0.31"/>
    <n v="77402.66"/>
    <x v="1"/>
    <s v="Chongqing"/>
    <m/>
  </r>
  <r>
    <s v="emp-179"/>
    <x v="15"/>
    <x v="1"/>
    <x v="2"/>
    <x v="0"/>
    <n v="55"/>
    <x v="0"/>
    <d v="2002-03-28T00:00:00"/>
    <x v="89"/>
    <n v="0"/>
    <n v="0"/>
    <x v="0"/>
    <s v="Columbus"/>
    <m/>
  </r>
  <r>
    <s v="emp-18"/>
    <x v="0"/>
    <x v="6"/>
    <x v="1"/>
    <x v="0"/>
    <n v="64"/>
    <x v="0"/>
    <d v="2003-12-01T00:00:00"/>
    <x v="90"/>
    <n v="0.13"/>
    <n v="20127.64"/>
    <x v="0"/>
    <s v="Seattle"/>
    <m/>
  </r>
  <r>
    <s v="emp-180"/>
    <x v="12"/>
    <x v="6"/>
    <x v="0"/>
    <x v="1"/>
    <n v="51"/>
    <x v="2"/>
    <d v="2020-07-02T00:00:00"/>
    <x v="91"/>
    <n v="0.08"/>
    <n v="8007.92"/>
    <x v="0"/>
    <s v="Miami"/>
    <m/>
  </r>
  <r>
    <s v="emp-181"/>
    <x v="26"/>
    <x v="0"/>
    <x v="2"/>
    <x v="0"/>
    <n v="54"/>
    <x v="2"/>
    <d v="2016-12-27T00:00:00"/>
    <x v="92"/>
    <n v="0"/>
    <n v="0"/>
    <x v="0"/>
    <s v="Miami"/>
    <m/>
  </r>
  <r>
    <s v="emp-182"/>
    <x v="1"/>
    <x v="6"/>
    <x v="1"/>
    <x v="0"/>
    <n v="47"/>
    <x v="2"/>
    <d v="2017-07-12T00:00:00"/>
    <x v="93"/>
    <n v="0"/>
    <n v="0"/>
    <x v="1"/>
    <s v="Chengdu"/>
    <m/>
  </r>
  <r>
    <s v="emp-183"/>
    <x v="15"/>
    <x v="6"/>
    <x v="3"/>
    <x v="1"/>
    <n v="55"/>
    <x v="0"/>
    <d v="2004-12-07T00:00:00"/>
    <x v="94"/>
    <n v="0"/>
    <n v="0"/>
    <x v="0"/>
    <s v="Phoenix"/>
    <m/>
  </r>
  <r>
    <s v="emp-184"/>
    <x v="20"/>
    <x v="0"/>
    <x v="2"/>
    <x v="0"/>
    <n v="50"/>
    <x v="2"/>
    <d v="2001-01-23T00:00:00"/>
    <x v="95"/>
    <n v="0"/>
    <n v="0"/>
    <x v="1"/>
    <s v="Chengdu"/>
    <m/>
  </r>
  <r>
    <s v="emp-185"/>
    <x v="27"/>
    <x v="0"/>
    <x v="0"/>
    <x v="1"/>
    <n v="31"/>
    <x v="1"/>
    <d v="2020-09-12T00:00:00"/>
    <x v="96"/>
    <n v="0"/>
    <n v="0"/>
    <x v="1"/>
    <s v="Shanghai"/>
    <m/>
  </r>
  <r>
    <s v="emp-186"/>
    <x v="17"/>
    <x v="0"/>
    <x v="1"/>
    <x v="1"/>
    <n v="47"/>
    <x v="2"/>
    <d v="1999-03-10T00:00:00"/>
    <x v="97"/>
    <n v="0"/>
    <n v="0"/>
    <x v="1"/>
    <s v="Beijing"/>
    <m/>
  </r>
  <r>
    <s v="emp-187"/>
    <x v="27"/>
    <x v="0"/>
    <x v="0"/>
    <x v="1"/>
    <n v="29"/>
    <x v="1"/>
    <d v="2019-10-15T00:00:00"/>
    <x v="98"/>
    <n v="0"/>
    <n v="0"/>
    <x v="2"/>
    <s v="Rio de Janerio"/>
    <m/>
  </r>
  <r>
    <s v="emp-188"/>
    <x v="15"/>
    <x v="6"/>
    <x v="1"/>
    <x v="1"/>
    <n v="38"/>
    <x v="3"/>
    <d v="2016-05-02T00:00:00"/>
    <x v="99"/>
    <n v="0"/>
    <n v="0"/>
    <x v="2"/>
    <s v="Rio de Janerio"/>
    <m/>
  </r>
  <r>
    <s v="emp-189"/>
    <x v="0"/>
    <x v="5"/>
    <x v="0"/>
    <x v="1"/>
    <n v="29"/>
    <x v="1"/>
    <d v="2019-05-09T00:00:00"/>
    <x v="100"/>
    <n v="0.15"/>
    <n v="18874.2"/>
    <x v="2"/>
    <s v="Sao Paulo"/>
    <m/>
  </r>
  <r>
    <s v="emp-19"/>
    <x v="6"/>
    <x v="0"/>
    <x v="3"/>
    <x v="1"/>
    <n v="64"/>
    <x v="0"/>
    <d v="2013-11-03T00:00:00"/>
    <x v="101"/>
    <n v="0.24"/>
    <n v="44760.72"/>
    <x v="0"/>
    <s v="Columbus"/>
    <m/>
  </r>
  <r>
    <s v="emp-190"/>
    <x v="24"/>
    <x v="5"/>
    <x v="2"/>
    <x v="1"/>
    <n v="33"/>
    <x v="1"/>
    <d v="2017-08-04T00:00:00"/>
    <x v="102"/>
    <n v="0"/>
    <n v="0"/>
    <x v="0"/>
    <s v="Columbus"/>
    <m/>
  </r>
  <r>
    <s v="emp-191"/>
    <x v="0"/>
    <x v="2"/>
    <x v="1"/>
    <x v="1"/>
    <n v="50"/>
    <x v="2"/>
    <d v="2003-03-25T00:00:00"/>
    <x v="103"/>
    <n v="0.13"/>
    <n v="16042.650000000001"/>
    <x v="0"/>
    <s v="Columbus"/>
    <m/>
  </r>
  <r>
    <s v="emp-192"/>
    <x v="28"/>
    <x v="2"/>
    <x v="2"/>
    <x v="0"/>
    <n v="46"/>
    <x v="2"/>
    <d v="2004-03-20T00:00:00"/>
    <x v="104"/>
    <n v="0"/>
    <n v="0"/>
    <x v="1"/>
    <s v="Beijing"/>
    <m/>
  </r>
  <r>
    <s v="emp-193"/>
    <x v="25"/>
    <x v="4"/>
    <x v="3"/>
    <x v="1"/>
    <n v="57"/>
    <x v="0"/>
    <d v="1999-04-25T00:00:00"/>
    <x v="105"/>
    <n v="0.1"/>
    <n v="9506.1"/>
    <x v="1"/>
    <s v="Shanghai"/>
    <m/>
  </r>
  <r>
    <s v="emp-194"/>
    <x v="6"/>
    <x v="2"/>
    <x v="3"/>
    <x v="0"/>
    <n v="49"/>
    <x v="2"/>
    <d v="1998-04-02T00:00:00"/>
    <x v="106"/>
    <n v="0.3"/>
    <n v="48249.599999999999"/>
    <x v="0"/>
    <s v="Phoenix"/>
    <m/>
  </r>
  <r>
    <s v="emp-195"/>
    <x v="29"/>
    <x v="0"/>
    <x v="2"/>
    <x v="1"/>
    <n v="54"/>
    <x v="2"/>
    <d v="2010-12-28T00:00:00"/>
    <x v="107"/>
    <n v="0"/>
    <n v="0"/>
    <x v="0"/>
    <s v="Columbus"/>
    <m/>
  </r>
  <r>
    <s v="emp-196"/>
    <x v="12"/>
    <x v="2"/>
    <x v="3"/>
    <x v="1"/>
    <n v="28"/>
    <x v="1"/>
    <d v="2021-03-19T00:00:00"/>
    <x v="108"/>
    <n v="0.06"/>
    <n v="7652.58"/>
    <x v="1"/>
    <s v="Shanghai"/>
    <m/>
  </r>
  <r>
    <s v="emp-197"/>
    <x v="15"/>
    <x v="6"/>
    <x v="2"/>
    <x v="1"/>
    <n v="30"/>
    <x v="1"/>
    <d v="2018-06-21T00:00:00"/>
    <x v="109"/>
    <n v="0"/>
    <n v="0"/>
    <x v="2"/>
    <s v="Sao Paulo"/>
    <m/>
  </r>
  <r>
    <s v="emp-198"/>
    <x v="2"/>
    <x v="2"/>
    <x v="2"/>
    <x v="0"/>
    <n v="36"/>
    <x v="3"/>
    <d v="2014-02-22T00:00:00"/>
    <x v="110"/>
    <n v="0.3"/>
    <n v="65559"/>
    <x v="1"/>
    <s v="Shanghai"/>
    <m/>
  </r>
  <r>
    <s v="emp-199"/>
    <x v="29"/>
    <x v="0"/>
    <x v="2"/>
    <x v="0"/>
    <n v="36"/>
    <x v="3"/>
    <d v="2019-12-19T00:00:00"/>
    <x v="111"/>
    <n v="0"/>
    <n v="0"/>
    <x v="0"/>
    <s v="Columbus"/>
    <m/>
  </r>
  <r>
    <s v="emp-2"/>
    <x v="21"/>
    <x v="0"/>
    <x v="2"/>
    <x v="1"/>
    <n v="59"/>
    <x v="0"/>
    <d v="1997-11-29T00:00:00"/>
    <x v="112"/>
    <n v="0"/>
    <n v="0"/>
    <x v="1"/>
    <s v="Chongqing"/>
    <m/>
  </r>
  <r>
    <s v="emp-20"/>
    <x v="6"/>
    <x v="2"/>
    <x v="0"/>
    <x v="1"/>
    <n v="45"/>
    <x v="2"/>
    <d v="2002-07-09T00:00:00"/>
    <x v="113"/>
    <n v="0.18"/>
    <n v="29939.579999999998"/>
    <x v="1"/>
    <s v="Chongqing"/>
    <m/>
  </r>
  <r>
    <s v="emp-200"/>
    <x v="2"/>
    <x v="6"/>
    <x v="3"/>
    <x v="0"/>
    <n v="30"/>
    <x v="1"/>
    <d v="2016-09-21T00:00:00"/>
    <x v="114"/>
    <n v="0.32"/>
    <n v="70789.440000000002"/>
    <x v="0"/>
    <s v="Columbus"/>
    <d v="2017-09-25T00:00:00"/>
  </r>
  <r>
    <s v="emp-201"/>
    <x v="11"/>
    <x v="0"/>
    <x v="2"/>
    <x v="1"/>
    <n v="29"/>
    <x v="1"/>
    <d v="2017-05-11T00:00:00"/>
    <x v="115"/>
    <n v="0"/>
    <n v="0"/>
    <x v="0"/>
    <s v="Seattle"/>
    <m/>
  </r>
  <r>
    <s v="emp-202"/>
    <x v="15"/>
    <x v="2"/>
    <x v="3"/>
    <x v="0"/>
    <n v="47"/>
    <x v="2"/>
    <d v="2015-06-09T00:00:00"/>
    <x v="116"/>
    <n v="0"/>
    <n v="0"/>
    <x v="0"/>
    <s v="Seattle"/>
    <m/>
  </r>
  <r>
    <s v="emp-203"/>
    <x v="2"/>
    <x v="4"/>
    <x v="2"/>
    <x v="1"/>
    <n v="35"/>
    <x v="3"/>
    <d v="2011-10-10T00:00:00"/>
    <x v="117"/>
    <n v="0.39"/>
    <n v="95737.98000000001"/>
    <x v="0"/>
    <s v="Seattle"/>
    <m/>
  </r>
  <r>
    <s v="emp-204"/>
    <x v="5"/>
    <x v="4"/>
    <x v="2"/>
    <x v="0"/>
    <n v="25"/>
    <x v="1"/>
    <d v="2020-01-20T00:00:00"/>
    <x v="118"/>
    <n v="0"/>
    <n v="0"/>
    <x v="0"/>
    <s v="Phoenix"/>
    <m/>
  </r>
  <r>
    <s v="emp-205"/>
    <x v="6"/>
    <x v="4"/>
    <x v="1"/>
    <x v="1"/>
    <n v="45"/>
    <x v="2"/>
    <d v="2014-08-28T00:00:00"/>
    <x v="119"/>
    <n v="0.22"/>
    <n v="40295.42"/>
    <x v="0"/>
    <s v="Miami"/>
    <m/>
  </r>
  <r>
    <s v="emp-206"/>
    <x v="30"/>
    <x v="0"/>
    <x v="3"/>
    <x v="1"/>
    <n v="58"/>
    <x v="0"/>
    <d v="1993-07-26T00:00:00"/>
    <x v="120"/>
    <n v="0"/>
    <n v="0"/>
    <x v="0"/>
    <s v="Phoenix"/>
    <m/>
  </r>
  <r>
    <s v="emp-207"/>
    <x v="16"/>
    <x v="4"/>
    <x v="1"/>
    <x v="1"/>
    <n v="51"/>
    <x v="2"/>
    <d v="1999-10-09T00:00:00"/>
    <x v="121"/>
    <n v="0"/>
    <n v="0"/>
    <x v="0"/>
    <s v="Austin"/>
    <m/>
  </r>
  <r>
    <s v="emp-208"/>
    <x v="12"/>
    <x v="5"/>
    <x v="0"/>
    <x v="1"/>
    <n v="48"/>
    <x v="2"/>
    <d v="2004-06-30T00:00:00"/>
    <x v="122"/>
    <n v="7.0000000000000007E-2"/>
    <n v="8446.2000000000007"/>
    <x v="1"/>
    <s v="Chengdu"/>
    <m/>
  </r>
  <r>
    <s v="emp-209"/>
    <x v="1"/>
    <x v="2"/>
    <x v="3"/>
    <x v="1"/>
    <n v="36"/>
    <x v="3"/>
    <d v="2021-12-26T00:00:00"/>
    <x v="123"/>
    <n v="0"/>
    <n v="0"/>
    <x v="0"/>
    <s v="Chicago"/>
    <m/>
  </r>
  <r>
    <s v="emp-21"/>
    <x v="0"/>
    <x v="0"/>
    <x v="2"/>
    <x v="1"/>
    <n v="56"/>
    <x v="0"/>
    <d v="2012-01-09T00:00:00"/>
    <x v="124"/>
    <n v="0.1"/>
    <n v="14614"/>
    <x v="2"/>
    <s v="Manaus"/>
    <m/>
  </r>
  <r>
    <s v="emp-210"/>
    <x v="2"/>
    <x v="3"/>
    <x v="0"/>
    <x v="1"/>
    <n v="59"/>
    <x v="0"/>
    <d v="2011-05-18T00:00:00"/>
    <x v="125"/>
    <n v="0.4"/>
    <n v="76885.2"/>
    <x v="0"/>
    <s v="Chicago"/>
    <m/>
  </r>
  <r>
    <s v="emp-211"/>
    <x v="28"/>
    <x v="2"/>
    <x v="1"/>
    <x v="0"/>
    <n v="45"/>
    <x v="2"/>
    <d v="2014-05-10T00:00:00"/>
    <x v="126"/>
    <n v="0"/>
    <n v="0"/>
    <x v="2"/>
    <s v="Sao Paulo"/>
    <m/>
  </r>
  <r>
    <s v="emp-212"/>
    <x v="0"/>
    <x v="2"/>
    <x v="2"/>
    <x v="1"/>
    <n v="29"/>
    <x v="1"/>
    <d v="2017-03-16T00:00:00"/>
    <x v="127"/>
    <n v="0.15"/>
    <n v="22711.95"/>
    <x v="0"/>
    <s v="Seattle"/>
    <m/>
  </r>
  <r>
    <s v="emp-213"/>
    <x v="1"/>
    <x v="3"/>
    <x v="1"/>
    <x v="1"/>
    <n v="62"/>
    <x v="0"/>
    <d v="2003-04-22T00:00:00"/>
    <x v="128"/>
    <n v="0"/>
    <n v="0"/>
    <x v="0"/>
    <s v="Seattle"/>
    <m/>
  </r>
  <r>
    <s v="emp-214"/>
    <x v="12"/>
    <x v="0"/>
    <x v="3"/>
    <x v="1"/>
    <n v="51"/>
    <x v="2"/>
    <d v="1994-02-23T00:00:00"/>
    <x v="129"/>
    <n v="0.05"/>
    <n v="6140.1"/>
    <x v="1"/>
    <s v="Shanghai"/>
    <m/>
  </r>
  <r>
    <s v="emp-215"/>
    <x v="5"/>
    <x v="4"/>
    <x v="0"/>
    <x v="1"/>
    <n v="47"/>
    <x v="2"/>
    <d v="1998-07-14T00:00:00"/>
    <x v="130"/>
    <n v="0"/>
    <n v="0"/>
    <x v="0"/>
    <s v="Austin"/>
    <m/>
  </r>
  <r>
    <s v="emp-216"/>
    <x v="9"/>
    <x v="4"/>
    <x v="2"/>
    <x v="1"/>
    <n v="40"/>
    <x v="3"/>
    <d v="2008-02-28T00:00:00"/>
    <x v="131"/>
    <n v="0"/>
    <n v="0"/>
    <x v="2"/>
    <s v="Manaus"/>
    <m/>
  </r>
  <r>
    <s v="emp-217"/>
    <x v="1"/>
    <x v="1"/>
    <x v="3"/>
    <x v="0"/>
    <n v="28"/>
    <x v="1"/>
    <d v="2020-09-04T00:00:00"/>
    <x v="132"/>
    <n v="0"/>
    <n v="0"/>
    <x v="0"/>
    <s v="Chicago"/>
    <m/>
  </r>
  <r>
    <s v="emp-218"/>
    <x v="2"/>
    <x v="6"/>
    <x v="1"/>
    <x v="0"/>
    <n v="29"/>
    <x v="1"/>
    <d v="2017-01-05T00:00:00"/>
    <x v="133"/>
    <n v="0.37"/>
    <n v="70448.37"/>
    <x v="0"/>
    <s v="Columbus"/>
    <m/>
  </r>
  <r>
    <s v="emp-219"/>
    <x v="1"/>
    <x v="1"/>
    <x v="3"/>
    <x v="1"/>
    <n v="46"/>
    <x v="2"/>
    <d v="2013-01-20T00:00:00"/>
    <x v="134"/>
    <n v="0"/>
    <n v="0"/>
    <x v="2"/>
    <s v="Rio de Janerio"/>
    <m/>
  </r>
  <r>
    <s v="emp-22"/>
    <x v="6"/>
    <x v="2"/>
    <x v="2"/>
    <x v="0"/>
    <n v="36"/>
    <x v="3"/>
    <d v="2021-04-02T00:00:00"/>
    <x v="135"/>
    <n v="0.21"/>
    <n v="31857.629999999997"/>
    <x v="0"/>
    <s v="Miami"/>
    <m/>
  </r>
  <r>
    <s v="emp-220"/>
    <x v="10"/>
    <x v="2"/>
    <x v="1"/>
    <x v="1"/>
    <n v="45"/>
    <x v="2"/>
    <d v="2021-02-10T00:00:00"/>
    <x v="136"/>
    <n v="0"/>
    <n v="0"/>
    <x v="0"/>
    <s v="Phoenix"/>
    <m/>
  </r>
  <r>
    <s v="emp-221"/>
    <x v="2"/>
    <x v="4"/>
    <x v="2"/>
    <x v="0"/>
    <n v="30"/>
    <x v="1"/>
    <d v="2018-03-06T00:00:00"/>
    <x v="137"/>
    <n v="0.36"/>
    <n v="91955.16"/>
    <x v="0"/>
    <s v="Columbus"/>
    <m/>
  </r>
  <r>
    <s v="emp-222"/>
    <x v="29"/>
    <x v="0"/>
    <x v="2"/>
    <x v="0"/>
    <n v="48"/>
    <x v="2"/>
    <d v="2003-08-22T00:00:00"/>
    <x v="138"/>
    <n v="0"/>
    <n v="0"/>
    <x v="1"/>
    <s v="Beijing"/>
    <m/>
  </r>
  <r>
    <s v="emp-223"/>
    <x v="15"/>
    <x v="1"/>
    <x v="2"/>
    <x v="0"/>
    <n v="51"/>
    <x v="2"/>
    <d v="2017-01-18T00:00:00"/>
    <x v="139"/>
    <n v="0"/>
    <n v="0"/>
    <x v="0"/>
    <s v="Columbus"/>
    <m/>
  </r>
  <r>
    <s v="emp-224"/>
    <x v="1"/>
    <x v="2"/>
    <x v="3"/>
    <x v="0"/>
    <n v="28"/>
    <x v="1"/>
    <d v="2021-07-03T00:00:00"/>
    <x v="140"/>
    <n v="0"/>
    <n v="0"/>
    <x v="0"/>
    <s v="Phoenix"/>
    <m/>
  </r>
  <r>
    <s v="emp-225"/>
    <x v="14"/>
    <x v="0"/>
    <x v="2"/>
    <x v="0"/>
    <n v="36"/>
    <x v="3"/>
    <d v="2014-05-30T00:00:00"/>
    <x v="141"/>
    <n v="0"/>
    <n v="0"/>
    <x v="0"/>
    <s v="Chicago"/>
    <m/>
  </r>
  <r>
    <s v="emp-226"/>
    <x v="10"/>
    <x v="2"/>
    <x v="3"/>
    <x v="0"/>
    <n v="40"/>
    <x v="3"/>
    <d v="2011-01-20T00:00:00"/>
    <x v="142"/>
    <n v="0"/>
    <n v="0"/>
    <x v="1"/>
    <s v="Chengdu"/>
    <m/>
  </r>
  <r>
    <s v="emp-227"/>
    <x v="6"/>
    <x v="5"/>
    <x v="0"/>
    <x v="0"/>
    <n v="51"/>
    <x v="2"/>
    <d v="2021-03-28T00:00:00"/>
    <x v="143"/>
    <n v="0.19"/>
    <n v="34330.53"/>
    <x v="0"/>
    <s v="Phoenix"/>
    <m/>
  </r>
  <r>
    <s v="emp-228"/>
    <x v="25"/>
    <x v="4"/>
    <x v="3"/>
    <x v="1"/>
    <n v="45"/>
    <x v="2"/>
    <d v="2001-04-12T00:00:00"/>
    <x v="144"/>
    <n v="0.15"/>
    <n v="14361.449999999999"/>
    <x v="0"/>
    <s v="Austin"/>
    <d v="2010-01-15T00:00:00"/>
  </r>
  <r>
    <s v="emp-229"/>
    <x v="5"/>
    <x v="4"/>
    <x v="0"/>
    <x v="0"/>
    <n v="44"/>
    <x v="3"/>
    <d v="2009-09-04T00:00:00"/>
    <x v="145"/>
    <n v="0"/>
    <n v="0"/>
    <x v="0"/>
    <s v="Austin"/>
    <m/>
  </r>
  <r>
    <s v="emp-23"/>
    <x v="6"/>
    <x v="0"/>
    <x v="0"/>
    <x v="1"/>
    <n v="59"/>
    <x v="0"/>
    <d v="2002-05-24T00:00:00"/>
    <x v="146"/>
    <n v="0.28000000000000003"/>
    <n v="48380.360000000008"/>
    <x v="2"/>
    <s v="Rio de Janerio"/>
    <m/>
  </r>
  <r>
    <s v="emp-230"/>
    <x v="12"/>
    <x v="1"/>
    <x v="2"/>
    <x v="1"/>
    <n v="64"/>
    <x v="0"/>
    <d v="1998-07-20T00:00:00"/>
    <x v="147"/>
    <n v="0.09"/>
    <n v="11047.77"/>
    <x v="1"/>
    <s v="Chongqing"/>
    <m/>
  </r>
  <r>
    <s v="emp-231"/>
    <x v="24"/>
    <x v="5"/>
    <x v="0"/>
    <x v="1"/>
    <n v="30"/>
    <x v="1"/>
    <d v="2015-03-15T00:00:00"/>
    <x v="148"/>
    <n v="0"/>
    <n v="0"/>
    <x v="0"/>
    <s v="Phoenix"/>
    <m/>
  </r>
  <r>
    <s v="emp-232"/>
    <x v="15"/>
    <x v="3"/>
    <x v="3"/>
    <x v="1"/>
    <n v="28"/>
    <x v="1"/>
    <d v="2017-05-12T00:00:00"/>
    <x v="149"/>
    <n v="0"/>
    <n v="0"/>
    <x v="1"/>
    <s v="Chongqing"/>
    <m/>
  </r>
  <r>
    <s v="emp-233"/>
    <x v="2"/>
    <x v="3"/>
    <x v="3"/>
    <x v="0"/>
    <n v="33"/>
    <x v="1"/>
    <d v="2020-12-16T00:00:00"/>
    <x v="150"/>
    <n v="0.4"/>
    <n v="103370.40000000001"/>
    <x v="2"/>
    <s v="Rio de Janerio"/>
    <m/>
  </r>
  <r>
    <s v="emp-234"/>
    <x v="12"/>
    <x v="1"/>
    <x v="1"/>
    <x v="1"/>
    <n v="51"/>
    <x v="2"/>
    <d v="1995-02-16T00:00:00"/>
    <x v="151"/>
    <n v="0.09"/>
    <n v="11283.75"/>
    <x v="0"/>
    <s v="Chicago"/>
    <m/>
  </r>
  <r>
    <s v="emp-235"/>
    <x v="2"/>
    <x v="3"/>
    <x v="2"/>
    <x v="1"/>
    <n v="25"/>
    <x v="1"/>
    <d v="2021-02-08T00:00:00"/>
    <x v="152"/>
    <n v="0.31"/>
    <n v="61455.33"/>
    <x v="0"/>
    <s v="Miami"/>
    <m/>
  </r>
  <r>
    <s v="emp-236"/>
    <x v="3"/>
    <x v="4"/>
    <x v="0"/>
    <x v="0"/>
    <n v="42"/>
    <x v="3"/>
    <d v="2017-11-23T00:00:00"/>
    <x v="153"/>
    <n v="0"/>
    <n v="0"/>
    <x v="0"/>
    <s v="Miami"/>
    <m/>
  </r>
  <r>
    <s v="emp-237"/>
    <x v="1"/>
    <x v="6"/>
    <x v="0"/>
    <x v="0"/>
    <n v="34"/>
    <x v="1"/>
    <d v="2012-06-25T00:00:00"/>
    <x v="154"/>
    <n v="0"/>
    <n v="0"/>
    <x v="0"/>
    <s v="Chicago"/>
    <d v="2013-06-05T00:00:00"/>
  </r>
  <r>
    <s v="emp-238"/>
    <x v="7"/>
    <x v="2"/>
    <x v="0"/>
    <x v="0"/>
    <n v="48"/>
    <x v="2"/>
    <d v="2014-05-14T00:00:00"/>
    <x v="155"/>
    <n v="0"/>
    <n v="0"/>
    <x v="0"/>
    <s v="Seattle"/>
    <m/>
  </r>
  <r>
    <s v="emp-239"/>
    <x v="0"/>
    <x v="3"/>
    <x v="3"/>
    <x v="1"/>
    <n v="33"/>
    <x v="1"/>
    <d v="2013-02-10T00:00:00"/>
    <x v="156"/>
    <n v="0.14000000000000001"/>
    <n v="20192.34"/>
    <x v="0"/>
    <s v="Columbus"/>
    <d v="2020-07-17T00:00:00"/>
  </r>
  <r>
    <s v="emp-24"/>
    <x v="15"/>
    <x v="2"/>
    <x v="1"/>
    <x v="1"/>
    <n v="37"/>
    <x v="3"/>
    <d v="2019-09-05T00:00:00"/>
    <x v="157"/>
    <n v="0"/>
    <n v="0"/>
    <x v="0"/>
    <s v="Seattle"/>
    <m/>
  </r>
  <r>
    <s v="emp-240"/>
    <x v="31"/>
    <x v="5"/>
    <x v="0"/>
    <x v="1"/>
    <n v="41"/>
    <x v="3"/>
    <d v="2007-10-24T00:00:00"/>
    <x v="158"/>
    <n v="0"/>
    <n v="0"/>
    <x v="1"/>
    <s v="Beijing"/>
    <m/>
  </r>
  <r>
    <s v="emp-241"/>
    <x v="0"/>
    <x v="2"/>
    <x v="3"/>
    <x v="1"/>
    <n v="55"/>
    <x v="0"/>
    <d v="2013-11-16T00:00:00"/>
    <x v="159"/>
    <n v="0.15"/>
    <n v="18619.349999999999"/>
    <x v="2"/>
    <s v="Sao Paulo"/>
    <m/>
  </r>
  <r>
    <s v="emp-242"/>
    <x v="3"/>
    <x v="4"/>
    <x v="2"/>
    <x v="1"/>
    <n v="36"/>
    <x v="3"/>
    <d v="2009-04-09T00:00:00"/>
    <x v="160"/>
    <n v="0"/>
    <n v="0"/>
    <x v="0"/>
    <s v="Seattle"/>
    <m/>
  </r>
  <r>
    <s v="emp-243"/>
    <x v="6"/>
    <x v="4"/>
    <x v="0"/>
    <x v="1"/>
    <n v="31"/>
    <x v="1"/>
    <d v="2020-08-26T00:00:00"/>
    <x v="161"/>
    <n v="0.22"/>
    <n v="41643.800000000003"/>
    <x v="2"/>
    <s v="Sao Paulo"/>
    <d v="2020-09-25T00:00:00"/>
  </r>
  <r>
    <s v="emp-244"/>
    <x v="2"/>
    <x v="0"/>
    <x v="3"/>
    <x v="0"/>
    <n v="53"/>
    <x v="2"/>
    <d v="2008-04-30T00:00:00"/>
    <x v="162"/>
    <n v="0.3"/>
    <n v="54660.6"/>
    <x v="0"/>
    <s v="Austin"/>
    <m/>
  </r>
  <r>
    <s v="emp-245"/>
    <x v="12"/>
    <x v="2"/>
    <x v="1"/>
    <x v="1"/>
    <n v="43"/>
    <x v="3"/>
    <d v="2006-01-31T00:00:00"/>
    <x v="163"/>
    <n v="7.0000000000000007E-2"/>
    <n v="8226.26"/>
    <x v="0"/>
    <s v="Seattle"/>
    <m/>
  </r>
  <r>
    <s v="emp-246"/>
    <x v="0"/>
    <x v="1"/>
    <x v="2"/>
    <x v="0"/>
    <n v="37"/>
    <x v="3"/>
    <d v="2013-02-24T00:00:00"/>
    <x v="164"/>
    <n v="0.11"/>
    <n v="17322.14"/>
    <x v="2"/>
    <s v="Rio de Janerio"/>
    <m/>
  </r>
  <r>
    <s v="emp-247"/>
    <x v="12"/>
    <x v="6"/>
    <x v="2"/>
    <x v="1"/>
    <n v="38"/>
    <x v="3"/>
    <d v="2008-04-06T00:00:00"/>
    <x v="165"/>
    <n v="0.06"/>
    <n v="7611.36"/>
    <x v="0"/>
    <s v="Columbus"/>
    <m/>
  </r>
  <r>
    <s v="emp-248"/>
    <x v="0"/>
    <x v="3"/>
    <x v="2"/>
    <x v="0"/>
    <n v="49"/>
    <x v="2"/>
    <d v="2001-04-02T00:00:00"/>
    <x v="166"/>
    <n v="0.12"/>
    <n v="15494.88"/>
    <x v="1"/>
    <s v="Shanghai"/>
    <m/>
  </r>
  <r>
    <s v="emp-249"/>
    <x v="6"/>
    <x v="2"/>
    <x v="0"/>
    <x v="0"/>
    <n v="45"/>
    <x v="2"/>
    <d v="2002-03-01T00:00:00"/>
    <x v="167"/>
    <n v="0.16"/>
    <n v="26428.959999999999"/>
    <x v="0"/>
    <s v="Seattle"/>
    <m/>
  </r>
  <r>
    <s v="emp-25"/>
    <x v="2"/>
    <x v="2"/>
    <x v="1"/>
    <x v="1"/>
    <n v="44"/>
    <x v="3"/>
    <d v="2014-03-02T00:00:00"/>
    <x v="168"/>
    <n v="0.31"/>
    <n v="64223.32"/>
    <x v="1"/>
    <s v="Chongqing"/>
    <m/>
  </r>
  <r>
    <s v="emp-250"/>
    <x v="2"/>
    <x v="1"/>
    <x v="3"/>
    <x v="1"/>
    <n v="50"/>
    <x v="2"/>
    <d v="2004-01-18T00:00:00"/>
    <x v="169"/>
    <n v="0.35"/>
    <n v="86778.65"/>
    <x v="2"/>
    <s v="Rio de Janerio"/>
    <m/>
  </r>
  <r>
    <s v="emp-251"/>
    <x v="6"/>
    <x v="4"/>
    <x v="1"/>
    <x v="1"/>
    <n v="64"/>
    <x v="0"/>
    <d v="2017-08-25T00:00:00"/>
    <x v="170"/>
    <n v="0.18"/>
    <n v="30511.62"/>
    <x v="2"/>
    <s v="Manaus"/>
    <m/>
  </r>
  <r>
    <s v="emp-252"/>
    <x v="0"/>
    <x v="3"/>
    <x v="2"/>
    <x v="0"/>
    <n v="55"/>
    <x v="0"/>
    <d v="2011-01-09T00:00:00"/>
    <x v="171"/>
    <n v="0.1"/>
    <n v="13852.1"/>
    <x v="0"/>
    <s v="Miami"/>
    <m/>
  </r>
  <r>
    <s v="emp-253"/>
    <x v="25"/>
    <x v="4"/>
    <x v="1"/>
    <x v="0"/>
    <n v="45"/>
    <x v="2"/>
    <d v="2014-03-14T00:00:00"/>
    <x v="172"/>
    <n v="0.11"/>
    <n v="12526.03"/>
    <x v="2"/>
    <s v="Rio de Janerio"/>
    <m/>
  </r>
  <r>
    <s v="emp-254"/>
    <x v="13"/>
    <x v="0"/>
    <x v="3"/>
    <x v="0"/>
    <n v="39"/>
    <x v="3"/>
    <d v="2018-05-09T00:00:00"/>
    <x v="173"/>
    <n v="0"/>
    <n v="0"/>
    <x v="0"/>
    <s v="Miami"/>
    <m/>
  </r>
  <r>
    <s v="emp-255"/>
    <x v="29"/>
    <x v="0"/>
    <x v="1"/>
    <x v="0"/>
    <n v="40"/>
    <x v="3"/>
    <d v="2013-06-26T00:00:00"/>
    <x v="174"/>
    <n v="0"/>
    <n v="0"/>
    <x v="0"/>
    <s v="Seattle"/>
    <m/>
  </r>
  <r>
    <s v="emp-256"/>
    <x v="24"/>
    <x v="5"/>
    <x v="2"/>
    <x v="1"/>
    <n v="48"/>
    <x v="2"/>
    <d v="2005-04-12T00:00:00"/>
    <x v="175"/>
    <n v="0"/>
    <n v="0"/>
    <x v="2"/>
    <s v="Manaus"/>
    <m/>
  </r>
  <r>
    <s v="emp-257"/>
    <x v="3"/>
    <x v="4"/>
    <x v="3"/>
    <x v="1"/>
    <n v="64"/>
    <x v="0"/>
    <d v="1992-09-28T00:00:00"/>
    <x v="176"/>
    <n v="0"/>
    <n v="0"/>
    <x v="0"/>
    <s v="Austin"/>
    <m/>
  </r>
  <r>
    <s v="emp-258"/>
    <x v="6"/>
    <x v="5"/>
    <x v="1"/>
    <x v="0"/>
    <n v="65"/>
    <x v="4"/>
    <d v="2004-05-23T00:00:00"/>
    <x v="177"/>
    <n v="0.2"/>
    <n v="30787.600000000002"/>
    <x v="0"/>
    <s v="Phoenix"/>
    <m/>
  </r>
  <r>
    <s v="emp-259"/>
    <x v="17"/>
    <x v="0"/>
    <x v="0"/>
    <x v="1"/>
    <n v="43"/>
    <x v="3"/>
    <d v="2018-05-04T00:00:00"/>
    <x v="178"/>
    <n v="0"/>
    <n v="0"/>
    <x v="1"/>
    <s v="Beijing"/>
    <m/>
  </r>
  <r>
    <s v="emp-26"/>
    <x v="6"/>
    <x v="5"/>
    <x v="1"/>
    <x v="1"/>
    <n v="41"/>
    <x v="3"/>
    <d v="2015-04-17T00:00:00"/>
    <x v="179"/>
    <n v="0.23"/>
    <n v="35014.97"/>
    <x v="0"/>
    <s v="Columbus"/>
    <m/>
  </r>
  <r>
    <s v="emp-260"/>
    <x v="3"/>
    <x v="4"/>
    <x v="3"/>
    <x v="1"/>
    <n v="50"/>
    <x v="2"/>
    <d v="2018-12-13T00:00:00"/>
    <x v="180"/>
    <n v="0"/>
    <n v="0"/>
    <x v="0"/>
    <s v="Columbus"/>
    <m/>
  </r>
  <r>
    <s v="emp-261"/>
    <x v="2"/>
    <x v="1"/>
    <x v="3"/>
    <x v="0"/>
    <n v="27"/>
    <x v="1"/>
    <d v="2021-12-15T00:00:00"/>
    <x v="181"/>
    <n v="0.33"/>
    <n v="84271.77"/>
    <x v="2"/>
    <s v="Sao Paulo"/>
    <m/>
  </r>
  <r>
    <s v="emp-262"/>
    <x v="0"/>
    <x v="5"/>
    <x v="2"/>
    <x v="0"/>
    <n v="55"/>
    <x v="0"/>
    <d v="2004-11-10T00:00:00"/>
    <x v="182"/>
    <n v="0.14000000000000001"/>
    <n v="19924.52"/>
    <x v="0"/>
    <s v="Chicago"/>
    <m/>
  </r>
  <r>
    <s v="emp-263"/>
    <x v="32"/>
    <x v="5"/>
    <x v="2"/>
    <x v="1"/>
    <n v="41"/>
    <x v="3"/>
    <d v="2004-08-20T00:00:00"/>
    <x v="183"/>
    <n v="0"/>
    <n v="0"/>
    <x v="0"/>
    <s v="Austin"/>
    <d v="2008-06-17T00:00:00"/>
  </r>
  <r>
    <s v="emp-264"/>
    <x v="2"/>
    <x v="5"/>
    <x v="0"/>
    <x v="0"/>
    <n v="34"/>
    <x v="1"/>
    <d v="2019-07-27T00:00:00"/>
    <x v="184"/>
    <n v="0.38"/>
    <n v="83956.06"/>
    <x v="0"/>
    <s v="Austin"/>
    <m/>
  </r>
  <r>
    <s v="emp-265"/>
    <x v="6"/>
    <x v="0"/>
    <x v="1"/>
    <x v="0"/>
    <n v="47"/>
    <x v="2"/>
    <d v="2012-10-26T00:00:00"/>
    <x v="185"/>
    <n v="0.3"/>
    <n v="54946.799999999996"/>
    <x v="0"/>
    <s v="Seattle"/>
    <m/>
  </r>
  <r>
    <s v="emp-266"/>
    <x v="2"/>
    <x v="0"/>
    <x v="1"/>
    <x v="0"/>
    <n v="32"/>
    <x v="1"/>
    <d v="2020-07-22T00:00:00"/>
    <x v="186"/>
    <n v="0.31"/>
    <n v="59752.19"/>
    <x v="0"/>
    <s v="Chicago"/>
    <m/>
  </r>
  <r>
    <s v="emp-267"/>
    <x v="0"/>
    <x v="0"/>
    <x v="2"/>
    <x v="0"/>
    <n v="39"/>
    <x v="3"/>
    <d v="2017-03-25T00:00:00"/>
    <x v="187"/>
    <n v="0.14000000000000001"/>
    <n v="18945.5"/>
    <x v="0"/>
    <s v="Phoenix"/>
    <m/>
  </r>
  <r>
    <s v="emp-268"/>
    <x v="1"/>
    <x v="2"/>
    <x v="1"/>
    <x v="0"/>
    <n v="26"/>
    <x v="1"/>
    <d v="2019-10-14T00:00:00"/>
    <x v="188"/>
    <n v="0"/>
    <n v="0"/>
    <x v="0"/>
    <s v="Phoenix"/>
    <m/>
  </r>
  <r>
    <s v="emp-269"/>
    <x v="5"/>
    <x v="4"/>
    <x v="2"/>
    <x v="1"/>
    <n v="40"/>
    <x v="3"/>
    <d v="2005-07-07T00:00:00"/>
    <x v="189"/>
    <n v="0"/>
    <n v="0"/>
    <x v="0"/>
    <s v="Seattle"/>
    <m/>
  </r>
  <r>
    <s v="emp-27"/>
    <x v="18"/>
    <x v="4"/>
    <x v="3"/>
    <x v="0"/>
    <n v="56"/>
    <x v="0"/>
    <d v="2005-02-05T00:00:00"/>
    <x v="190"/>
    <n v="0"/>
    <n v="0"/>
    <x v="2"/>
    <s v="Rio de Janerio"/>
    <m/>
  </r>
  <r>
    <s v="emp-270"/>
    <x v="4"/>
    <x v="0"/>
    <x v="2"/>
    <x v="0"/>
    <n v="32"/>
    <x v="1"/>
    <d v="2017-10-02T00:00:00"/>
    <x v="191"/>
    <n v="0.09"/>
    <n v="5569.74"/>
    <x v="2"/>
    <s v="Rio de Janerio"/>
    <m/>
  </r>
  <r>
    <s v="emp-271"/>
    <x v="6"/>
    <x v="3"/>
    <x v="0"/>
    <x v="0"/>
    <n v="58"/>
    <x v="0"/>
    <d v="2003-05-14T00:00:00"/>
    <x v="192"/>
    <n v="0.28999999999999998"/>
    <n v="50190.59"/>
    <x v="0"/>
    <s v="Columbus"/>
    <m/>
  </r>
  <r>
    <s v="emp-272"/>
    <x v="8"/>
    <x v="4"/>
    <x v="0"/>
    <x v="0"/>
    <n v="58"/>
    <x v="0"/>
    <d v="1995-10-27T00:00:00"/>
    <x v="193"/>
    <n v="0"/>
    <n v="0"/>
    <x v="0"/>
    <s v="Columbus"/>
    <m/>
  </r>
  <r>
    <s v="emp-273"/>
    <x v="2"/>
    <x v="2"/>
    <x v="0"/>
    <x v="0"/>
    <n v="42"/>
    <x v="3"/>
    <d v="2013-09-11T00:00:00"/>
    <x v="194"/>
    <n v="0.3"/>
    <n v="54435.6"/>
    <x v="0"/>
    <s v="Columbus"/>
    <m/>
  </r>
  <r>
    <s v="emp-274"/>
    <x v="31"/>
    <x v="5"/>
    <x v="1"/>
    <x v="1"/>
    <n v="26"/>
    <x v="1"/>
    <d v="2021-03-12T00:00:00"/>
    <x v="195"/>
    <n v="0"/>
    <n v="0"/>
    <x v="0"/>
    <s v="Seattle"/>
    <m/>
  </r>
  <r>
    <s v="emp-275"/>
    <x v="1"/>
    <x v="3"/>
    <x v="2"/>
    <x v="1"/>
    <n v="38"/>
    <x v="3"/>
    <d v="2008-07-05T00:00:00"/>
    <x v="196"/>
    <n v="0"/>
    <n v="0"/>
    <x v="2"/>
    <s v="Sao Paulo"/>
    <m/>
  </r>
  <r>
    <s v="emp-276"/>
    <x v="6"/>
    <x v="1"/>
    <x v="0"/>
    <x v="1"/>
    <n v="64"/>
    <x v="0"/>
    <d v="1996-05-02T00:00:00"/>
    <x v="197"/>
    <n v="0.23"/>
    <n v="43684.590000000004"/>
    <x v="0"/>
    <s v="Miami"/>
    <m/>
  </r>
  <r>
    <s v="emp-277"/>
    <x v="19"/>
    <x v="4"/>
    <x v="1"/>
    <x v="1"/>
    <n v="38"/>
    <x v="3"/>
    <d v="2010-07-01T00:00:00"/>
    <x v="198"/>
    <n v="0"/>
    <n v="0"/>
    <x v="0"/>
    <s v="Phoenix"/>
    <m/>
  </r>
  <r>
    <s v="emp-278"/>
    <x v="15"/>
    <x v="3"/>
    <x v="0"/>
    <x v="0"/>
    <n v="55"/>
    <x v="0"/>
    <d v="1996-06-26T00:00:00"/>
    <x v="199"/>
    <n v="0"/>
    <n v="0"/>
    <x v="2"/>
    <s v="Rio de Janerio"/>
    <m/>
  </r>
  <r>
    <s v="emp-279"/>
    <x v="0"/>
    <x v="6"/>
    <x v="2"/>
    <x v="0"/>
    <n v="45"/>
    <x v="2"/>
    <d v="2004-08-19T00:00:00"/>
    <x v="200"/>
    <n v="0.15"/>
    <n v="18159.75"/>
    <x v="2"/>
    <s v="Rio de Janerio"/>
    <m/>
  </r>
  <r>
    <s v="emp-28"/>
    <x v="2"/>
    <x v="4"/>
    <x v="1"/>
    <x v="1"/>
    <n v="43"/>
    <x v="3"/>
    <d v="2004-06-07T00:00:00"/>
    <x v="201"/>
    <n v="0.31"/>
    <n v="76331.61"/>
    <x v="0"/>
    <s v="Seattle"/>
    <m/>
  </r>
  <r>
    <s v="emp-280"/>
    <x v="1"/>
    <x v="2"/>
    <x v="3"/>
    <x v="1"/>
    <n v="43"/>
    <x v="3"/>
    <d v="2004-04-16T00:00:00"/>
    <x v="202"/>
    <n v="0"/>
    <n v="0"/>
    <x v="0"/>
    <s v="Austin"/>
    <m/>
  </r>
  <r>
    <s v="emp-281"/>
    <x v="17"/>
    <x v="0"/>
    <x v="2"/>
    <x v="0"/>
    <n v="34"/>
    <x v="1"/>
    <d v="2016-05-22T00:00:00"/>
    <x v="203"/>
    <n v="0"/>
    <n v="0"/>
    <x v="0"/>
    <s v="Miami"/>
    <m/>
  </r>
  <r>
    <s v="emp-282"/>
    <x v="2"/>
    <x v="0"/>
    <x v="0"/>
    <x v="1"/>
    <n v="40"/>
    <x v="3"/>
    <d v="2020-11-08T00:00:00"/>
    <x v="204"/>
    <n v="0.31"/>
    <n v="72685.39"/>
    <x v="1"/>
    <s v="Chengdu"/>
    <m/>
  </r>
  <r>
    <s v="emp-283"/>
    <x v="19"/>
    <x v="4"/>
    <x v="0"/>
    <x v="1"/>
    <n v="52"/>
    <x v="2"/>
    <d v="2020-07-10T00:00:00"/>
    <x v="205"/>
    <n v="0"/>
    <n v="0"/>
    <x v="2"/>
    <s v="Sao Paulo"/>
    <m/>
  </r>
  <r>
    <s v="emp-284"/>
    <x v="7"/>
    <x v="1"/>
    <x v="3"/>
    <x v="1"/>
    <n v="52"/>
    <x v="2"/>
    <d v="2017-09-14T00:00:00"/>
    <x v="206"/>
    <n v="0"/>
    <n v="0"/>
    <x v="1"/>
    <s v="Beijing"/>
    <m/>
  </r>
  <r>
    <s v="emp-285"/>
    <x v="2"/>
    <x v="4"/>
    <x v="1"/>
    <x v="1"/>
    <n v="47"/>
    <x v="2"/>
    <d v="2012-06-11T00:00:00"/>
    <x v="207"/>
    <n v="0.39"/>
    <n v="86946.99"/>
    <x v="1"/>
    <s v="Beijing"/>
    <m/>
  </r>
  <r>
    <s v="emp-286"/>
    <x v="15"/>
    <x v="6"/>
    <x v="2"/>
    <x v="0"/>
    <n v="65"/>
    <x v="4"/>
    <d v="2013-09-26T00:00:00"/>
    <x v="208"/>
    <n v="0"/>
    <n v="0"/>
    <x v="1"/>
    <s v="Beijing"/>
    <m/>
  </r>
  <r>
    <s v="emp-287"/>
    <x v="31"/>
    <x v="5"/>
    <x v="3"/>
    <x v="0"/>
    <n v="31"/>
    <x v="1"/>
    <d v="2021-04-11T00:00:00"/>
    <x v="209"/>
    <n v="0"/>
    <n v="0"/>
    <x v="2"/>
    <s v="Manaus"/>
    <m/>
  </r>
  <r>
    <s v="emp-288"/>
    <x v="1"/>
    <x v="3"/>
    <x v="3"/>
    <x v="0"/>
    <n v="41"/>
    <x v="3"/>
    <d v="2016-06-12T00:00:00"/>
    <x v="210"/>
    <n v="0"/>
    <n v="0"/>
    <x v="0"/>
    <s v="Columbus"/>
    <m/>
  </r>
  <r>
    <s v="emp-289"/>
    <x v="0"/>
    <x v="6"/>
    <x v="1"/>
    <x v="1"/>
    <n v="30"/>
    <x v="1"/>
    <d v="2020-07-18T00:00:00"/>
    <x v="211"/>
    <n v="0.15"/>
    <n v="22272.75"/>
    <x v="0"/>
    <s v="Miami"/>
    <m/>
  </r>
  <r>
    <s v="emp-29"/>
    <x v="25"/>
    <x v="4"/>
    <x v="1"/>
    <x v="1"/>
    <n v="64"/>
    <x v="0"/>
    <d v="1996-12-04T00:00:00"/>
    <x v="212"/>
    <n v="0.12"/>
    <n v="11922.48"/>
    <x v="1"/>
    <s v="Beijing"/>
    <m/>
  </r>
  <r>
    <s v="emp-290"/>
    <x v="21"/>
    <x v="0"/>
    <x v="2"/>
    <x v="0"/>
    <n v="58"/>
    <x v="0"/>
    <d v="2005-06-18T00:00:00"/>
    <x v="213"/>
    <n v="0"/>
    <n v="0"/>
    <x v="0"/>
    <s v="Chicago"/>
    <m/>
  </r>
  <r>
    <s v="emp-291"/>
    <x v="25"/>
    <x v="4"/>
    <x v="0"/>
    <x v="1"/>
    <n v="54"/>
    <x v="2"/>
    <d v="2007-10-27T00:00:00"/>
    <x v="214"/>
    <n v="0.15"/>
    <n v="15946.949999999999"/>
    <x v="0"/>
    <s v="Chicago"/>
    <m/>
  </r>
  <r>
    <s v="emp-292"/>
    <x v="15"/>
    <x v="6"/>
    <x v="0"/>
    <x v="0"/>
    <n v="40"/>
    <x v="3"/>
    <d v="2021-02-24T00:00:00"/>
    <x v="215"/>
    <n v="0"/>
    <n v="0"/>
    <x v="1"/>
    <s v="Chengdu"/>
    <d v="2021-11-10T00:00:00"/>
  </r>
  <r>
    <s v="emp-293"/>
    <x v="6"/>
    <x v="1"/>
    <x v="0"/>
    <x v="0"/>
    <n v="63"/>
    <x v="0"/>
    <d v="2000-10-27T00:00:00"/>
    <x v="216"/>
    <n v="0.17"/>
    <n v="26404.400000000001"/>
    <x v="1"/>
    <s v="Chongqing"/>
    <m/>
  </r>
  <r>
    <s v="emp-294"/>
    <x v="1"/>
    <x v="3"/>
    <x v="2"/>
    <x v="1"/>
    <n v="40"/>
    <x v="3"/>
    <d v="2016-01-15T00:00:00"/>
    <x v="217"/>
    <n v="0"/>
    <n v="0"/>
    <x v="1"/>
    <s v="Chengdu"/>
    <m/>
  </r>
  <r>
    <s v="emp-295"/>
    <x v="25"/>
    <x v="4"/>
    <x v="1"/>
    <x v="0"/>
    <n v="65"/>
    <x v="4"/>
    <d v="2006-03-16T00:00:00"/>
    <x v="218"/>
    <n v="0.14000000000000001"/>
    <n v="11725.840000000002"/>
    <x v="1"/>
    <s v="Shanghai"/>
    <m/>
  </r>
  <r>
    <s v="emp-296"/>
    <x v="6"/>
    <x v="5"/>
    <x v="3"/>
    <x v="0"/>
    <n v="57"/>
    <x v="0"/>
    <d v="2016-10-24T00:00:00"/>
    <x v="219"/>
    <n v="0.23"/>
    <n v="40554.520000000004"/>
    <x v="1"/>
    <s v="Shanghai"/>
    <m/>
  </r>
  <r>
    <s v="emp-297"/>
    <x v="1"/>
    <x v="3"/>
    <x v="1"/>
    <x v="1"/>
    <n v="27"/>
    <x v="1"/>
    <d v="2021-10-13T00:00:00"/>
    <x v="220"/>
    <n v="0"/>
    <n v="0"/>
    <x v="0"/>
    <s v="Seattle"/>
    <m/>
  </r>
  <r>
    <s v="emp-298"/>
    <x v="12"/>
    <x v="5"/>
    <x v="2"/>
    <x v="0"/>
    <n v="31"/>
    <x v="1"/>
    <d v="2021-01-18T00:00:00"/>
    <x v="221"/>
    <n v="7.0000000000000007E-2"/>
    <n v="7291.3400000000011"/>
    <x v="0"/>
    <s v="Austin"/>
    <m/>
  </r>
  <r>
    <s v="emp-299"/>
    <x v="27"/>
    <x v="0"/>
    <x v="3"/>
    <x v="0"/>
    <n v="45"/>
    <x v="2"/>
    <d v="2010-08-28T00:00:00"/>
    <x v="222"/>
    <n v="0"/>
    <n v="0"/>
    <x v="1"/>
    <s v="Beijing"/>
    <d v="2020-10-03T00:00:00"/>
  </r>
  <r>
    <s v="emp-3"/>
    <x v="6"/>
    <x v="1"/>
    <x v="1"/>
    <x v="0"/>
    <n v="50"/>
    <x v="2"/>
    <d v="2006-10-26T00:00:00"/>
    <x v="223"/>
    <n v="0.2"/>
    <n v="32619.800000000003"/>
    <x v="0"/>
    <s v="Chicago"/>
    <m/>
  </r>
  <r>
    <s v="emp-30"/>
    <x v="2"/>
    <x v="0"/>
    <x v="3"/>
    <x v="1"/>
    <n v="63"/>
    <x v="0"/>
    <d v="2012-05-11T00:00:00"/>
    <x v="224"/>
    <n v="0.34"/>
    <n v="78587.94"/>
    <x v="1"/>
    <s v="Beijing"/>
    <m/>
  </r>
  <r>
    <s v="emp-300"/>
    <x v="28"/>
    <x v="2"/>
    <x v="1"/>
    <x v="0"/>
    <n v="47"/>
    <x v="2"/>
    <d v="2015-07-10T00:00:00"/>
    <x v="225"/>
    <n v="0"/>
    <n v="0"/>
    <x v="1"/>
    <s v="Chongqing"/>
    <m/>
  </r>
  <r>
    <s v="emp-301"/>
    <x v="3"/>
    <x v="4"/>
    <x v="0"/>
    <x v="0"/>
    <n v="55"/>
    <x v="0"/>
    <d v="2013-09-08T00:00:00"/>
    <x v="226"/>
    <n v="0"/>
    <n v="0"/>
    <x v="0"/>
    <s v="Columbus"/>
    <m/>
  </r>
  <r>
    <s v="emp-302"/>
    <x v="1"/>
    <x v="3"/>
    <x v="2"/>
    <x v="1"/>
    <n v="51"/>
    <x v="2"/>
    <d v="2020-10-09T00:00:00"/>
    <x v="227"/>
    <n v="0"/>
    <n v="0"/>
    <x v="0"/>
    <s v="Chicago"/>
    <m/>
  </r>
  <r>
    <s v="emp-303"/>
    <x v="6"/>
    <x v="1"/>
    <x v="1"/>
    <x v="1"/>
    <n v="25"/>
    <x v="1"/>
    <d v="2020-01-14T00:00:00"/>
    <x v="228"/>
    <n v="0.27"/>
    <n v="45363.780000000006"/>
    <x v="0"/>
    <s v="Chicago"/>
    <d v="2021-07-27T00:00:00"/>
  </r>
  <r>
    <s v="emp-304"/>
    <x v="5"/>
    <x v="4"/>
    <x v="3"/>
    <x v="0"/>
    <n v="37"/>
    <x v="3"/>
    <d v="2017-09-17T00:00:00"/>
    <x v="229"/>
    <n v="0"/>
    <n v="0"/>
    <x v="0"/>
    <s v="Miami"/>
    <m/>
  </r>
  <r>
    <s v="emp-305"/>
    <x v="31"/>
    <x v="5"/>
    <x v="3"/>
    <x v="1"/>
    <n v="62"/>
    <x v="0"/>
    <d v="2004-10-11T00:00:00"/>
    <x v="230"/>
    <n v="0"/>
    <n v="0"/>
    <x v="0"/>
    <s v="Seattle"/>
    <m/>
  </r>
  <r>
    <s v="emp-306"/>
    <x v="0"/>
    <x v="1"/>
    <x v="0"/>
    <x v="1"/>
    <n v="31"/>
    <x v="1"/>
    <d v="2015-09-19T00:00:00"/>
    <x v="231"/>
    <n v="0.15"/>
    <n v="21876.899999999998"/>
    <x v="2"/>
    <s v="Manaus"/>
    <m/>
  </r>
  <r>
    <s v="emp-307"/>
    <x v="0"/>
    <x v="5"/>
    <x v="0"/>
    <x v="0"/>
    <n v="64"/>
    <x v="0"/>
    <d v="2003-12-07T00:00:00"/>
    <x v="232"/>
    <n v="0.15"/>
    <n v="18871.05"/>
    <x v="0"/>
    <s v="Chicago"/>
    <m/>
  </r>
  <r>
    <s v="emp-308"/>
    <x v="15"/>
    <x v="2"/>
    <x v="1"/>
    <x v="1"/>
    <n v="25"/>
    <x v="1"/>
    <d v="2021-07-28T00:00:00"/>
    <x v="233"/>
    <n v="0"/>
    <n v="0"/>
    <x v="0"/>
    <s v="Miami"/>
    <m/>
  </r>
  <r>
    <s v="emp-309"/>
    <x v="0"/>
    <x v="6"/>
    <x v="3"/>
    <x v="0"/>
    <n v="59"/>
    <x v="0"/>
    <d v="2008-08-29T00:00:00"/>
    <x v="234"/>
    <n v="0.1"/>
    <n v="15796.900000000001"/>
    <x v="1"/>
    <s v="Chongqing"/>
    <m/>
  </r>
  <r>
    <s v="emp-31"/>
    <x v="26"/>
    <x v="0"/>
    <x v="0"/>
    <x v="1"/>
    <n v="28"/>
    <x v="1"/>
    <d v="2017-06-25T00:00:00"/>
    <x v="235"/>
    <n v="0"/>
    <n v="0"/>
    <x v="0"/>
    <s v="Columbus"/>
    <m/>
  </r>
  <r>
    <s v="emp-310"/>
    <x v="22"/>
    <x v="0"/>
    <x v="3"/>
    <x v="0"/>
    <n v="40"/>
    <x v="3"/>
    <d v="2010-12-10T00:00:00"/>
    <x v="236"/>
    <n v="0"/>
    <n v="0"/>
    <x v="0"/>
    <s v="Chicago"/>
    <m/>
  </r>
  <r>
    <s v="emp-311"/>
    <x v="31"/>
    <x v="5"/>
    <x v="2"/>
    <x v="1"/>
    <n v="31"/>
    <x v="1"/>
    <d v="2015-12-09T00:00:00"/>
    <x v="237"/>
    <n v="0"/>
    <n v="0"/>
    <x v="0"/>
    <s v="Seattle"/>
    <m/>
  </r>
  <r>
    <s v="emp-312"/>
    <x v="0"/>
    <x v="3"/>
    <x v="2"/>
    <x v="1"/>
    <n v="45"/>
    <x v="2"/>
    <d v="2006-12-12T00:00:00"/>
    <x v="238"/>
    <n v="0.14000000000000001"/>
    <n v="20935.18"/>
    <x v="0"/>
    <s v="Seattle"/>
    <m/>
  </r>
  <r>
    <s v="emp-313"/>
    <x v="0"/>
    <x v="2"/>
    <x v="2"/>
    <x v="0"/>
    <n v="49"/>
    <x v="2"/>
    <d v="2013-04-15T00:00:00"/>
    <x v="239"/>
    <n v="0.15"/>
    <n v="19245.45"/>
    <x v="0"/>
    <s v="Phoenix"/>
    <m/>
  </r>
  <r>
    <s v="emp-314"/>
    <x v="23"/>
    <x v="0"/>
    <x v="1"/>
    <x v="1"/>
    <n v="46"/>
    <x v="2"/>
    <d v="2005-06-10T00:00:00"/>
    <x v="240"/>
    <n v="0"/>
    <n v="0"/>
    <x v="0"/>
    <s v="Austin"/>
    <m/>
  </r>
  <r>
    <s v="emp-315"/>
    <x v="12"/>
    <x v="5"/>
    <x v="3"/>
    <x v="1"/>
    <n v="46"/>
    <x v="2"/>
    <d v="2011-09-24T00:00:00"/>
    <x v="241"/>
    <n v="0.06"/>
    <n v="6130.0199999999995"/>
    <x v="2"/>
    <s v="Rio de Janerio"/>
    <m/>
  </r>
  <r>
    <s v="emp-316"/>
    <x v="0"/>
    <x v="2"/>
    <x v="2"/>
    <x v="1"/>
    <n v="45"/>
    <x v="2"/>
    <d v="2007-09-07T00:00:00"/>
    <x v="242"/>
    <n v="0.1"/>
    <n v="15102.7"/>
    <x v="1"/>
    <s v="Shanghai"/>
    <m/>
  </r>
  <r>
    <s v="emp-317"/>
    <x v="12"/>
    <x v="3"/>
    <x v="1"/>
    <x v="1"/>
    <n v="40"/>
    <x v="3"/>
    <d v="2018-02-16T00:00:00"/>
    <x v="243"/>
    <n v="0.05"/>
    <n v="6045.25"/>
    <x v="0"/>
    <s v="Seattle"/>
    <m/>
  </r>
  <r>
    <s v="emp-318"/>
    <x v="2"/>
    <x v="1"/>
    <x v="2"/>
    <x v="0"/>
    <n v="48"/>
    <x v="2"/>
    <d v="2018-06-02T00:00:00"/>
    <x v="244"/>
    <n v="0.36"/>
    <n v="83364.12"/>
    <x v="0"/>
    <s v="Seattle"/>
    <m/>
  </r>
  <r>
    <s v="emp-319"/>
    <x v="2"/>
    <x v="0"/>
    <x v="0"/>
    <x v="1"/>
    <n v="31"/>
    <x v="1"/>
    <d v="2015-07-12T00:00:00"/>
    <x v="245"/>
    <n v="0.33"/>
    <n v="71078.040000000008"/>
    <x v="0"/>
    <s v="Miami"/>
    <m/>
  </r>
  <r>
    <s v="emp-32"/>
    <x v="15"/>
    <x v="1"/>
    <x v="2"/>
    <x v="1"/>
    <n v="65"/>
    <x v="4"/>
    <d v="2004-05-16T00:00:00"/>
    <x v="246"/>
    <n v="0"/>
    <n v="0"/>
    <x v="2"/>
    <s v="Manaus"/>
    <m/>
  </r>
  <r>
    <s v="emp-320"/>
    <x v="0"/>
    <x v="2"/>
    <x v="1"/>
    <x v="0"/>
    <n v="30"/>
    <x v="1"/>
    <d v="2015-06-13T00:00:00"/>
    <x v="247"/>
    <n v="0.11"/>
    <n v="14076.92"/>
    <x v="0"/>
    <s v="Seattle"/>
    <m/>
  </r>
  <r>
    <s v="emp-321"/>
    <x v="16"/>
    <x v="4"/>
    <x v="3"/>
    <x v="0"/>
    <n v="55"/>
    <x v="0"/>
    <d v="1995-08-04T00:00:00"/>
    <x v="248"/>
    <n v="0"/>
    <n v="0"/>
    <x v="0"/>
    <s v="Chicago"/>
    <d v="2005-04-14T00:00:00"/>
  </r>
  <r>
    <s v="emp-322"/>
    <x v="12"/>
    <x v="6"/>
    <x v="3"/>
    <x v="1"/>
    <n v="28"/>
    <x v="1"/>
    <d v="2020-02-02T00:00:00"/>
    <x v="249"/>
    <n v="0.06"/>
    <n v="6925.0199999999995"/>
    <x v="1"/>
    <s v="Shanghai"/>
    <m/>
  </r>
  <r>
    <s v="emp-323"/>
    <x v="18"/>
    <x v="4"/>
    <x v="3"/>
    <x v="0"/>
    <n v="45"/>
    <x v="2"/>
    <d v="2019-06-19T00:00:00"/>
    <x v="250"/>
    <n v="0"/>
    <n v="0"/>
    <x v="0"/>
    <s v="Chicago"/>
    <m/>
  </r>
  <r>
    <s v="emp-324"/>
    <x v="4"/>
    <x v="0"/>
    <x v="1"/>
    <x v="0"/>
    <n v="45"/>
    <x v="2"/>
    <d v="2018-03-26T00:00:00"/>
    <x v="251"/>
    <n v="0.06"/>
    <n v="5188.6799999999994"/>
    <x v="0"/>
    <s v="Austin"/>
    <m/>
  </r>
  <r>
    <s v="emp-325"/>
    <x v="2"/>
    <x v="4"/>
    <x v="2"/>
    <x v="1"/>
    <n v="63"/>
    <x v="0"/>
    <d v="2016-01-18T00:00:00"/>
    <x v="252"/>
    <n v="0.39"/>
    <n v="70587.66"/>
    <x v="0"/>
    <s v="Seattle"/>
    <m/>
  </r>
  <r>
    <s v="emp-326"/>
    <x v="7"/>
    <x v="1"/>
    <x v="0"/>
    <x v="0"/>
    <n v="55"/>
    <x v="0"/>
    <d v="2007-12-02T00:00:00"/>
    <x v="253"/>
    <n v="0"/>
    <n v="0"/>
    <x v="0"/>
    <s v="Columbus"/>
    <m/>
  </r>
  <r>
    <s v="emp-327"/>
    <x v="28"/>
    <x v="2"/>
    <x v="2"/>
    <x v="1"/>
    <n v="47"/>
    <x v="2"/>
    <d v="2002-10-21T00:00:00"/>
    <x v="254"/>
    <n v="0"/>
    <n v="0"/>
    <x v="0"/>
    <s v="Columbus"/>
    <m/>
  </r>
  <r>
    <s v="emp-328"/>
    <x v="6"/>
    <x v="3"/>
    <x v="2"/>
    <x v="1"/>
    <n v="29"/>
    <x v="1"/>
    <d v="2017-02-19T00:00:00"/>
    <x v="255"/>
    <n v="0.28999999999999998"/>
    <n v="52737.659999999996"/>
    <x v="0"/>
    <s v="Seattle"/>
    <d v="2020-04-24T00:00:00"/>
  </r>
  <r>
    <s v="emp-329"/>
    <x v="32"/>
    <x v="5"/>
    <x v="1"/>
    <x v="0"/>
    <n v="34"/>
    <x v="1"/>
    <d v="2016-10-21T00:00:00"/>
    <x v="256"/>
    <n v="0"/>
    <n v="0"/>
    <x v="0"/>
    <s v="Miami"/>
    <m/>
  </r>
  <r>
    <s v="emp-33"/>
    <x v="7"/>
    <x v="2"/>
    <x v="0"/>
    <x v="1"/>
    <n v="61"/>
    <x v="0"/>
    <d v="2008-07-11T00:00:00"/>
    <x v="257"/>
    <n v="0"/>
    <n v="0"/>
    <x v="0"/>
    <s v="Seattle"/>
    <m/>
  </r>
  <r>
    <s v="emp-330"/>
    <x v="17"/>
    <x v="0"/>
    <x v="0"/>
    <x v="0"/>
    <n v="28"/>
    <x v="1"/>
    <d v="2019-10-25T00:00:00"/>
    <x v="258"/>
    <n v="0"/>
    <n v="0"/>
    <x v="1"/>
    <s v="Chengdu"/>
    <m/>
  </r>
  <r>
    <s v="emp-331"/>
    <x v="30"/>
    <x v="0"/>
    <x v="2"/>
    <x v="1"/>
    <n v="31"/>
    <x v="1"/>
    <d v="2016-05-07T00:00:00"/>
    <x v="259"/>
    <n v="0"/>
    <n v="0"/>
    <x v="0"/>
    <s v="Austin"/>
    <m/>
  </r>
  <r>
    <s v="emp-332"/>
    <x v="6"/>
    <x v="2"/>
    <x v="2"/>
    <x v="0"/>
    <n v="50"/>
    <x v="2"/>
    <d v="2018-12-18T00:00:00"/>
    <x v="260"/>
    <n v="0.2"/>
    <n v="31070.2"/>
    <x v="0"/>
    <s v="Seattle"/>
    <m/>
  </r>
  <r>
    <s v="emp-333"/>
    <x v="6"/>
    <x v="5"/>
    <x v="1"/>
    <x v="1"/>
    <n v="39"/>
    <x v="3"/>
    <d v="2006-11-28T00:00:00"/>
    <x v="261"/>
    <n v="0.28999999999999998"/>
    <n v="46890.1"/>
    <x v="1"/>
    <s v="Beijing"/>
    <m/>
  </r>
  <r>
    <s v="emp-334"/>
    <x v="5"/>
    <x v="4"/>
    <x v="1"/>
    <x v="0"/>
    <n v="35"/>
    <x v="3"/>
    <d v="2017-02-10T00:00:00"/>
    <x v="262"/>
    <n v="0"/>
    <n v="0"/>
    <x v="1"/>
    <s v="Chongqing"/>
    <m/>
  </r>
  <r>
    <s v="emp-335"/>
    <x v="23"/>
    <x v="0"/>
    <x v="2"/>
    <x v="1"/>
    <n v="54"/>
    <x v="2"/>
    <d v="1994-10-24T00:00:00"/>
    <x v="263"/>
    <n v="0"/>
    <n v="0"/>
    <x v="0"/>
    <s v="Miami"/>
    <m/>
  </r>
  <r>
    <s v="emp-336"/>
    <x v="17"/>
    <x v="0"/>
    <x v="3"/>
    <x v="1"/>
    <n v="47"/>
    <x v="2"/>
    <d v="2020-04-23T00:00:00"/>
    <x v="264"/>
    <n v="0"/>
    <n v="0"/>
    <x v="0"/>
    <s v="Seattle"/>
    <m/>
  </r>
  <r>
    <s v="emp-337"/>
    <x v="6"/>
    <x v="0"/>
    <x v="1"/>
    <x v="0"/>
    <n v="26"/>
    <x v="1"/>
    <d v="2021-07-26T00:00:00"/>
    <x v="265"/>
    <n v="0.22"/>
    <n v="33243.760000000002"/>
    <x v="0"/>
    <s v="Phoenix"/>
    <m/>
  </r>
  <r>
    <s v="emp-338"/>
    <x v="4"/>
    <x v="0"/>
    <x v="2"/>
    <x v="0"/>
    <n v="42"/>
    <x v="3"/>
    <d v="2005-10-15T00:00:00"/>
    <x v="266"/>
    <n v="7.0000000000000007E-2"/>
    <n v="4717.8600000000006"/>
    <x v="0"/>
    <s v="Phoenix"/>
    <m/>
  </r>
  <r>
    <s v="emp-339"/>
    <x v="5"/>
    <x v="4"/>
    <x v="0"/>
    <x v="0"/>
    <n v="47"/>
    <x v="2"/>
    <d v="2015-08-29T00:00:00"/>
    <x v="267"/>
    <n v="0"/>
    <n v="0"/>
    <x v="0"/>
    <s v="Seattle"/>
    <m/>
  </r>
  <r>
    <s v="emp-34"/>
    <x v="28"/>
    <x v="2"/>
    <x v="1"/>
    <x v="1"/>
    <n v="30"/>
    <x v="1"/>
    <d v="2016-09-29T00:00:00"/>
    <x v="268"/>
    <n v="0"/>
    <n v="0"/>
    <x v="1"/>
    <s v="Chongqing"/>
    <m/>
  </r>
  <r>
    <s v="emp-340"/>
    <x v="18"/>
    <x v="4"/>
    <x v="2"/>
    <x v="0"/>
    <n v="60"/>
    <x v="0"/>
    <d v="1998-07-16T00:00:00"/>
    <x v="269"/>
    <n v="0"/>
    <n v="0"/>
    <x v="0"/>
    <s v="Columbus"/>
    <m/>
  </r>
  <r>
    <s v="emp-341"/>
    <x v="15"/>
    <x v="1"/>
    <x v="3"/>
    <x v="0"/>
    <n v="36"/>
    <x v="3"/>
    <d v="2009-06-30T00:00:00"/>
    <x v="270"/>
    <n v="0"/>
    <n v="0"/>
    <x v="0"/>
    <s v="Austin"/>
    <m/>
  </r>
  <r>
    <s v="emp-342"/>
    <x v="29"/>
    <x v="0"/>
    <x v="1"/>
    <x v="1"/>
    <n v="31"/>
    <x v="1"/>
    <d v="2017-02-14T00:00:00"/>
    <x v="271"/>
    <n v="0"/>
    <n v="0"/>
    <x v="1"/>
    <s v="Chengdu"/>
    <m/>
  </r>
  <r>
    <s v="emp-343"/>
    <x v="12"/>
    <x v="1"/>
    <x v="1"/>
    <x v="0"/>
    <n v="55"/>
    <x v="0"/>
    <d v="2010-04-29T00:00:00"/>
    <x v="272"/>
    <n v="0.05"/>
    <n v="5551.9000000000005"/>
    <x v="2"/>
    <s v="Sao Paulo"/>
    <m/>
  </r>
  <r>
    <s v="emp-344"/>
    <x v="2"/>
    <x v="4"/>
    <x v="0"/>
    <x v="0"/>
    <n v="51"/>
    <x v="2"/>
    <d v="1996-06-14T00:00:00"/>
    <x v="273"/>
    <n v="0.34"/>
    <n v="68083.64"/>
    <x v="0"/>
    <s v="Columbus"/>
    <m/>
  </r>
  <r>
    <s v="emp-345"/>
    <x v="2"/>
    <x v="0"/>
    <x v="3"/>
    <x v="0"/>
    <n v="48"/>
    <x v="2"/>
    <d v="2015-02-18T00:00:00"/>
    <x v="274"/>
    <n v="0.35"/>
    <n v="68204.849999999991"/>
    <x v="0"/>
    <s v="Columbus"/>
    <m/>
  </r>
  <r>
    <s v="emp-346"/>
    <x v="1"/>
    <x v="3"/>
    <x v="0"/>
    <x v="1"/>
    <n v="58"/>
    <x v="0"/>
    <d v="1994-09-15T00:00:00"/>
    <x v="275"/>
    <n v="0"/>
    <n v="0"/>
    <x v="2"/>
    <s v="Rio de Janerio"/>
    <d v="2016-10-03T00:00:00"/>
  </r>
  <r>
    <s v="emp-347"/>
    <x v="28"/>
    <x v="2"/>
    <x v="0"/>
    <x v="0"/>
    <n v="29"/>
    <x v="1"/>
    <d v="2018-05-19T00:00:00"/>
    <x v="276"/>
    <n v="0"/>
    <n v="0"/>
    <x v="2"/>
    <s v="Rio de Janerio"/>
    <m/>
  </r>
  <r>
    <s v="emp-348"/>
    <x v="21"/>
    <x v="0"/>
    <x v="2"/>
    <x v="0"/>
    <n v="25"/>
    <x v="1"/>
    <d v="2021-05-11T00:00:00"/>
    <x v="277"/>
    <n v="0"/>
    <n v="0"/>
    <x v="0"/>
    <s v="Miami"/>
    <m/>
  </r>
  <r>
    <s v="emp-349"/>
    <x v="6"/>
    <x v="3"/>
    <x v="0"/>
    <x v="1"/>
    <n v="36"/>
    <x v="3"/>
    <d v="2016-09-03T00:00:00"/>
    <x v="278"/>
    <n v="0.28000000000000003"/>
    <n v="42111.72"/>
    <x v="0"/>
    <s v="Chicago"/>
    <m/>
  </r>
  <r>
    <s v="emp-35"/>
    <x v="15"/>
    <x v="1"/>
    <x v="0"/>
    <x v="0"/>
    <n v="27"/>
    <x v="1"/>
    <d v="2018-05-06T00:00:00"/>
    <x v="279"/>
    <n v="0"/>
    <n v="0"/>
    <x v="0"/>
    <s v="Chicago"/>
    <m/>
  </r>
  <r>
    <s v="emp-350"/>
    <x v="6"/>
    <x v="5"/>
    <x v="0"/>
    <x v="1"/>
    <n v="37"/>
    <x v="3"/>
    <d v="2012-05-19T00:00:00"/>
    <x v="280"/>
    <n v="0.19"/>
    <n v="30453.200000000001"/>
    <x v="1"/>
    <s v="Beijing"/>
    <m/>
  </r>
  <r>
    <s v="emp-351"/>
    <x v="32"/>
    <x v="5"/>
    <x v="1"/>
    <x v="1"/>
    <n v="57"/>
    <x v="0"/>
    <d v="1997-04-28T00:00:00"/>
    <x v="281"/>
    <n v="0"/>
    <n v="0"/>
    <x v="0"/>
    <s v="Miami"/>
    <d v="1998-10-11T00:00:00"/>
  </r>
  <r>
    <s v="emp-352"/>
    <x v="6"/>
    <x v="4"/>
    <x v="0"/>
    <x v="0"/>
    <n v="59"/>
    <x v="0"/>
    <d v="2003-04-15T00:00:00"/>
    <x v="282"/>
    <n v="0.28999999999999998"/>
    <n v="43702.71"/>
    <x v="2"/>
    <s v="Sao Paulo"/>
    <m/>
  </r>
  <r>
    <s v="emp-353"/>
    <x v="7"/>
    <x v="6"/>
    <x v="1"/>
    <x v="1"/>
    <n v="37"/>
    <x v="3"/>
    <d v="2013-03-30T00:00:00"/>
    <x v="283"/>
    <n v="0"/>
    <n v="0"/>
    <x v="0"/>
    <s v="Miami"/>
    <m/>
  </r>
  <r>
    <s v="emp-354"/>
    <x v="29"/>
    <x v="0"/>
    <x v="2"/>
    <x v="0"/>
    <n v="30"/>
    <x v="1"/>
    <d v="2019-03-29T00:00:00"/>
    <x v="284"/>
    <n v="0"/>
    <n v="0"/>
    <x v="1"/>
    <s v="Chengdu"/>
    <m/>
  </r>
  <r>
    <s v="emp-355"/>
    <x v="31"/>
    <x v="5"/>
    <x v="2"/>
    <x v="1"/>
    <n v="49"/>
    <x v="2"/>
    <d v="2001-03-29T00:00:00"/>
    <x v="285"/>
    <n v="0"/>
    <n v="0"/>
    <x v="0"/>
    <s v="Miami"/>
    <m/>
  </r>
  <r>
    <s v="emp-356"/>
    <x v="0"/>
    <x v="1"/>
    <x v="3"/>
    <x v="0"/>
    <n v="48"/>
    <x v="2"/>
    <d v="2001-09-10T00:00:00"/>
    <x v="286"/>
    <n v="0.11"/>
    <n v="13830.3"/>
    <x v="1"/>
    <s v="Chongqing"/>
    <m/>
  </r>
  <r>
    <s v="emp-357"/>
    <x v="11"/>
    <x v="0"/>
    <x v="0"/>
    <x v="0"/>
    <n v="51"/>
    <x v="2"/>
    <d v="2012-02-25T00:00:00"/>
    <x v="287"/>
    <n v="0"/>
    <n v="0"/>
    <x v="0"/>
    <s v="Columbus"/>
    <m/>
  </r>
  <r>
    <s v="emp-358"/>
    <x v="24"/>
    <x v="5"/>
    <x v="1"/>
    <x v="1"/>
    <n v="56"/>
    <x v="0"/>
    <d v="1998-01-21T00:00:00"/>
    <x v="288"/>
    <n v="0"/>
    <n v="0"/>
    <x v="0"/>
    <s v="Phoenix"/>
    <m/>
  </r>
  <r>
    <s v="emp-359"/>
    <x v="12"/>
    <x v="2"/>
    <x v="0"/>
    <x v="1"/>
    <n v="36"/>
    <x v="3"/>
    <d v="2012-07-26T00:00:00"/>
    <x v="289"/>
    <n v="7.0000000000000007E-2"/>
    <n v="7412.3700000000008"/>
    <x v="0"/>
    <s v="Seattle"/>
    <m/>
  </r>
  <r>
    <s v="emp-36"/>
    <x v="13"/>
    <x v="0"/>
    <x v="2"/>
    <x v="0"/>
    <n v="32"/>
    <x v="1"/>
    <d v="2014-02-11T00:00:00"/>
    <x v="290"/>
    <n v="0"/>
    <n v="0"/>
    <x v="0"/>
    <s v="Austin"/>
    <m/>
  </r>
  <r>
    <s v="emp-360"/>
    <x v="2"/>
    <x v="6"/>
    <x v="1"/>
    <x v="1"/>
    <n v="38"/>
    <x v="3"/>
    <d v="2021-08-25T00:00:00"/>
    <x v="291"/>
    <n v="0.36"/>
    <n v="91882.8"/>
    <x v="0"/>
    <s v="Austin"/>
    <m/>
  </r>
  <r>
    <s v="emp-361"/>
    <x v="7"/>
    <x v="2"/>
    <x v="2"/>
    <x v="0"/>
    <n v="56"/>
    <x v="0"/>
    <d v="1992-06-15T00:00:00"/>
    <x v="292"/>
    <n v="0"/>
    <n v="0"/>
    <x v="2"/>
    <s v="Sao Paulo"/>
    <m/>
  </r>
  <r>
    <s v="emp-362"/>
    <x v="2"/>
    <x v="5"/>
    <x v="2"/>
    <x v="0"/>
    <n v="52"/>
    <x v="2"/>
    <d v="2012-07-23T00:00:00"/>
    <x v="293"/>
    <n v="0.32"/>
    <n v="59855.360000000001"/>
    <x v="1"/>
    <s v="Chengdu"/>
    <m/>
  </r>
  <r>
    <s v="emp-363"/>
    <x v="7"/>
    <x v="1"/>
    <x v="1"/>
    <x v="0"/>
    <n v="53"/>
    <x v="2"/>
    <d v="2002-02-09T00:00:00"/>
    <x v="294"/>
    <n v="0"/>
    <n v="0"/>
    <x v="0"/>
    <s v="Phoenix"/>
    <m/>
  </r>
  <r>
    <s v="emp-364"/>
    <x v="6"/>
    <x v="4"/>
    <x v="3"/>
    <x v="0"/>
    <n v="60"/>
    <x v="0"/>
    <d v="2017-01-04T00:00:00"/>
    <x v="295"/>
    <n v="0.2"/>
    <n v="35700.400000000001"/>
    <x v="0"/>
    <s v="Austin"/>
    <m/>
  </r>
  <r>
    <s v="emp-365"/>
    <x v="12"/>
    <x v="3"/>
    <x v="1"/>
    <x v="1"/>
    <n v="63"/>
    <x v="0"/>
    <d v="2015-07-29T00:00:00"/>
    <x v="296"/>
    <n v="0.05"/>
    <n v="5186.2000000000007"/>
    <x v="1"/>
    <s v="Shanghai"/>
    <m/>
  </r>
  <r>
    <s v="emp-366"/>
    <x v="6"/>
    <x v="4"/>
    <x v="0"/>
    <x v="0"/>
    <n v="37"/>
    <x v="3"/>
    <d v="2008-03-21T00:00:00"/>
    <x v="297"/>
    <n v="0.22"/>
    <n v="34380.94"/>
    <x v="2"/>
    <s v="Manaus"/>
    <m/>
  </r>
  <r>
    <s v="emp-367"/>
    <x v="8"/>
    <x v="4"/>
    <x v="0"/>
    <x v="0"/>
    <n v="30"/>
    <x v="1"/>
    <d v="2017-12-17T00:00:00"/>
    <x v="298"/>
    <n v="0"/>
    <n v="0"/>
    <x v="2"/>
    <s v="Sao Paulo"/>
    <m/>
  </r>
  <r>
    <s v="emp-368"/>
    <x v="7"/>
    <x v="1"/>
    <x v="2"/>
    <x v="1"/>
    <n v="30"/>
    <x v="1"/>
    <d v="2019-03-18T00:00:00"/>
    <x v="299"/>
    <n v="0"/>
    <n v="0"/>
    <x v="0"/>
    <s v="Columbus"/>
    <m/>
  </r>
  <r>
    <s v="emp-369"/>
    <x v="13"/>
    <x v="0"/>
    <x v="3"/>
    <x v="0"/>
    <n v="45"/>
    <x v="2"/>
    <d v="2013-08-25T00:00:00"/>
    <x v="300"/>
    <n v="0"/>
    <n v="0"/>
    <x v="1"/>
    <s v="Beijing"/>
    <m/>
  </r>
  <r>
    <s v="emp-37"/>
    <x v="9"/>
    <x v="4"/>
    <x v="2"/>
    <x v="0"/>
    <n v="34"/>
    <x v="1"/>
    <d v="2019-12-16T00:00:00"/>
    <x v="301"/>
    <n v="0"/>
    <n v="0"/>
    <x v="1"/>
    <s v="Chengdu"/>
    <m/>
  </r>
  <r>
    <s v="emp-370"/>
    <x v="0"/>
    <x v="3"/>
    <x v="0"/>
    <x v="0"/>
    <n v="55"/>
    <x v="0"/>
    <d v="2006-06-20T00:00:00"/>
    <x v="302"/>
    <n v="0.12"/>
    <n v="17115.36"/>
    <x v="1"/>
    <s v="Chongqing"/>
    <m/>
  </r>
  <r>
    <s v="emp-371"/>
    <x v="1"/>
    <x v="6"/>
    <x v="2"/>
    <x v="0"/>
    <n v="33"/>
    <x v="1"/>
    <d v="2014-04-27T00:00:00"/>
    <x v="303"/>
    <n v="0"/>
    <n v="0"/>
    <x v="2"/>
    <s v="Sao Paulo"/>
    <m/>
  </r>
  <r>
    <s v="emp-372"/>
    <x v="23"/>
    <x v="0"/>
    <x v="2"/>
    <x v="0"/>
    <n v="65"/>
    <x v="4"/>
    <d v="2018-05-14T00:00:00"/>
    <x v="304"/>
    <n v="0"/>
    <n v="0"/>
    <x v="0"/>
    <s v="Seattle"/>
    <m/>
  </r>
  <r>
    <s v="emp-373"/>
    <x v="0"/>
    <x v="0"/>
    <x v="0"/>
    <x v="0"/>
    <n v="60"/>
    <x v="0"/>
    <d v="2010-07-24T00:00:00"/>
    <x v="305"/>
    <n v="0.1"/>
    <n v="12691.1"/>
    <x v="1"/>
    <s v="Shanghai"/>
    <m/>
  </r>
  <r>
    <s v="emp-374"/>
    <x v="2"/>
    <x v="2"/>
    <x v="0"/>
    <x v="1"/>
    <n v="56"/>
    <x v="0"/>
    <d v="2004-02-25T00:00:00"/>
    <x v="306"/>
    <n v="0.32"/>
    <n v="69423.680000000008"/>
    <x v="1"/>
    <s v="Shanghai"/>
    <m/>
  </r>
  <r>
    <s v="emp-375"/>
    <x v="6"/>
    <x v="4"/>
    <x v="2"/>
    <x v="1"/>
    <n v="53"/>
    <x v="2"/>
    <d v="2012-10-22T00:00:00"/>
    <x v="307"/>
    <n v="0.28999999999999998"/>
    <n v="48867.899999999994"/>
    <x v="0"/>
    <s v="Seattle"/>
    <m/>
  </r>
  <r>
    <s v="emp-376"/>
    <x v="8"/>
    <x v="4"/>
    <x v="1"/>
    <x v="0"/>
    <n v="36"/>
    <x v="3"/>
    <d v="2016-03-14T00:00:00"/>
    <x v="308"/>
    <n v="0"/>
    <n v="0"/>
    <x v="2"/>
    <s v="Sao Paulo"/>
    <m/>
  </r>
  <r>
    <s v="emp-377"/>
    <x v="1"/>
    <x v="6"/>
    <x v="3"/>
    <x v="0"/>
    <n v="46"/>
    <x v="2"/>
    <d v="2002-01-15T00:00:00"/>
    <x v="309"/>
    <n v="0"/>
    <n v="0"/>
    <x v="1"/>
    <s v="Beijing"/>
    <d v="2003-01-02T00:00:00"/>
  </r>
  <r>
    <s v="emp-378"/>
    <x v="12"/>
    <x v="2"/>
    <x v="1"/>
    <x v="0"/>
    <n v="38"/>
    <x v="3"/>
    <d v="2017-09-21T00:00:00"/>
    <x v="310"/>
    <n v="0.09"/>
    <n v="10768.23"/>
    <x v="2"/>
    <s v="Sao Paulo"/>
    <m/>
  </r>
  <r>
    <s v="emp-379"/>
    <x v="13"/>
    <x v="0"/>
    <x v="0"/>
    <x v="1"/>
    <n v="62"/>
    <x v="0"/>
    <d v="2001-04-15T00:00:00"/>
    <x v="311"/>
    <n v="0"/>
    <n v="0"/>
    <x v="0"/>
    <s v="Columbus"/>
    <m/>
  </r>
  <r>
    <s v="emp-38"/>
    <x v="2"/>
    <x v="6"/>
    <x v="0"/>
    <x v="1"/>
    <n v="27"/>
    <x v="1"/>
    <d v="2019-10-20T00:00:00"/>
    <x v="312"/>
    <n v="0.3"/>
    <n v="76926"/>
    <x v="0"/>
    <s v="Phoenix"/>
    <m/>
  </r>
  <r>
    <s v="emp-380"/>
    <x v="25"/>
    <x v="4"/>
    <x v="0"/>
    <x v="0"/>
    <n v="61"/>
    <x v="0"/>
    <d v="2010-01-15T00:00:00"/>
    <x v="313"/>
    <n v="0.13"/>
    <n v="12754.300000000001"/>
    <x v="0"/>
    <s v="Chicago"/>
    <m/>
  </r>
  <r>
    <s v="emp-381"/>
    <x v="23"/>
    <x v="0"/>
    <x v="1"/>
    <x v="0"/>
    <n v="59"/>
    <x v="0"/>
    <d v="2017-10-20T00:00:00"/>
    <x v="314"/>
    <n v="0"/>
    <n v="0"/>
    <x v="0"/>
    <s v="Phoenix"/>
    <m/>
  </r>
  <r>
    <s v="emp-382"/>
    <x v="21"/>
    <x v="0"/>
    <x v="1"/>
    <x v="0"/>
    <n v="49"/>
    <x v="2"/>
    <d v="2010-09-10T00:00:00"/>
    <x v="315"/>
    <n v="0"/>
    <n v="0"/>
    <x v="1"/>
    <s v="Beijing"/>
    <m/>
  </r>
  <r>
    <s v="emp-383"/>
    <x v="6"/>
    <x v="6"/>
    <x v="2"/>
    <x v="0"/>
    <n v="64"/>
    <x v="0"/>
    <d v="2011-02-14T00:00:00"/>
    <x v="316"/>
    <n v="0.19"/>
    <n v="32531.23"/>
    <x v="0"/>
    <s v="Seattle"/>
    <m/>
  </r>
  <r>
    <s v="emp-384"/>
    <x v="12"/>
    <x v="0"/>
    <x v="0"/>
    <x v="0"/>
    <n v="57"/>
    <x v="0"/>
    <d v="2020-04-27T00:00:00"/>
    <x v="317"/>
    <n v="7.0000000000000007E-2"/>
    <n v="7214.06"/>
    <x v="0"/>
    <s v="Columbus"/>
    <m/>
  </r>
  <r>
    <s v="emp-385"/>
    <x v="12"/>
    <x v="2"/>
    <x v="1"/>
    <x v="1"/>
    <n v="52"/>
    <x v="2"/>
    <d v="2014-08-07T00:00:00"/>
    <x v="318"/>
    <n v="7.0000000000000007E-2"/>
    <n v="8194.34"/>
    <x v="0"/>
    <s v="Phoenix"/>
    <m/>
  </r>
  <r>
    <s v="emp-386"/>
    <x v="0"/>
    <x v="3"/>
    <x v="1"/>
    <x v="1"/>
    <n v="40"/>
    <x v="3"/>
    <d v="2019-01-23T00:00:00"/>
    <x v="319"/>
    <n v="0.1"/>
    <n v="15903.1"/>
    <x v="0"/>
    <s v="Miami"/>
    <m/>
  </r>
  <r>
    <s v="emp-387"/>
    <x v="0"/>
    <x v="0"/>
    <x v="0"/>
    <x v="0"/>
    <n v="49"/>
    <x v="2"/>
    <d v="2004-01-14T00:00:00"/>
    <x v="320"/>
    <n v="0.1"/>
    <n v="12508.6"/>
    <x v="2"/>
    <s v="Sao Paulo"/>
    <m/>
  </r>
  <r>
    <s v="emp-388"/>
    <x v="11"/>
    <x v="0"/>
    <x v="1"/>
    <x v="1"/>
    <n v="43"/>
    <x v="3"/>
    <d v="2016-04-07T00:00:00"/>
    <x v="321"/>
    <n v="0"/>
    <n v="0"/>
    <x v="0"/>
    <s v="Seattle"/>
    <m/>
  </r>
  <r>
    <s v="emp-389"/>
    <x v="7"/>
    <x v="1"/>
    <x v="1"/>
    <x v="1"/>
    <n v="31"/>
    <x v="1"/>
    <d v="2021-04-22T00:00:00"/>
    <x v="322"/>
    <n v="0"/>
    <n v="0"/>
    <x v="0"/>
    <s v="Phoenix"/>
    <m/>
  </r>
  <r>
    <s v="emp-39"/>
    <x v="21"/>
    <x v="0"/>
    <x v="2"/>
    <x v="0"/>
    <n v="35"/>
    <x v="3"/>
    <d v="2013-05-15T00:00:00"/>
    <x v="323"/>
    <n v="0"/>
    <n v="0"/>
    <x v="0"/>
    <s v="Miami"/>
    <m/>
  </r>
  <r>
    <s v="emp-390"/>
    <x v="6"/>
    <x v="3"/>
    <x v="2"/>
    <x v="1"/>
    <n v="55"/>
    <x v="0"/>
    <d v="2010-06-11T00:00:00"/>
    <x v="324"/>
    <n v="0.25"/>
    <n v="46847.25"/>
    <x v="1"/>
    <s v="Chengdu"/>
    <m/>
  </r>
  <r>
    <s v="emp-391"/>
    <x v="0"/>
    <x v="5"/>
    <x v="1"/>
    <x v="0"/>
    <n v="41"/>
    <x v="3"/>
    <d v="2008-10-26T00:00:00"/>
    <x v="325"/>
    <n v="0.13"/>
    <n v="17139.330000000002"/>
    <x v="0"/>
    <s v="Columbus"/>
    <m/>
  </r>
  <r>
    <s v="emp-392"/>
    <x v="1"/>
    <x v="3"/>
    <x v="0"/>
    <x v="1"/>
    <n v="34"/>
    <x v="1"/>
    <d v="2011-07-26T00:00:00"/>
    <x v="326"/>
    <n v="0"/>
    <n v="0"/>
    <x v="1"/>
    <s v="Beijing"/>
    <m/>
  </r>
  <r>
    <s v="emp-393"/>
    <x v="0"/>
    <x v="1"/>
    <x v="3"/>
    <x v="0"/>
    <n v="41"/>
    <x v="3"/>
    <d v="2004-03-14T00:00:00"/>
    <x v="327"/>
    <n v="0.12"/>
    <n v="18600.48"/>
    <x v="0"/>
    <s v="Austin"/>
    <m/>
  </r>
  <r>
    <s v="emp-394"/>
    <x v="17"/>
    <x v="0"/>
    <x v="2"/>
    <x v="1"/>
    <n v="40"/>
    <x v="3"/>
    <d v="2007-07-30T00:00:00"/>
    <x v="328"/>
    <n v="0"/>
    <n v="0"/>
    <x v="0"/>
    <s v="Seattle"/>
    <m/>
  </r>
  <r>
    <s v="emp-395"/>
    <x v="26"/>
    <x v="0"/>
    <x v="2"/>
    <x v="1"/>
    <n v="42"/>
    <x v="3"/>
    <d v="2006-09-24T00:00:00"/>
    <x v="329"/>
    <n v="0"/>
    <n v="0"/>
    <x v="0"/>
    <s v="Chicago"/>
    <m/>
  </r>
  <r>
    <s v="emp-396"/>
    <x v="2"/>
    <x v="5"/>
    <x v="3"/>
    <x v="1"/>
    <n v="31"/>
    <x v="1"/>
    <d v="2015-09-03T00:00:00"/>
    <x v="330"/>
    <n v="0.34"/>
    <n v="85324.02"/>
    <x v="0"/>
    <s v="Columbus"/>
    <m/>
  </r>
  <r>
    <s v="emp-397"/>
    <x v="6"/>
    <x v="6"/>
    <x v="0"/>
    <x v="1"/>
    <n v="49"/>
    <x v="2"/>
    <d v="1999-02-19T00:00:00"/>
    <x v="331"/>
    <n v="0.21"/>
    <n v="40279.47"/>
    <x v="1"/>
    <s v="Chongqing"/>
    <m/>
  </r>
  <r>
    <s v="emp-398"/>
    <x v="21"/>
    <x v="0"/>
    <x v="1"/>
    <x v="1"/>
    <n v="42"/>
    <x v="3"/>
    <d v="2014-06-23T00:00:00"/>
    <x v="332"/>
    <n v="0"/>
    <n v="0"/>
    <x v="1"/>
    <s v="Chongqing"/>
    <m/>
  </r>
  <r>
    <s v="emp-399"/>
    <x v="0"/>
    <x v="0"/>
    <x v="3"/>
    <x v="1"/>
    <n v="46"/>
    <x v="2"/>
    <d v="2004-09-14T00:00:00"/>
    <x v="333"/>
    <n v="0.11"/>
    <n v="14330.14"/>
    <x v="0"/>
    <s v="Chicago"/>
    <m/>
  </r>
  <r>
    <s v="emp-4"/>
    <x v="4"/>
    <x v="0"/>
    <x v="2"/>
    <x v="0"/>
    <n v="26"/>
    <x v="1"/>
    <d v="2019-09-27T00:00:00"/>
    <x v="334"/>
    <n v="7.0000000000000007E-2"/>
    <n v="5943.9100000000008"/>
    <x v="0"/>
    <s v="Chicago"/>
    <m/>
  </r>
  <r>
    <s v="emp-40"/>
    <x v="13"/>
    <x v="0"/>
    <x v="3"/>
    <x v="0"/>
    <n v="57"/>
    <x v="0"/>
    <d v="1994-01-03T00:00:00"/>
    <x v="335"/>
    <n v="0"/>
    <n v="0"/>
    <x v="2"/>
    <s v="Manaus"/>
    <m/>
  </r>
  <r>
    <s v="emp-400"/>
    <x v="23"/>
    <x v="0"/>
    <x v="0"/>
    <x v="1"/>
    <n v="37"/>
    <x v="3"/>
    <d v="2017-07-06T00:00:00"/>
    <x v="336"/>
    <n v="0"/>
    <n v="0"/>
    <x v="1"/>
    <s v="Shanghai"/>
    <m/>
  </r>
  <r>
    <s v="emp-401"/>
    <x v="0"/>
    <x v="1"/>
    <x v="0"/>
    <x v="0"/>
    <n v="51"/>
    <x v="2"/>
    <d v="2006-04-28T00:00:00"/>
    <x v="337"/>
    <n v="0.13"/>
    <n v="19598.54"/>
    <x v="0"/>
    <s v="Chicago"/>
    <d v="2007-08-16T00:00:00"/>
  </r>
  <r>
    <s v="emp-402"/>
    <x v="6"/>
    <x v="4"/>
    <x v="3"/>
    <x v="1"/>
    <n v="46"/>
    <x v="2"/>
    <d v="2014-07-19T00:00:00"/>
    <x v="338"/>
    <n v="0.21"/>
    <n v="36462.089999999997"/>
    <x v="2"/>
    <s v="Sao Paulo"/>
    <m/>
  </r>
  <r>
    <s v="emp-403"/>
    <x v="22"/>
    <x v="0"/>
    <x v="3"/>
    <x v="1"/>
    <n v="55"/>
    <x v="0"/>
    <d v="1998-05-04T00:00:00"/>
    <x v="339"/>
    <n v="0"/>
    <n v="0"/>
    <x v="0"/>
    <s v="Chicago"/>
    <m/>
  </r>
  <r>
    <s v="emp-404"/>
    <x v="7"/>
    <x v="3"/>
    <x v="2"/>
    <x v="1"/>
    <n v="43"/>
    <x v="3"/>
    <d v="2017-10-20T00:00:00"/>
    <x v="340"/>
    <n v="0"/>
    <n v="0"/>
    <x v="0"/>
    <s v="Phoenix"/>
    <m/>
  </r>
  <r>
    <s v="emp-405"/>
    <x v="7"/>
    <x v="6"/>
    <x v="2"/>
    <x v="1"/>
    <n v="48"/>
    <x v="2"/>
    <d v="2005-09-28T00:00:00"/>
    <x v="341"/>
    <n v="0"/>
    <n v="0"/>
    <x v="0"/>
    <s v="Austin"/>
    <m/>
  </r>
  <r>
    <s v="emp-406"/>
    <x v="11"/>
    <x v="0"/>
    <x v="3"/>
    <x v="1"/>
    <n v="48"/>
    <x v="2"/>
    <d v="2003-08-11T00:00:00"/>
    <x v="342"/>
    <n v="0"/>
    <n v="0"/>
    <x v="0"/>
    <s v="Seattle"/>
    <m/>
  </r>
  <r>
    <s v="emp-407"/>
    <x v="1"/>
    <x v="6"/>
    <x v="2"/>
    <x v="1"/>
    <n v="51"/>
    <x v="2"/>
    <d v="2012-04-14T00:00:00"/>
    <x v="343"/>
    <n v="0"/>
    <n v="0"/>
    <x v="1"/>
    <s v="Chengdu"/>
    <m/>
  </r>
  <r>
    <s v="emp-408"/>
    <x v="19"/>
    <x v="4"/>
    <x v="0"/>
    <x v="0"/>
    <n v="46"/>
    <x v="2"/>
    <d v="2008-01-24T00:00:00"/>
    <x v="344"/>
    <n v="0"/>
    <n v="0"/>
    <x v="0"/>
    <s v="Chicago"/>
    <m/>
  </r>
  <r>
    <s v="emp-409"/>
    <x v="1"/>
    <x v="6"/>
    <x v="0"/>
    <x v="1"/>
    <n v="33"/>
    <x v="1"/>
    <d v="2014-11-30T00:00:00"/>
    <x v="345"/>
    <n v="0"/>
    <n v="0"/>
    <x v="0"/>
    <s v="Miami"/>
    <m/>
  </r>
  <r>
    <s v="emp-41"/>
    <x v="24"/>
    <x v="5"/>
    <x v="1"/>
    <x v="1"/>
    <n v="30"/>
    <x v="1"/>
    <d v="2017-05-29T00:00:00"/>
    <x v="346"/>
    <n v="0"/>
    <n v="0"/>
    <x v="1"/>
    <s v="Chengdu"/>
    <d v="2017-07-16T00:00:00"/>
  </r>
  <r>
    <s v="emp-410"/>
    <x v="32"/>
    <x v="5"/>
    <x v="2"/>
    <x v="0"/>
    <n v="42"/>
    <x v="3"/>
    <d v="2020-09-18T00:00:00"/>
    <x v="347"/>
    <n v="0"/>
    <n v="0"/>
    <x v="0"/>
    <s v="Columbus"/>
    <m/>
  </r>
  <r>
    <s v="emp-411"/>
    <x v="27"/>
    <x v="0"/>
    <x v="2"/>
    <x v="0"/>
    <n v="55"/>
    <x v="0"/>
    <d v="2011-11-21T00:00:00"/>
    <x v="348"/>
    <n v="0"/>
    <n v="0"/>
    <x v="0"/>
    <s v="Chicago"/>
    <m/>
  </r>
  <r>
    <s v="emp-412"/>
    <x v="2"/>
    <x v="4"/>
    <x v="2"/>
    <x v="0"/>
    <n v="50"/>
    <x v="2"/>
    <d v="2008-10-13T00:00:00"/>
    <x v="349"/>
    <n v="0.4"/>
    <n v="72720.400000000009"/>
    <x v="1"/>
    <s v="Chongqing"/>
    <d v="2019-12-11T00:00:00"/>
  </r>
  <r>
    <s v="emp-413"/>
    <x v="28"/>
    <x v="2"/>
    <x v="2"/>
    <x v="0"/>
    <n v="26"/>
    <x v="1"/>
    <d v="2021-11-21T00:00:00"/>
    <x v="350"/>
    <n v="0"/>
    <n v="0"/>
    <x v="0"/>
    <s v="Chicago"/>
    <m/>
  </r>
  <r>
    <s v="emp-414"/>
    <x v="2"/>
    <x v="4"/>
    <x v="2"/>
    <x v="0"/>
    <n v="55"/>
    <x v="0"/>
    <d v="2018-09-02T00:00:00"/>
    <x v="351"/>
    <n v="0.34"/>
    <n v="75298.100000000006"/>
    <x v="1"/>
    <s v="Chengdu"/>
    <m/>
  </r>
  <r>
    <s v="emp-415"/>
    <x v="18"/>
    <x v="4"/>
    <x v="0"/>
    <x v="0"/>
    <n v="50"/>
    <x v="2"/>
    <d v="2013-05-10T00:00:00"/>
    <x v="352"/>
    <n v="0"/>
    <n v="0"/>
    <x v="0"/>
    <s v="Austin"/>
    <d v="2019-08-04T00:00:00"/>
  </r>
  <r>
    <s v="emp-416"/>
    <x v="22"/>
    <x v="0"/>
    <x v="2"/>
    <x v="0"/>
    <n v="28"/>
    <x v="1"/>
    <d v="2018-01-22T00:00:00"/>
    <x v="353"/>
    <n v="0"/>
    <n v="0"/>
    <x v="0"/>
    <s v="Seattle"/>
    <m/>
  </r>
  <r>
    <s v="emp-417"/>
    <x v="0"/>
    <x v="1"/>
    <x v="0"/>
    <x v="0"/>
    <n v="39"/>
    <x v="3"/>
    <d v="2019-10-18T00:00:00"/>
    <x v="354"/>
    <n v="0.11"/>
    <n v="13511.19"/>
    <x v="0"/>
    <s v="Chicago"/>
    <m/>
  </r>
  <r>
    <s v="emp-418"/>
    <x v="0"/>
    <x v="6"/>
    <x v="1"/>
    <x v="0"/>
    <n v="31"/>
    <x v="1"/>
    <d v="2019-08-18T00:00:00"/>
    <x v="355"/>
    <n v="0.12"/>
    <n v="15162.359999999999"/>
    <x v="1"/>
    <s v="Shanghai"/>
    <m/>
  </r>
  <r>
    <s v="emp-419"/>
    <x v="6"/>
    <x v="3"/>
    <x v="1"/>
    <x v="0"/>
    <n v="55"/>
    <x v="0"/>
    <d v="2010-10-17T00:00:00"/>
    <x v="356"/>
    <n v="0.23"/>
    <n v="43407.21"/>
    <x v="1"/>
    <s v="Chengdu"/>
    <m/>
  </r>
  <r>
    <s v="emp-42"/>
    <x v="12"/>
    <x v="6"/>
    <x v="1"/>
    <x v="0"/>
    <n v="53"/>
    <x v="2"/>
    <d v="2013-11-23T00:00:00"/>
    <x v="357"/>
    <n v="0.05"/>
    <n v="5656.75"/>
    <x v="0"/>
    <s v="Austin"/>
    <m/>
  </r>
  <r>
    <s v="emp-420"/>
    <x v="1"/>
    <x v="2"/>
    <x v="0"/>
    <x v="1"/>
    <n v="52"/>
    <x v="2"/>
    <d v="1994-02-18T00:00:00"/>
    <x v="358"/>
    <n v="0"/>
    <n v="0"/>
    <x v="0"/>
    <s v="Seattle"/>
    <m/>
  </r>
  <r>
    <s v="emp-421"/>
    <x v="12"/>
    <x v="2"/>
    <x v="1"/>
    <x v="0"/>
    <n v="55"/>
    <x v="0"/>
    <d v="2012-10-20T00:00:00"/>
    <x v="359"/>
    <n v="0.06"/>
    <n v="6521.16"/>
    <x v="0"/>
    <s v="Columbus"/>
    <m/>
  </r>
  <r>
    <s v="emp-422"/>
    <x v="15"/>
    <x v="3"/>
    <x v="3"/>
    <x v="0"/>
    <n v="56"/>
    <x v="0"/>
    <d v="1995-04-13T00:00:00"/>
    <x v="360"/>
    <n v="0"/>
    <n v="0"/>
    <x v="2"/>
    <s v="Manaus"/>
    <m/>
  </r>
  <r>
    <s v="emp-423"/>
    <x v="16"/>
    <x v="4"/>
    <x v="2"/>
    <x v="1"/>
    <n v="47"/>
    <x v="2"/>
    <d v="2001-01-02T00:00:00"/>
    <x v="361"/>
    <n v="0"/>
    <n v="0"/>
    <x v="0"/>
    <s v="Chicago"/>
    <m/>
  </r>
  <r>
    <s v="emp-424"/>
    <x v="6"/>
    <x v="2"/>
    <x v="1"/>
    <x v="0"/>
    <n v="63"/>
    <x v="0"/>
    <d v="2020-06-14T00:00:00"/>
    <x v="362"/>
    <n v="0.27"/>
    <n v="48928.32"/>
    <x v="0"/>
    <s v="Columbus"/>
    <m/>
  </r>
  <r>
    <s v="emp-425"/>
    <x v="15"/>
    <x v="1"/>
    <x v="3"/>
    <x v="0"/>
    <n v="63"/>
    <x v="0"/>
    <d v="2012-03-16T00:00:00"/>
    <x v="363"/>
    <n v="0"/>
    <n v="0"/>
    <x v="0"/>
    <s v="Chicago"/>
    <m/>
  </r>
  <r>
    <s v="emp-426"/>
    <x v="0"/>
    <x v="3"/>
    <x v="3"/>
    <x v="0"/>
    <n v="55"/>
    <x v="0"/>
    <d v="2004-05-28T00:00:00"/>
    <x v="364"/>
    <n v="0.12"/>
    <n v="19186.2"/>
    <x v="0"/>
    <s v="Columbus"/>
    <m/>
  </r>
  <r>
    <s v="emp-427"/>
    <x v="6"/>
    <x v="2"/>
    <x v="2"/>
    <x v="0"/>
    <n v="55"/>
    <x v="0"/>
    <d v="1995-10-29T00:00:00"/>
    <x v="365"/>
    <n v="0.15"/>
    <n v="22990.649999999998"/>
    <x v="0"/>
    <s v="Austin"/>
    <m/>
  </r>
  <r>
    <s v="emp-428"/>
    <x v="12"/>
    <x v="5"/>
    <x v="2"/>
    <x v="1"/>
    <n v="42"/>
    <x v="3"/>
    <d v="2009-12-12T00:00:00"/>
    <x v="366"/>
    <n v="0.08"/>
    <n v="9139.36"/>
    <x v="0"/>
    <s v="Phoenix"/>
    <m/>
  </r>
  <r>
    <s v="emp-429"/>
    <x v="26"/>
    <x v="0"/>
    <x v="1"/>
    <x v="0"/>
    <n v="39"/>
    <x v="3"/>
    <d v="2020-11-18T00:00:00"/>
    <x v="367"/>
    <n v="0"/>
    <n v="0"/>
    <x v="1"/>
    <s v="Shanghai"/>
    <m/>
  </r>
  <r>
    <s v="emp-43"/>
    <x v="2"/>
    <x v="0"/>
    <x v="1"/>
    <x v="1"/>
    <n v="52"/>
    <x v="2"/>
    <d v="2005-11-08T00:00:00"/>
    <x v="368"/>
    <n v="0.32"/>
    <n v="63938.560000000005"/>
    <x v="0"/>
    <s v="Seattle"/>
    <m/>
  </r>
  <r>
    <s v="emp-430"/>
    <x v="5"/>
    <x v="4"/>
    <x v="2"/>
    <x v="1"/>
    <n v="35"/>
    <x v="3"/>
    <d v="2017-05-23T00:00:00"/>
    <x v="369"/>
    <n v="0"/>
    <n v="0"/>
    <x v="0"/>
    <s v="Seattle"/>
    <m/>
  </r>
  <r>
    <s v="emp-431"/>
    <x v="0"/>
    <x v="6"/>
    <x v="0"/>
    <x v="1"/>
    <n v="45"/>
    <x v="2"/>
    <d v="2001-05-03T00:00:00"/>
    <x v="370"/>
    <n v="0.12"/>
    <n v="17730.239999999998"/>
    <x v="1"/>
    <s v="Shanghai"/>
    <d v="2011-12-26T00:00:00"/>
  </r>
  <r>
    <s v="emp-432"/>
    <x v="0"/>
    <x v="6"/>
    <x v="2"/>
    <x v="0"/>
    <n v="25"/>
    <x v="1"/>
    <d v="2021-09-14T00:00:00"/>
    <x v="371"/>
    <n v="0.14000000000000001"/>
    <n v="19153.400000000001"/>
    <x v="1"/>
    <s v="Chongqing"/>
    <m/>
  </r>
  <r>
    <s v="emp-433"/>
    <x v="15"/>
    <x v="2"/>
    <x v="3"/>
    <x v="1"/>
    <n v="47"/>
    <x v="2"/>
    <d v="2013-02-28T00:00:00"/>
    <x v="372"/>
    <n v="0"/>
    <n v="0"/>
    <x v="0"/>
    <s v="Chicago"/>
    <m/>
  </r>
  <r>
    <s v="emp-434"/>
    <x v="14"/>
    <x v="0"/>
    <x v="3"/>
    <x v="0"/>
    <n v="42"/>
    <x v="3"/>
    <d v="2020-02-05T00:00:00"/>
    <x v="373"/>
    <n v="0"/>
    <n v="0"/>
    <x v="0"/>
    <s v="Columbus"/>
    <m/>
  </r>
  <r>
    <s v="emp-435"/>
    <x v="11"/>
    <x v="0"/>
    <x v="2"/>
    <x v="0"/>
    <n v="35"/>
    <x v="3"/>
    <d v="2014-10-29T00:00:00"/>
    <x v="374"/>
    <n v="0"/>
    <n v="0"/>
    <x v="0"/>
    <s v="Chicago"/>
    <m/>
  </r>
  <r>
    <s v="emp-436"/>
    <x v="32"/>
    <x v="5"/>
    <x v="0"/>
    <x v="0"/>
    <n v="45"/>
    <x v="2"/>
    <d v="2000-08-17T00:00:00"/>
    <x v="375"/>
    <n v="0"/>
    <n v="0"/>
    <x v="1"/>
    <s v="Chengdu"/>
    <m/>
  </r>
  <r>
    <s v="emp-437"/>
    <x v="6"/>
    <x v="0"/>
    <x v="0"/>
    <x v="0"/>
    <n v="52"/>
    <x v="2"/>
    <d v="1996-02-14T00:00:00"/>
    <x v="376"/>
    <n v="0.23"/>
    <n v="36736.520000000004"/>
    <x v="1"/>
    <s v="Beijing"/>
    <m/>
  </r>
  <r>
    <s v="emp-438"/>
    <x v="2"/>
    <x v="6"/>
    <x v="3"/>
    <x v="1"/>
    <n v="57"/>
    <x v="0"/>
    <d v="2017-08-04T00:00:00"/>
    <x v="377"/>
    <n v="0.36"/>
    <n v="65948.399999999994"/>
    <x v="0"/>
    <s v="Chicago"/>
    <m/>
  </r>
  <r>
    <s v="emp-439"/>
    <x v="15"/>
    <x v="3"/>
    <x v="1"/>
    <x v="0"/>
    <n v="56"/>
    <x v="0"/>
    <d v="2019-12-25T00:00:00"/>
    <x v="378"/>
    <n v="0"/>
    <n v="0"/>
    <x v="0"/>
    <s v="Phoenix"/>
    <m/>
  </r>
  <r>
    <s v="emp-44"/>
    <x v="28"/>
    <x v="2"/>
    <x v="1"/>
    <x v="1"/>
    <n v="37"/>
    <x v="3"/>
    <d v="2013-11-14T00:00:00"/>
    <x v="379"/>
    <n v="0"/>
    <n v="0"/>
    <x v="1"/>
    <s v="Shanghai"/>
    <m/>
  </r>
  <r>
    <s v="emp-440"/>
    <x v="18"/>
    <x v="4"/>
    <x v="3"/>
    <x v="1"/>
    <n v="46"/>
    <x v="2"/>
    <d v="2005-04-22T00:00:00"/>
    <x v="380"/>
    <n v="0"/>
    <n v="0"/>
    <x v="2"/>
    <s v="Rio de Janerio"/>
    <m/>
  </r>
  <r>
    <s v="emp-441"/>
    <x v="12"/>
    <x v="6"/>
    <x v="1"/>
    <x v="0"/>
    <n v="43"/>
    <x v="3"/>
    <d v="2006-06-11T00:00:00"/>
    <x v="381"/>
    <n v="0.09"/>
    <n v="10555.02"/>
    <x v="0"/>
    <s v="Miami"/>
    <m/>
  </r>
  <r>
    <s v="emp-442"/>
    <x v="4"/>
    <x v="0"/>
    <x v="1"/>
    <x v="1"/>
    <n v="53"/>
    <x v="2"/>
    <d v="2008-02-09T00:00:00"/>
    <x v="382"/>
    <n v="0.09"/>
    <n v="7577.37"/>
    <x v="1"/>
    <s v="Shanghai"/>
    <m/>
  </r>
  <r>
    <s v="emp-443"/>
    <x v="30"/>
    <x v="0"/>
    <x v="2"/>
    <x v="0"/>
    <n v="47"/>
    <x v="2"/>
    <d v="2018-07-28T00:00:00"/>
    <x v="383"/>
    <n v="0"/>
    <n v="0"/>
    <x v="0"/>
    <s v="Seattle"/>
    <m/>
  </r>
  <r>
    <s v="emp-444"/>
    <x v="3"/>
    <x v="4"/>
    <x v="0"/>
    <x v="1"/>
    <n v="62"/>
    <x v="0"/>
    <d v="2011-10-04T00:00:00"/>
    <x v="384"/>
    <n v="0"/>
    <n v="0"/>
    <x v="0"/>
    <s v="Seattle"/>
    <m/>
  </r>
  <r>
    <s v="emp-445"/>
    <x v="2"/>
    <x v="0"/>
    <x v="0"/>
    <x v="1"/>
    <n v="35"/>
    <x v="3"/>
    <d v="2015-06-11T00:00:00"/>
    <x v="385"/>
    <n v="0.36"/>
    <n v="84500.28"/>
    <x v="1"/>
    <s v="Shanghai"/>
    <m/>
  </r>
  <r>
    <s v="emp-446"/>
    <x v="15"/>
    <x v="3"/>
    <x v="3"/>
    <x v="0"/>
    <n v="27"/>
    <x v="1"/>
    <d v="2019-08-24T00:00:00"/>
    <x v="386"/>
    <n v="0"/>
    <n v="0"/>
    <x v="1"/>
    <s v="Chongqing"/>
    <m/>
  </r>
  <r>
    <s v="emp-447"/>
    <x v="1"/>
    <x v="1"/>
    <x v="2"/>
    <x v="1"/>
    <n v="55"/>
    <x v="0"/>
    <d v="2002-07-19T00:00:00"/>
    <x v="387"/>
    <n v="0"/>
    <n v="0"/>
    <x v="0"/>
    <s v="Miami"/>
    <m/>
  </r>
  <r>
    <s v="emp-448"/>
    <x v="1"/>
    <x v="1"/>
    <x v="1"/>
    <x v="0"/>
    <n v="63"/>
    <x v="0"/>
    <d v="1999-12-31T00:00:00"/>
    <x v="388"/>
    <n v="0"/>
    <n v="0"/>
    <x v="0"/>
    <s v="Phoenix"/>
    <m/>
  </r>
  <r>
    <s v="emp-449"/>
    <x v="14"/>
    <x v="0"/>
    <x v="3"/>
    <x v="0"/>
    <n v="53"/>
    <x v="2"/>
    <d v="2011-07-20T00:00:00"/>
    <x v="389"/>
    <n v="0"/>
    <n v="0"/>
    <x v="1"/>
    <s v="Chongqing"/>
    <m/>
  </r>
  <r>
    <s v="emp-45"/>
    <x v="0"/>
    <x v="6"/>
    <x v="0"/>
    <x v="0"/>
    <n v="29"/>
    <x v="1"/>
    <d v="2019-05-24T00:00:00"/>
    <x v="390"/>
    <n v="0.12"/>
    <n v="14682"/>
    <x v="0"/>
    <s v="Phoenix"/>
    <m/>
  </r>
  <r>
    <s v="emp-450"/>
    <x v="2"/>
    <x v="2"/>
    <x v="2"/>
    <x v="0"/>
    <n v="54"/>
    <x v="2"/>
    <d v="2000-08-19T00:00:00"/>
    <x v="391"/>
    <n v="0.38"/>
    <n v="84445.119999999995"/>
    <x v="0"/>
    <s v="Columbus"/>
    <m/>
  </r>
  <r>
    <s v="emp-451"/>
    <x v="0"/>
    <x v="1"/>
    <x v="0"/>
    <x v="1"/>
    <n v="43"/>
    <x v="3"/>
    <d v="2021-04-17T00:00:00"/>
    <x v="124"/>
    <n v="0.15"/>
    <n v="21921"/>
    <x v="0"/>
    <s v="Seattle"/>
    <m/>
  </r>
  <r>
    <s v="emp-452"/>
    <x v="25"/>
    <x v="4"/>
    <x v="1"/>
    <x v="0"/>
    <n v="64"/>
    <x v="0"/>
    <d v="1994-06-20T00:00:00"/>
    <x v="392"/>
    <n v="0.1"/>
    <n v="10945.6"/>
    <x v="0"/>
    <s v="Chicago"/>
    <m/>
  </r>
  <r>
    <s v="emp-453"/>
    <x v="6"/>
    <x v="1"/>
    <x v="0"/>
    <x v="0"/>
    <n v="65"/>
    <x v="4"/>
    <d v="2008-10-07T00:00:00"/>
    <x v="393"/>
    <n v="0.15"/>
    <n v="25533.149999999998"/>
    <x v="2"/>
    <s v="Manaus"/>
    <m/>
  </r>
  <r>
    <s v="emp-454"/>
    <x v="4"/>
    <x v="0"/>
    <x v="0"/>
    <x v="0"/>
    <n v="42"/>
    <x v="3"/>
    <d v="2006-03-01T00:00:00"/>
    <x v="394"/>
    <n v="0.05"/>
    <n v="4871.6500000000005"/>
    <x v="0"/>
    <s v="Seattle"/>
    <d v="2015-08-08T00:00:00"/>
  </r>
  <r>
    <s v="emp-455"/>
    <x v="28"/>
    <x v="2"/>
    <x v="2"/>
    <x v="1"/>
    <n v="35"/>
    <x v="3"/>
    <d v="2013-08-30T00:00:00"/>
    <x v="395"/>
    <n v="0"/>
    <n v="0"/>
    <x v="1"/>
    <s v="Shanghai"/>
    <m/>
  </r>
  <r>
    <s v="emp-456"/>
    <x v="6"/>
    <x v="4"/>
    <x v="1"/>
    <x v="1"/>
    <n v="64"/>
    <x v="0"/>
    <d v="1995-08-29T00:00:00"/>
    <x v="396"/>
    <n v="0.18"/>
    <n v="28581.66"/>
    <x v="1"/>
    <s v="Chengdu"/>
    <m/>
  </r>
  <r>
    <s v="emp-457"/>
    <x v="9"/>
    <x v="4"/>
    <x v="0"/>
    <x v="1"/>
    <n v="55"/>
    <x v="0"/>
    <d v="2018-04-29T00:00:00"/>
    <x v="397"/>
    <n v="0"/>
    <n v="0"/>
    <x v="1"/>
    <s v="Beijing"/>
    <m/>
  </r>
  <r>
    <s v="emp-458"/>
    <x v="1"/>
    <x v="6"/>
    <x v="3"/>
    <x v="0"/>
    <n v="32"/>
    <x v="1"/>
    <d v="2013-11-12T00:00:00"/>
    <x v="398"/>
    <n v="0"/>
    <n v="0"/>
    <x v="0"/>
    <s v="Chicago"/>
    <m/>
  </r>
  <r>
    <s v="emp-459"/>
    <x v="6"/>
    <x v="6"/>
    <x v="3"/>
    <x v="1"/>
    <n v="45"/>
    <x v="2"/>
    <d v="2004-12-11T00:00:00"/>
    <x v="399"/>
    <n v="0.24"/>
    <n v="40523.040000000001"/>
    <x v="1"/>
    <s v="Chongqing"/>
    <m/>
  </r>
  <r>
    <s v="emp-46"/>
    <x v="13"/>
    <x v="0"/>
    <x v="0"/>
    <x v="1"/>
    <n v="40"/>
    <x v="3"/>
    <d v="2010-11-04T00:00:00"/>
    <x v="400"/>
    <n v="0"/>
    <n v="0"/>
    <x v="0"/>
    <s v="Seattle"/>
    <m/>
  </r>
  <r>
    <s v="emp-460"/>
    <x v="32"/>
    <x v="5"/>
    <x v="0"/>
    <x v="1"/>
    <n v="35"/>
    <x v="3"/>
    <d v="2011-02-22T00:00:00"/>
    <x v="401"/>
    <n v="0"/>
    <n v="0"/>
    <x v="0"/>
    <s v="Austin"/>
    <d v="2020-07-12T00:00:00"/>
  </r>
  <r>
    <s v="emp-461"/>
    <x v="0"/>
    <x v="5"/>
    <x v="3"/>
    <x v="1"/>
    <n v="38"/>
    <x v="3"/>
    <d v="2009-09-27T00:00:00"/>
    <x v="402"/>
    <n v="0.15"/>
    <n v="19170.149999999998"/>
    <x v="0"/>
    <s v="Phoenix"/>
    <m/>
  </r>
  <r>
    <s v="emp-462"/>
    <x v="30"/>
    <x v="0"/>
    <x v="3"/>
    <x v="1"/>
    <n v="54"/>
    <x v="2"/>
    <d v="2000-04-01T00:00:00"/>
    <x v="403"/>
    <n v="0"/>
    <n v="0"/>
    <x v="0"/>
    <s v="Austin"/>
    <m/>
  </r>
  <r>
    <s v="emp-463"/>
    <x v="2"/>
    <x v="1"/>
    <x v="3"/>
    <x v="1"/>
    <n v="28"/>
    <x v="1"/>
    <d v="2019-06-22T00:00:00"/>
    <x v="404"/>
    <n v="0.38"/>
    <n v="95291.46"/>
    <x v="0"/>
    <s v="Seattle"/>
    <m/>
  </r>
  <r>
    <s v="emp-464"/>
    <x v="2"/>
    <x v="6"/>
    <x v="3"/>
    <x v="1"/>
    <n v="26"/>
    <x v="1"/>
    <d v="2020-09-27T00:00:00"/>
    <x v="405"/>
    <n v="0.3"/>
    <n v="66916.5"/>
    <x v="0"/>
    <s v="Columbus"/>
    <m/>
  </r>
  <r>
    <s v="emp-465"/>
    <x v="6"/>
    <x v="4"/>
    <x v="3"/>
    <x v="1"/>
    <n v="45"/>
    <x v="2"/>
    <d v="2007-04-13T00:00:00"/>
    <x v="406"/>
    <n v="0.23"/>
    <n v="43626.400000000001"/>
    <x v="2"/>
    <s v="Sao Paulo"/>
    <m/>
  </r>
  <r>
    <s v="emp-466"/>
    <x v="3"/>
    <x v="4"/>
    <x v="2"/>
    <x v="1"/>
    <n v="57"/>
    <x v="0"/>
    <d v="2018-07-18T00:00:00"/>
    <x v="407"/>
    <n v="0"/>
    <n v="0"/>
    <x v="0"/>
    <s v="Columbus"/>
    <m/>
  </r>
  <r>
    <s v="emp-467"/>
    <x v="21"/>
    <x v="0"/>
    <x v="1"/>
    <x v="0"/>
    <n v="59"/>
    <x v="0"/>
    <d v="2010-04-04T00:00:00"/>
    <x v="408"/>
    <n v="0"/>
    <n v="0"/>
    <x v="0"/>
    <s v="Seattle"/>
    <m/>
  </r>
  <r>
    <s v="emp-468"/>
    <x v="6"/>
    <x v="4"/>
    <x v="3"/>
    <x v="1"/>
    <n v="48"/>
    <x v="2"/>
    <d v="2019-12-10T00:00:00"/>
    <x v="409"/>
    <n v="0.24"/>
    <n v="43947.119999999995"/>
    <x v="2"/>
    <s v="Rio de Janerio"/>
    <m/>
  </r>
  <r>
    <s v="emp-469"/>
    <x v="7"/>
    <x v="3"/>
    <x v="2"/>
    <x v="1"/>
    <n v="30"/>
    <x v="1"/>
    <d v="2020-10-20T00:00:00"/>
    <x v="410"/>
    <n v="0"/>
    <n v="0"/>
    <x v="0"/>
    <s v="Phoenix"/>
    <m/>
  </r>
  <r>
    <s v="emp-47"/>
    <x v="4"/>
    <x v="0"/>
    <x v="3"/>
    <x v="1"/>
    <n v="32"/>
    <x v="1"/>
    <d v="2013-03-20T00:00:00"/>
    <x v="411"/>
    <n v="0.05"/>
    <n v="3996.05"/>
    <x v="0"/>
    <s v="Austin"/>
    <m/>
  </r>
  <r>
    <s v="emp-470"/>
    <x v="4"/>
    <x v="0"/>
    <x v="3"/>
    <x v="1"/>
    <n v="31"/>
    <x v="1"/>
    <d v="2016-10-13T00:00:00"/>
    <x v="412"/>
    <n v="0.08"/>
    <n v="5099.5200000000004"/>
    <x v="0"/>
    <s v="Austin"/>
    <m/>
  </r>
  <r>
    <s v="emp-471"/>
    <x v="18"/>
    <x v="4"/>
    <x v="2"/>
    <x v="0"/>
    <n v="50"/>
    <x v="2"/>
    <d v="2002-07-09T00:00:00"/>
    <x v="413"/>
    <n v="0"/>
    <n v="0"/>
    <x v="1"/>
    <s v="Shanghai"/>
    <m/>
  </r>
  <r>
    <s v="emp-472"/>
    <x v="0"/>
    <x v="2"/>
    <x v="3"/>
    <x v="1"/>
    <n v="51"/>
    <x v="2"/>
    <d v="2000-09-01T00:00:00"/>
    <x v="414"/>
    <n v="0.12"/>
    <n v="18898.439999999999"/>
    <x v="0"/>
    <s v="Phoenix"/>
    <m/>
  </r>
  <r>
    <s v="emp-473"/>
    <x v="1"/>
    <x v="6"/>
    <x v="0"/>
    <x v="1"/>
    <n v="42"/>
    <x v="3"/>
    <d v="2015-04-07T00:00:00"/>
    <x v="415"/>
    <n v="0"/>
    <n v="0"/>
    <x v="2"/>
    <s v="Rio de Janerio"/>
    <m/>
  </r>
  <r>
    <s v="emp-474"/>
    <x v="30"/>
    <x v="0"/>
    <x v="0"/>
    <x v="1"/>
    <n v="45"/>
    <x v="2"/>
    <d v="2010-02-26T00:00:00"/>
    <x v="416"/>
    <n v="0"/>
    <n v="0"/>
    <x v="0"/>
    <s v="Columbus"/>
    <m/>
  </r>
  <r>
    <s v="emp-475"/>
    <x v="15"/>
    <x v="2"/>
    <x v="1"/>
    <x v="0"/>
    <n v="64"/>
    <x v="0"/>
    <d v="2005-01-28T00:00:00"/>
    <x v="417"/>
    <n v="0"/>
    <n v="0"/>
    <x v="0"/>
    <s v="Phoenix"/>
    <m/>
  </r>
  <r>
    <s v="emp-476"/>
    <x v="8"/>
    <x v="4"/>
    <x v="1"/>
    <x v="0"/>
    <n v="59"/>
    <x v="0"/>
    <d v="2014-09-16T00:00:00"/>
    <x v="418"/>
    <n v="0"/>
    <n v="0"/>
    <x v="2"/>
    <s v="Rio de Janerio"/>
    <m/>
  </r>
  <r>
    <s v="emp-477"/>
    <x v="6"/>
    <x v="3"/>
    <x v="1"/>
    <x v="1"/>
    <n v="41"/>
    <x v="3"/>
    <d v="2013-06-04T00:00:00"/>
    <x v="419"/>
    <n v="0.26"/>
    <n v="43556.76"/>
    <x v="0"/>
    <s v="Miami"/>
    <m/>
  </r>
  <r>
    <s v="emp-478"/>
    <x v="8"/>
    <x v="4"/>
    <x v="1"/>
    <x v="0"/>
    <n v="42"/>
    <x v="3"/>
    <d v="2021-02-05T00:00:00"/>
    <x v="420"/>
    <n v="0"/>
    <n v="0"/>
    <x v="2"/>
    <s v="Manaus"/>
    <m/>
  </r>
  <r>
    <s v="emp-479"/>
    <x v="12"/>
    <x v="1"/>
    <x v="0"/>
    <x v="1"/>
    <n v="54"/>
    <x v="2"/>
    <d v="1998-04-28T00:00:00"/>
    <x v="421"/>
    <n v="0.09"/>
    <n v="9744.119999999999"/>
    <x v="2"/>
    <s v="Sao Paulo"/>
    <d v="2004-05-15T00:00:00"/>
  </r>
  <r>
    <s v="emp-48"/>
    <x v="6"/>
    <x v="0"/>
    <x v="0"/>
    <x v="0"/>
    <n v="37"/>
    <x v="3"/>
    <d v="2009-09-20T00:00:00"/>
    <x v="422"/>
    <n v="0.2"/>
    <n v="33439.800000000003"/>
    <x v="0"/>
    <s v="Seattle"/>
    <m/>
  </r>
  <r>
    <s v="emp-480"/>
    <x v="21"/>
    <x v="0"/>
    <x v="0"/>
    <x v="1"/>
    <n v="37"/>
    <x v="3"/>
    <d v="2016-02-05T00:00:00"/>
    <x v="423"/>
    <n v="0"/>
    <n v="0"/>
    <x v="1"/>
    <s v="Beijing"/>
    <m/>
  </r>
  <r>
    <s v="emp-481"/>
    <x v="1"/>
    <x v="2"/>
    <x v="0"/>
    <x v="1"/>
    <n v="58"/>
    <x v="0"/>
    <d v="2009-04-27T00:00:00"/>
    <x v="424"/>
    <n v="0"/>
    <n v="0"/>
    <x v="2"/>
    <s v="Manaus"/>
    <m/>
  </r>
  <r>
    <s v="emp-482"/>
    <x v="2"/>
    <x v="2"/>
    <x v="1"/>
    <x v="1"/>
    <n v="47"/>
    <x v="2"/>
    <d v="2016-11-22T00:00:00"/>
    <x v="425"/>
    <n v="0.31"/>
    <n v="78507.19"/>
    <x v="0"/>
    <s v="Austin"/>
    <m/>
  </r>
  <r>
    <s v="emp-483"/>
    <x v="24"/>
    <x v="5"/>
    <x v="0"/>
    <x v="0"/>
    <n v="60"/>
    <x v="0"/>
    <d v="2005-11-11T00:00:00"/>
    <x v="426"/>
    <n v="0"/>
    <n v="0"/>
    <x v="1"/>
    <s v="Chongqing"/>
    <m/>
  </r>
  <r>
    <s v="emp-484"/>
    <x v="2"/>
    <x v="0"/>
    <x v="3"/>
    <x v="1"/>
    <n v="38"/>
    <x v="3"/>
    <d v="2016-06-22T00:00:00"/>
    <x v="427"/>
    <n v="0.34"/>
    <n v="84955.8"/>
    <x v="0"/>
    <s v="Chicago"/>
    <m/>
  </r>
  <r>
    <s v="emp-485"/>
    <x v="0"/>
    <x v="6"/>
    <x v="2"/>
    <x v="1"/>
    <n v="63"/>
    <x v="0"/>
    <d v="2015-03-01T00:00:00"/>
    <x v="428"/>
    <n v="0.15"/>
    <n v="22248.149999999998"/>
    <x v="1"/>
    <s v="Beijing"/>
    <m/>
  </r>
  <r>
    <s v="emp-486"/>
    <x v="29"/>
    <x v="0"/>
    <x v="3"/>
    <x v="0"/>
    <n v="60"/>
    <x v="0"/>
    <d v="2004-02-10T00:00:00"/>
    <x v="429"/>
    <n v="0"/>
    <n v="0"/>
    <x v="1"/>
    <s v="Chongqing"/>
    <m/>
  </r>
  <r>
    <s v="emp-487"/>
    <x v="11"/>
    <x v="0"/>
    <x v="2"/>
    <x v="0"/>
    <n v="42"/>
    <x v="3"/>
    <d v="2011-02-19T00:00:00"/>
    <x v="430"/>
    <n v="0"/>
    <n v="0"/>
    <x v="0"/>
    <s v="Seattle"/>
    <m/>
  </r>
  <r>
    <s v="emp-488"/>
    <x v="1"/>
    <x v="1"/>
    <x v="3"/>
    <x v="1"/>
    <n v="34"/>
    <x v="1"/>
    <d v="2014-09-04T00:00:00"/>
    <x v="431"/>
    <n v="0"/>
    <n v="0"/>
    <x v="2"/>
    <s v="Sao Paulo"/>
    <d v="2017-08-11T00:00:00"/>
  </r>
  <r>
    <s v="emp-489"/>
    <x v="1"/>
    <x v="3"/>
    <x v="0"/>
    <x v="0"/>
    <n v="53"/>
    <x v="2"/>
    <d v="2004-12-23T00:00:00"/>
    <x v="432"/>
    <n v="0"/>
    <n v="0"/>
    <x v="2"/>
    <s v="Sao Paulo"/>
    <m/>
  </r>
  <r>
    <s v="emp-49"/>
    <x v="18"/>
    <x v="4"/>
    <x v="0"/>
    <x v="1"/>
    <n v="52"/>
    <x v="2"/>
    <d v="2012-10-17T00:00:00"/>
    <x v="433"/>
    <n v="0"/>
    <n v="0"/>
    <x v="0"/>
    <s v="Phoenix"/>
    <m/>
  </r>
  <r>
    <s v="emp-490"/>
    <x v="2"/>
    <x v="6"/>
    <x v="0"/>
    <x v="1"/>
    <n v="39"/>
    <x v="3"/>
    <d v="2019-12-05T00:00:00"/>
    <x v="434"/>
    <n v="0.39"/>
    <n v="99082.23000000001"/>
    <x v="1"/>
    <s v="Shanghai"/>
    <m/>
  </r>
  <r>
    <s v="emp-491"/>
    <x v="32"/>
    <x v="5"/>
    <x v="2"/>
    <x v="0"/>
    <n v="58"/>
    <x v="0"/>
    <d v="2010-10-12T00:00:00"/>
    <x v="435"/>
    <n v="0"/>
    <n v="0"/>
    <x v="0"/>
    <s v="Austin"/>
    <m/>
  </r>
  <r>
    <s v="emp-492"/>
    <x v="4"/>
    <x v="0"/>
    <x v="2"/>
    <x v="1"/>
    <n v="60"/>
    <x v="0"/>
    <d v="1998-08-03T00:00:00"/>
    <x v="436"/>
    <n v="0.09"/>
    <n v="7660.7999999999993"/>
    <x v="0"/>
    <s v="Seattle"/>
    <m/>
  </r>
  <r>
    <s v="emp-493"/>
    <x v="32"/>
    <x v="5"/>
    <x v="2"/>
    <x v="1"/>
    <n v="34"/>
    <x v="1"/>
    <d v="2015-08-03T00:00:00"/>
    <x v="437"/>
    <n v="0"/>
    <n v="0"/>
    <x v="0"/>
    <s v="Columbus"/>
    <m/>
  </r>
  <r>
    <s v="emp-494"/>
    <x v="0"/>
    <x v="5"/>
    <x v="3"/>
    <x v="0"/>
    <n v="60"/>
    <x v="0"/>
    <d v="2008-10-18T00:00:00"/>
    <x v="438"/>
    <n v="0.11"/>
    <n v="16594.05"/>
    <x v="0"/>
    <s v="Phoenix"/>
    <m/>
  </r>
  <r>
    <s v="emp-495"/>
    <x v="13"/>
    <x v="0"/>
    <x v="2"/>
    <x v="0"/>
    <n v="53"/>
    <x v="2"/>
    <d v="2004-07-20T00:00:00"/>
    <x v="439"/>
    <n v="0"/>
    <n v="0"/>
    <x v="0"/>
    <s v="Columbus"/>
    <m/>
  </r>
  <r>
    <s v="emp-496"/>
    <x v="6"/>
    <x v="1"/>
    <x v="3"/>
    <x v="1"/>
    <n v="58"/>
    <x v="0"/>
    <d v="2007-10-12T00:00:00"/>
    <x v="440"/>
    <n v="0.24"/>
    <n v="38889.119999999995"/>
    <x v="1"/>
    <s v="Chongqing"/>
    <m/>
  </r>
  <r>
    <s v="emp-497"/>
    <x v="0"/>
    <x v="6"/>
    <x v="0"/>
    <x v="0"/>
    <n v="25"/>
    <x v="1"/>
    <d v="2020-04-09T00:00:00"/>
    <x v="441"/>
    <n v="0.1"/>
    <n v="15705.7"/>
    <x v="0"/>
    <s v="Columbus"/>
    <m/>
  </r>
  <r>
    <s v="emp-498"/>
    <x v="12"/>
    <x v="0"/>
    <x v="0"/>
    <x v="1"/>
    <n v="46"/>
    <x v="2"/>
    <d v="2021-08-11T00:00:00"/>
    <x v="442"/>
    <n v="0.1"/>
    <n v="12755.900000000001"/>
    <x v="0"/>
    <s v="Austin"/>
    <m/>
  </r>
  <r>
    <s v="emp-499"/>
    <x v="8"/>
    <x v="4"/>
    <x v="3"/>
    <x v="0"/>
    <n v="39"/>
    <x v="3"/>
    <d v="2019-03-12T00:00:00"/>
    <x v="443"/>
    <n v="0"/>
    <n v="0"/>
    <x v="0"/>
    <s v="Seattle"/>
    <m/>
  </r>
  <r>
    <s v="emp-5"/>
    <x v="1"/>
    <x v="1"/>
    <x v="2"/>
    <x v="1"/>
    <n v="55"/>
    <x v="0"/>
    <d v="1995-11-20T00:00:00"/>
    <x v="444"/>
    <n v="0"/>
    <n v="0"/>
    <x v="0"/>
    <s v="Phoenix"/>
    <m/>
  </r>
  <r>
    <s v="emp-50"/>
    <x v="6"/>
    <x v="4"/>
    <x v="2"/>
    <x v="0"/>
    <n v="45"/>
    <x v="2"/>
    <d v="2014-10-29T00:00:00"/>
    <x v="445"/>
    <n v="0.2"/>
    <n v="37884"/>
    <x v="0"/>
    <s v="Seattle"/>
    <m/>
  </r>
  <r>
    <s v="emp-500"/>
    <x v="23"/>
    <x v="0"/>
    <x v="2"/>
    <x v="1"/>
    <n v="50"/>
    <x v="2"/>
    <d v="2001-03-06T00:00:00"/>
    <x v="446"/>
    <n v="0"/>
    <n v="0"/>
    <x v="1"/>
    <s v="Shanghai"/>
    <m/>
  </r>
  <r>
    <s v="emp-501"/>
    <x v="1"/>
    <x v="3"/>
    <x v="2"/>
    <x v="0"/>
    <n v="56"/>
    <x v="0"/>
    <d v="2018-03-10T00:00:00"/>
    <x v="447"/>
    <n v="0"/>
    <n v="0"/>
    <x v="0"/>
    <s v="Chicago"/>
    <m/>
  </r>
  <r>
    <s v="emp-502"/>
    <x v="5"/>
    <x v="4"/>
    <x v="2"/>
    <x v="0"/>
    <n v="30"/>
    <x v="1"/>
    <d v="2016-05-26T00:00:00"/>
    <x v="448"/>
    <n v="0"/>
    <n v="0"/>
    <x v="2"/>
    <s v="Sao Paulo"/>
    <m/>
  </r>
  <r>
    <s v="emp-503"/>
    <x v="2"/>
    <x v="5"/>
    <x v="1"/>
    <x v="0"/>
    <n v="45"/>
    <x v="2"/>
    <d v="2021-09-22T00:00:00"/>
    <x v="449"/>
    <n v="0.32"/>
    <n v="64446.720000000001"/>
    <x v="0"/>
    <s v="Miami"/>
    <m/>
  </r>
  <r>
    <s v="emp-504"/>
    <x v="15"/>
    <x v="3"/>
    <x v="3"/>
    <x v="0"/>
    <n v="55"/>
    <x v="0"/>
    <d v="2011-12-22T00:00:00"/>
    <x v="450"/>
    <n v="0"/>
    <n v="0"/>
    <x v="1"/>
    <s v="Chongqing"/>
    <m/>
  </r>
  <r>
    <s v="emp-505"/>
    <x v="11"/>
    <x v="0"/>
    <x v="3"/>
    <x v="1"/>
    <n v="28"/>
    <x v="1"/>
    <d v="2019-06-17T00:00:00"/>
    <x v="451"/>
    <n v="0"/>
    <n v="0"/>
    <x v="0"/>
    <s v="Miami"/>
    <d v="2022-04-11T00:00:00"/>
  </r>
  <r>
    <s v="emp-506"/>
    <x v="0"/>
    <x v="1"/>
    <x v="3"/>
    <x v="0"/>
    <n v="59"/>
    <x v="0"/>
    <d v="2018-10-27T00:00:00"/>
    <x v="452"/>
    <n v="0.11"/>
    <n v="15312.88"/>
    <x v="0"/>
    <s v="Austin"/>
    <m/>
  </r>
  <r>
    <s v="emp-507"/>
    <x v="1"/>
    <x v="2"/>
    <x v="1"/>
    <x v="1"/>
    <n v="63"/>
    <x v="0"/>
    <d v="2018-03-12T00:00:00"/>
    <x v="453"/>
    <n v="0"/>
    <n v="0"/>
    <x v="1"/>
    <s v="Shanghai"/>
    <m/>
  </r>
  <r>
    <s v="emp-508"/>
    <x v="12"/>
    <x v="3"/>
    <x v="1"/>
    <x v="0"/>
    <n v="46"/>
    <x v="2"/>
    <d v="2010-04-24T00:00:00"/>
    <x v="454"/>
    <n v="0.06"/>
    <n v="6158.16"/>
    <x v="0"/>
    <s v="Seattle"/>
    <m/>
  </r>
  <r>
    <s v="emp-509"/>
    <x v="10"/>
    <x v="2"/>
    <x v="1"/>
    <x v="0"/>
    <n v="26"/>
    <x v="1"/>
    <d v="2021-02-09T00:00:00"/>
    <x v="455"/>
    <n v="0"/>
    <n v="0"/>
    <x v="2"/>
    <s v="Sao Paulo"/>
    <m/>
  </r>
  <r>
    <s v="emp-51"/>
    <x v="31"/>
    <x v="5"/>
    <x v="0"/>
    <x v="0"/>
    <n v="64"/>
    <x v="0"/>
    <d v="2001-10-20T00:00:00"/>
    <x v="456"/>
    <n v="0"/>
    <n v="0"/>
    <x v="0"/>
    <s v="Phoenix"/>
    <m/>
  </r>
  <r>
    <s v="emp-510"/>
    <x v="26"/>
    <x v="0"/>
    <x v="0"/>
    <x v="1"/>
    <n v="45"/>
    <x v="2"/>
    <d v="2018-05-28T00:00:00"/>
    <x v="457"/>
    <n v="0"/>
    <n v="0"/>
    <x v="0"/>
    <s v="Columbus"/>
    <m/>
  </r>
  <r>
    <s v="emp-511"/>
    <x v="12"/>
    <x v="1"/>
    <x v="2"/>
    <x v="1"/>
    <n v="50"/>
    <x v="2"/>
    <d v="2018-05-19T00:00:00"/>
    <x v="458"/>
    <n v="7.0000000000000007E-2"/>
    <n v="7450.5900000000011"/>
    <x v="1"/>
    <s v="Chongqing"/>
    <m/>
  </r>
  <r>
    <s v="emp-512"/>
    <x v="7"/>
    <x v="1"/>
    <x v="2"/>
    <x v="1"/>
    <n v="46"/>
    <x v="2"/>
    <d v="2015-05-05T00:00:00"/>
    <x v="459"/>
    <n v="0"/>
    <n v="0"/>
    <x v="2"/>
    <s v="Sao Paulo"/>
    <m/>
  </r>
  <r>
    <s v="emp-513"/>
    <x v="6"/>
    <x v="5"/>
    <x v="2"/>
    <x v="1"/>
    <n v="50"/>
    <x v="2"/>
    <d v="2021-10-17T00:00:00"/>
    <x v="460"/>
    <n v="0.3"/>
    <n v="51654"/>
    <x v="0"/>
    <s v="Columbus"/>
    <m/>
  </r>
  <r>
    <s v="emp-514"/>
    <x v="1"/>
    <x v="2"/>
    <x v="2"/>
    <x v="0"/>
    <n v="33"/>
    <x v="1"/>
    <d v="2012-05-14T00:00:00"/>
    <x v="461"/>
    <n v="0"/>
    <n v="0"/>
    <x v="2"/>
    <s v="Rio de Janerio"/>
    <m/>
  </r>
  <r>
    <s v="emp-515"/>
    <x v="22"/>
    <x v="0"/>
    <x v="1"/>
    <x v="1"/>
    <n v="57"/>
    <x v="0"/>
    <d v="2014-07-10T00:00:00"/>
    <x v="462"/>
    <n v="0"/>
    <n v="0"/>
    <x v="2"/>
    <s v="Rio de Janerio"/>
    <m/>
  </r>
  <r>
    <s v="emp-516"/>
    <x v="12"/>
    <x v="1"/>
    <x v="3"/>
    <x v="0"/>
    <n v="48"/>
    <x v="2"/>
    <d v="1999-04-22T00:00:00"/>
    <x v="463"/>
    <n v="0.05"/>
    <n v="5142.3500000000004"/>
    <x v="0"/>
    <s v="Chicago"/>
    <m/>
  </r>
  <r>
    <s v="emp-517"/>
    <x v="0"/>
    <x v="1"/>
    <x v="2"/>
    <x v="1"/>
    <n v="46"/>
    <x v="2"/>
    <d v="2010-07-19T00:00:00"/>
    <x v="464"/>
    <n v="0.15"/>
    <n v="20232.149999999998"/>
    <x v="2"/>
    <s v="Manaus"/>
    <m/>
  </r>
  <r>
    <s v="emp-518"/>
    <x v="7"/>
    <x v="6"/>
    <x v="2"/>
    <x v="1"/>
    <n v="52"/>
    <x v="2"/>
    <d v="1999-05-23T00:00:00"/>
    <x v="465"/>
    <n v="0"/>
    <n v="0"/>
    <x v="1"/>
    <s v="Chengdu"/>
    <d v="2015-11-30T00:00:00"/>
  </r>
  <r>
    <s v="emp-519"/>
    <x v="2"/>
    <x v="0"/>
    <x v="2"/>
    <x v="1"/>
    <n v="56"/>
    <x v="0"/>
    <d v="2006-05-29T00:00:00"/>
    <x v="466"/>
    <n v="0.36"/>
    <n v="82375.92"/>
    <x v="0"/>
    <s v="Miami"/>
    <m/>
  </r>
  <r>
    <s v="emp-52"/>
    <x v="7"/>
    <x v="6"/>
    <x v="2"/>
    <x v="0"/>
    <n v="27"/>
    <x v="1"/>
    <d v="2021-09-21T00:00:00"/>
    <x v="467"/>
    <n v="0"/>
    <n v="0"/>
    <x v="0"/>
    <s v="Phoenix"/>
    <m/>
  </r>
  <r>
    <s v="emp-520"/>
    <x v="15"/>
    <x v="6"/>
    <x v="2"/>
    <x v="1"/>
    <n v="28"/>
    <x v="1"/>
    <d v="2021-07-18T00:00:00"/>
    <x v="468"/>
    <n v="0"/>
    <n v="0"/>
    <x v="0"/>
    <s v="Columbus"/>
    <m/>
  </r>
  <r>
    <s v="emp-521"/>
    <x v="18"/>
    <x v="4"/>
    <x v="1"/>
    <x v="1"/>
    <n v="29"/>
    <x v="1"/>
    <d v="2021-11-15T00:00:00"/>
    <x v="469"/>
    <n v="0"/>
    <n v="0"/>
    <x v="1"/>
    <s v="Chongqing"/>
    <m/>
  </r>
  <r>
    <s v="emp-522"/>
    <x v="2"/>
    <x v="6"/>
    <x v="3"/>
    <x v="0"/>
    <n v="45"/>
    <x v="2"/>
    <d v="2016-02-28T00:00:00"/>
    <x v="470"/>
    <n v="0.31"/>
    <n v="65607.47"/>
    <x v="0"/>
    <s v="Chicago"/>
    <m/>
  </r>
  <r>
    <s v="emp-523"/>
    <x v="4"/>
    <x v="0"/>
    <x v="2"/>
    <x v="1"/>
    <n v="28"/>
    <x v="1"/>
    <d v="2020-08-08T00:00:00"/>
    <x v="471"/>
    <n v="0.09"/>
    <n v="6592.95"/>
    <x v="0"/>
    <s v="Phoenix"/>
    <m/>
  </r>
  <r>
    <s v="emp-524"/>
    <x v="12"/>
    <x v="2"/>
    <x v="3"/>
    <x v="1"/>
    <n v="28"/>
    <x v="1"/>
    <d v="2021-01-08T00:00:00"/>
    <x v="472"/>
    <n v="0.1"/>
    <n v="10882.6"/>
    <x v="0"/>
    <s v="Miami"/>
    <m/>
  </r>
  <r>
    <s v="emp-525"/>
    <x v="22"/>
    <x v="0"/>
    <x v="1"/>
    <x v="1"/>
    <n v="34"/>
    <x v="1"/>
    <d v="2016-05-24T00:00:00"/>
    <x v="473"/>
    <n v="0"/>
    <n v="0"/>
    <x v="0"/>
    <s v="Miami"/>
    <m/>
  </r>
  <r>
    <s v="emp-526"/>
    <x v="27"/>
    <x v="0"/>
    <x v="0"/>
    <x v="0"/>
    <n v="55"/>
    <x v="0"/>
    <d v="1994-08-30T00:00:00"/>
    <x v="474"/>
    <n v="0"/>
    <n v="0"/>
    <x v="0"/>
    <s v="Phoenix"/>
    <m/>
  </r>
  <r>
    <s v="emp-527"/>
    <x v="12"/>
    <x v="5"/>
    <x v="2"/>
    <x v="1"/>
    <n v="34"/>
    <x v="1"/>
    <d v="2013-08-13T00:00:00"/>
    <x v="475"/>
    <n v="0.06"/>
    <n v="6834.54"/>
    <x v="2"/>
    <s v="Rio de Janerio"/>
    <m/>
  </r>
  <r>
    <s v="emp-528"/>
    <x v="30"/>
    <x v="0"/>
    <x v="2"/>
    <x v="1"/>
    <n v="27"/>
    <x v="1"/>
    <d v="2020-12-24T00:00:00"/>
    <x v="476"/>
    <n v="0"/>
    <n v="0"/>
    <x v="0"/>
    <s v="Chicago"/>
    <m/>
  </r>
  <r>
    <s v="emp-529"/>
    <x v="4"/>
    <x v="0"/>
    <x v="0"/>
    <x v="1"/>
    <n v="52"/>
    <x v="2"/>
    <d v="2013-05-23T00:00:00"/>
    <x v="477"/>
    <n v="0.09"/>
    <n v="8960.1299999999992"/>
    <x v="0"/>
    <s v="Seattle"/>
    <m/>
  </r>
  <r>
    <s v="emp-53"/>
    <x v="0"/>
    <x v="0"/>
    <x v="2"/>
    <x v="0"/>
    <n v="25"/>
    <x v="1"/>
    <d v="2021-07-02T00:00:00"/>
    <x v="478"/>
    <n v="0.11"/>
    <n v="13819.63"/>
    <x v="1"/>
    <s v="Beijing"/>
    <m/>
  </r>
  <r>
    <s v="emp-530"/>
    <x v="19"/>
    <x v="4"/>
    <x v="1"/>
    <x v="0"/>
    <n v="28"/>
    <x v="1"/>
    <d v="2018-11-14T00:00:00"/>
    <x v="479"/>
    <n v="0"/>
    <n v="0"/>
    <x v="0"/>
    <s v="Phoenix"/>
    <m/>
  </r>
  <r>
    <s v="emp-531"/>
    <x v="27"/>
    <x v="0"/>
    <x v="2"/>
    <x v="0"/>
    <n v="44"/>
    <x v="3"/>
    <d v="2011-03-01T00:00:00"/>
    <x v="480"/>
    <n v="0"/>
    <n v="0"/>
    <x v="0"/>
    <s v="Austin"/>
    <m/>
  </r>
  <r>
    <s v="emp-532"/>
    <x v="2"/>
    <x v="0"/>
    <x v="0"/>
    <x v="0"/>
    <n v="53"/>
    <x v="2"/>
    <d v="2011-11-09T00:00:00"/>
    <x v="481"/>
    <n v="0.32"/>
    <n v="63511.360000000001"/>
    <x v="0"/>
    <s v="Miami"/>
    <m/>
  </r>
  <r>
    <s v="emp-533"/>
    <x v="0"/>
    <x v="1"/>
    <x v="3"/>
    <x v="0"/>
    <n v="43"/>
    <x v="3"/>
    <d v="2006-10-15T00:00:00"/>
    <x v="482"/>
    <n v="0.11"/>
    <n v="16884.12"/>
    <x v="0"/>
    <s v="Chicago"/>
    <m/>
  </r>
  <r>
    <s v="emp-534"/>
    <x v="2"/>
    <x v="5"/>
    <x v="3"/>
    <x v="0"/>
    <n v="28"/>
    <x v="1"/>
    <d v="2018-01-21T00:00:00"/>
    <x v="483"/>
    <n v="0.3"/>
    <n v="62463"/>
    <x v="0"/>
    <s v="Seattle"/>
    <m/>
  </r>
  <r>
    <s v="emp-535"/>
    <x v="1"/>
    <x v="6"/>
    <x v="3"/>
    <x v="1"/>
    <n v="33"/>
    <x v="1"/>
    <d v="2015-11-17T00:00:00"/>
    <x v="484"/>
    <n v="0"/>
    <n v="0"/>
    <x v="0"/>
    <s v="Phoenix"/>
    <m/>
  </r>
  <r>
    <s v="emp-536"/>
    <x v="31"/>
    <x v="5"/>
    <x v="3"/>
    <x v="1"/>
    <n v="31"/>
    <x v="1"/>
    <d v="2017-09-24T00:00:00"/>
    <x v="485"/>
    <n v="0"/>
    <n v="0"/>
    <x v="1"/>
    <s v="Chongqing"/>
    <m/>
  </r>
  <r>
    <s v="emp-537"/>
    <x v="12"/>
    <x v="3"/>
    <x v="3"/>
    <x v="0"/>
    <n v="52"/>
    <x v="2"/>
    <d v="2021-11-19T00:00:00"/>
    <x v="486"/>
    <n v="0.08"/>
    <n v="8880.48"/>
    <x v="1"/>
    <s v="Chongqing"/>
    <m/>
  </r>
  <r>
    <s v="emp-538"/>
    <x v="14"/>
    <x v="0"/>
    <x v="3"/>
    <x v="1"/>
    <n v="55"/>
    <x v="0"/>
    <d v="1994-12-24T00:00:00"/>
    <x v="487"/>
    <n v="0"/>
    <n v="0"/>
    <x v="0"/>
    <s v="Austin"/>
    <m/>
  </r>
  <r>
    <s v="emp-539"/>
    <x v="6"/>
    <x v="0"/>
    <x v="0"/>
    <x v="1"/>
    <n v="55"/>
    <x v="0"/>
    <d v="2007-03-13T00:00:00"/>
    <x v="488"/>
    <n v="0.24"/>
    <n v="44315.519999999997"/>
    <x v="1"/>
    <s v="Shanghai"/>
    <m/>
  </r>
  <r>
    <s v="emp-54"/>
    <x v="7"/>
    <x v="6"/>
    <x v="2"/>
    <x v="1"/>
    <n v="35"/>
    <x v="3"/>
    <d v="2011-05-15T00:00:00"/>
    <x v="489"/>
    <n v="0"/>
    <n v="0"/>
    <x v="0"/>
    <s v="Columbus"/>
    <m/>
  </r>
  <r>
    <s v="emp-540"/>
    <x v="2"/>
    <x v="0"/>
    <x v="2"/>
    <x v="1"/>
    <n v="51"/>
    <x v="2"/>
    <d v="2001-07-19T00:00:00"/>
    <x v="490"/>
    <n v="0.33"/>
    <n v="81798.42"/>
    <x v="2"/>
    <s v="Manaus"/>
    <m/>
  </r>
  <r>
    <s v="emp-541"/>
    <x v="5"/>
    <x v="4"/>
    <x v="2"/>
    <x v="1"/>
    <n v="60"/>
    <x v="0"/>
    <d v="2009-05-11T00:00:00"/>
    <x v="491"/>
    <n v="0"/>
    <n v="0"/>
    <x v="1"/>
    <s v="Beijing"/>
    <m/>
  </r>
  <r>
    <s v="emp-542"/>
    <x v="12"/>
    <x v="3"/>
    <x v="1"/>
    <x v="0"/>
    <n v="31"/>
    <x v="1"/>
    <d v="2014-10-07T00:00:00"/>
    <x v="492"/>
    <n v="7.0000000000000007E-2"/>
    <n v="8043.77"/>
    <x v="0"/>
    <s v="Chicago"/>
    <m/>
  </r>
  <r>
    <s v="emp-543"/>
    <x v="25"/>
    <x v="4"/>
    <x v="3"/>
    <x v="1"/>
    <n v="45"/>
    <x v="2"/>
    <d v="2018-04-27T00:00:00"/>
    <x v="493"/>
    <n v="0.12"/>
    <n v="13858.8"/>
    <x v="0"/>
    <s v="Chicago"/>
    <m/>
  </r>
  <r>
    <s v="emp-544"/>
    <x v="12"/>
    <x v="3"/>
    <x v="1"/>
    <x v="1"/>
    <n v="34"/>
    <x v="1"/>
    <d v="2012-02-13T00:00:00"/>
    <x v="494"/>
    <n v="7.0000000000000007E-2"/>
    <n v="8309.5600000000013"/>
    <x v="1"/>
    <s v="Shanghai"/>
    <m/>
  </r>
  <r>
    <s v="emp-545"/>
    <x v="6"/>
    <x v="3"/>
    <x v="1"/>
    <x v="0"/>
    <n v="29"/>
    <x v="1"/>
    <d v="2017-06-28T00:00:00"/>
    <x v="495"/>
    <n v="0.2"/>
    <n v="39529.800000000003"/>
    <x v="0"/>
    <s v="Columbus"/>
    <m/>
  </r>
  <r>
    <s v="emp-546"/>
    <x v="1"/>
    <x v="3"/>
    <x v="1"/>
    <x v="0"/>
    <n v="45"/>
    <x v="2"/>
    <d v="2020-06-17T00:00:00"/>
    <x v="496"/>
    <n v="0"/>
    <n v="0"/>
    <x v="1"/>
    <s v="Beijing"/>
    <m/>
  </r>
  <r>
    <s v="emp-547"/>
    <x v="7"/>
    <x v="1"/>
    <x v="1"/>
    <x v="0"/>
    <n v="52"/>
    <x v="2"/>
    <d v="2019-12-20T00:00:00"/>
    <x v="497"/>
    <n v="0"/>
    <n v="0"/>
    <x v="0"/>
    <s v="Phoenix"/>
    <m/>
  </r>
  <r>
    <s v="emp-548"/>
    <x v="9"/>
    <x v="4"/>
    <x v="1"/>
    <x v="0"/>
    <n v="48"/>
    <x v="2"/>
    <d v="2014-09-25T00:00:00"/>
    <x v="498"/>
    <n v="0"/>
    <n v="0"/>
    <x v="0"/>
    <s v="Chicago"/>
    <m/>
  </r>
  <r>
    <s v="emp-549"/>
    <x v="3"/>
    <x v="4"/>
    <x v="1"/>
    <x v="0"/>
    <n v="48"/>
    <x v="2"/>
    <d v="2009-06-27T00:00:00"/>
    <x v="499"/>
    <n v="0"/>
    <n v="0"/>
    <x v="0"/>
    <s v="Seattle"/>
    <m/>
  </r>
  <r>
    <s v="emp-55"/>
    <x v="6"/>
    <x v="3"/>
    <x v="0"/>
    <x v="0"/>
    <n v="36"/>
    <x v="3"/>
    <d v="2015-09-29T00:00:00"/>
    <x v="500"/>
    <n v="0.28999999999999998"/>
    <n v="51823"/>
    <x v="0"/>
    <s v="Seattle"/>
    <m/>
  </r>
  <r>
    <s v="emp-550"/>
    <x v="2"/>
    <x v="6"/>
    <x v="3"/>
    <x v="1"/>
    <n v="41"/>
    <x v="3"/>
    <d v="2014-10-04T00:00:00"/>
    <x v="501"/>
    <n v="0.35"/>
    <n v="90017.9"/>
    <x v="1"/>
    <s v="Chongqing"/>
    <m/>
  </r>
  <r>
    <s v="emp-551"/>
    <x v="18"/>
    <x v="4"/>
    <x v="0"/>
    <x v="1"/>
    <n v="41"/>
    <x v="3"/>
    <d v="2012-01-21T00:00:00"/>
    <x v="502"/>
    <n v="0"/>
    <n v="0"/>
    <x v="0"/>
    <s v="Miami"/>
    <m/>
  </r>
  <r>
    <s v="emp-552"/>
    <x v="18"/>
    <x v="4"/>
    <x v="0"/>
    <x v="1"/>
    <n v="55"/>
    <x v="0"/>
    <d v="2011-04-30T00:00:00"/>
    <x v="503"/>
    <n v="0"/>
    <n v="0"/>
    <x v="1"/>
    <s v="Shanghai"/>
    <m/>
  </r>
  <r>
    <s v="emp-553"/>
    <x v="31"/>
    <x v="5"/>
    <x v="2"/>
    <x v="1"/>
    <n v="45"/>
    <x v="2"/>
    <d v="2015-12-19T00:00:00"/>
    <x v="504"/>
    <n v="0"/>
    <n v="0"/>
    <x v="0"/>
    <s v="Columbus"/>
    <m/>
  </r>
  <r>
    <s v="emp-554"/>
    <x v="6"/>
    <x v="1"/>
    <x v="3"/>
    <x v="0"/>
    <n v="53"/>
    <x v="2"/>
    <d v="2002-02-17T00:00:00"/>
    <x v="505"/>
    <n v="0.2"/>
    <n v="35898.800000000003"/>
    <x v="1"/>
    <s v="Chongqing"/>
    <m/>
  </r>
  <r>
    <s v="emp-555"/>
    <x v="27"/>
    <x v="0"/>
    <x v="3"/>
    <x v="1"/>
    <n v="49"/>
    <x v="2"/>
    <d v="2016-06-24T00:00:00"/>
    <x v="506"/>
    <n v="0"/>
    <n v="0"/>
    <x v="2"/>
    <s v="Rio de Janerio"/>
    <m/>
  </r>
  <r>
    <s v="emp-556"/>
    <x v="0"/>
    <x v="1"/>
    <x v="3"/>
    <x v="0"/>
    <n v="55"/>
    <x v="0"/>
    <d v="2017-02-06T00:00:00"/>
    <x v="507"/>
    <n v="0.12"/>
    <n v="17398.32"/>
    <x v="0"/>
    <s v="Phoenix"/>
    <m/>
  </r>
  <r>
    <s v="emp-557"/>
    <x v="28"/>
    <x v="2"/>
    <x v="1"/>
    <x v="0"/>
    <n v="45"/>
    <x v="2"/>
    <d v="2000-08-16T00:00:00"/>
    <x v="508"/>
    <n v="0"/>
    <n v="0"/>
    <x v="0"/>
    <s v="Chicago"/>
    <m/>
  </r>
  <r>
    <s v="emp-558"/>
    <x v="31"/>
    <x v="5"/>
    <x v="0"/>
    <x v="0"/>
    <n v="52"/>
    <x v="2"/>
    <d v="2021-04-18T00:00:00"/>
    <x v="509"/>
    <n v="0"/>
    <n v="0"/>
    <x v="2"/>
    <s v="Sao Paulo"/>
    <m/>
  </r>
  <r>
    <s v="emp-559"/>
    <x v="7"/>
    <x v="6"/>
    <x v="2"/>
    <x v="0"/>
    <n v="33"/>
    <x v="1"/>
    <d v="2020-03-14T00:00:00"/>
    <x v="510"/>
    <n v="0"/>
    <n v="0"/>
    <x v="0"/>
    <s v="Chicago"/>
    <m/>
  </r>
  <r>
    <s v="emp-56"/>
    <x v="8"/>
    <x v="4"/>
    <x v="0"/>
    <x v="0"/>
    <n v="33"/>
    <x v="1"/>
    <d v="2018-12-22T00:00:00"/>
    <x v="511"/>
    <n v="0"/>
    <n v="0"/>
    <x v="0"/>
    <s v="Chicago"/>
    <m/>
  </r>
  <r>
    <s v="emp-560"/>
    <x v="22"/>
    <x v="0"/>
    <x v="3"/>
    <x v="0"/>
    <n v="59"/>
    <x v="0"/>
    <d v="2014-03-19T00:00:00"/>
    <x v="512"/>
    <n v="0"/>
    <n v="0"/>
    <x v="0"/>
    <s v="Seattle"/>
    <m/>
  </r>
  <r>
    <s v="emp-561"/>
    <x v="12"/>
    <x v="3"/>
    <x v="3"/>
    <x v="0"/>
    <n v="50"/>
    <x v="2"/>
    <d v="2012-09-03T00:00:00"/>
    <x v="513"/>
    <n v="0.08"/>
    <n v="8162.64"/>
    <x v="0"/>
    <s v="Austin"/>
    <m/>
  </r>
  <r>
    <s v="emp-562"/>
    <x v="6"/>
    <x v="2"/>
    <x v="2"/>
    <x v="0"/>
    <n v="61"/>
    <x v="0"/>
    <d v="2021-01-23T00:00:00"/>
    <x v="514"/>
    <n v="0.26"/>
    <n v="39463.58"/>
    <x v="0"/>
    <s v="Seattle"/>
    <m/>
  </r>
  <r>
    <s v="emp-563"/>
    <x v="6"/>
    <x v="4"/>
    <x v="3"/>
    <x v="0"/>
    <n v="27"/>
    <x v="1"/>
    <d v="2018-12-07T00:00:00"/>
    <x v="515"/>
    <n v="0.17"/>
    <n v="28927.88"/>
    <x v="0"/>
    <s v="Austin"/>
    <m/>
  </r>
  <r>
    <s v="emp-564"/>
    <x v="0"/>
    <x v="6"/>
    <x v="1"/>
    <x v="0"/>
    <n v="35"/>
    <x v="3"/>
    <d v="2014-02-20T00:00:00"/>
    <x v="516"/>
    <n v="0.14000000000000001"/>
    <n v="21826.7"/>
    <x v="0"/>
    <s v="Phoenix"/>
    <m/>
  </r>
  <r>
    <s v="emp-565"/>
    <x v="15"/>
    <x v="2"/>
    <x v="3"/>
    <x v="1"/>
    <n v="40"/>
    <x v="3"/>
    <d v="2016-12-17T00:00:00"/>
    <x v="517"/>
    <n v="0"/>
    <n v="0"/>
    <x v="0"/>
    <s v="Miami"/>
    <m/>
  </r>
  <r>
    <s v="emp-566"/>
    <x v="24"/>
    <x v="5"/>
    <x v="3"/>
    <x v="0"/>
    <n v="30"/>
    <x v="1"/>
    <d v="2017-01-26T00:00:00"/>
    <x v="518"/>
    <n v="0"/>
    <n v="0"/>
    <x v="0"/>
    <s v="Phoenix"/>
    <m/>
  </r>
  <r>
    <s v="emp-567"/>
    <x v="8"/>
    <x v="4"/>
    <x v="2"/>
    <x v="1"/>
    <n v="60"/>
    <x v="0"/>
    <d v="1992-10-13T00:00:00"/>
    <x v="519"/>
    <n v="0"/>
    <n v="0"/>
    <x v="1"/>
    <s v="Chongqing"/>
    <m/>
  </r>
  <r>
    <s v="emp-568"/>
    <x v="7"/>
    <x v="2"/>
    <x v="1"/>
    <x v="1"/>
    <n v="55"/>
    <x v="0"/>
    <d v="2021-08-02T00:00:00"/>
    <x v="520"/>
    <n v="0"/>
    <n v="0"/>
    <x v="0"/>
    <s v="Miami"/>
    <m/>
  </r>
  <r>
    <s v="emp-569"/>
    <x v="1"/>
    <x v="1"/>
    <x v="1"/>
    <x v="0"/>
    <n v="33"/>
    <x v="1"/>
    <d v="2015-10-08T00:00:00"/>
    <x v="521"/>
    <n v="0"/>
    <n v="0"/>
    <x v="0"/>
    <s v="Miami"/>
    <m/>
  </r>
  <r>
    <s v="emp-57"/>
    <x v="19"/>
    <x v="4"/>
    <x v="3"/>
    <x v="0"/>
    <n v="52"/>
    <x v="2"/>
    <d v="2005-12-10T00:00:00"/>
    <x v="522"/>
    <n v="0"/>
    <n v="0"/>
    <x v="0"/>
    <s v="Chicago"/>
    <m/>
  </r>
  <r>
    <s v="emp-570"/>
    <x v="5"/>
    <x v="4"/>
    <x v="1"/>
    <x v="1"/>
    <n v="62"/>
    <x v="0"/>
    <d v="1994-10-09T00:00:00"/>
    <x v="523"/>
    <n v="0"/>
    <n v="0"/>
    <x v="0"/>
    <s v="Miami"/>
    <m/>
  </r>
  <r>
    <s v="emp-571"/>
    <x v="3"/>
    <x v="4"/>
    <x v="0"/>
    <x v="0"/>
    <n v="36"/>
    <x v="3"/>
    <d v="2018-12-14T00:00:00"/>
    <x v="524"/>
    <n v="0"/>
    <n v="0"/>
    <x v="0"/>
    <s v="Columbus"/>
    <m/>
  </r>
  <r>
    <s v="emp-572"/>
    <x v="7"/>
    <x v="6"/>
    <x v="2"/>
    <x v="1"/>
    <n v="35"/>
    <x v="3"/>
    <d v="2020-07-03T00:00:00"/>
    <x v="525"/>
    <n v="0"/>
    <n v="0"/>
    <x v="0"/>
    <s v="Columbus"/>
    <m/>
  </r>
  <r>
    <s v="emp-573"/>
    <x v="2"/>
    <x v="6"/>
    <x v="3"/>
    <x v="1"/>
    <n v="60"/>
    <x v="0"/>
    <d v="2007-01-27T00:00:00"/>
    <x v="526"/>
    <n v="0.37"/>
    <n v="86695.069999999992"/>
    <x v="0"/>
    <s v="Miami"/>
    <m/>
  </r>
  <r>
    <s v="emp-574"/>
    <x v="0"/>
    <x v="5"/>
    <x v="1"/>
    <x v="0"/>
    <n v="45"/>
    <x v="2"/>
    <d v="2011-05-22T00:00:00"/>
    <x v="527"/>
    <n v="0.14000000000000001"/>
    <n v="21329.420000000002"/>
    <x v="0"/>
    <s v="Seattle"/>
    <m/>
  </r>
  <r>
    <s v="emp-575"/>
    <x v="0"/>
    <x v="3"/>
    <x v="1"/>
    <x v="0"/>
    <n v="48"/>
    <x v="2"/>
    <d v="2010-07-30T00:00:00"/>
    <x v="528"/>
    <n v="0.12"/>
    <n v="14972.88"/>
    <x v="0"/>
    <s v="Phoenix"/>
    <m/>
  </r>
  <r>
    <s v="emp-576"/>
    <x v="6"/>
    <x v="6"/>
    <x v="3"/>
    <x v="0"/>
    <n v="36"/>
    <x v="3"/>
    <d v="2010-09-13T00:00:00"/>
    <x v="529"/>
    <n v="0.28000000000000003"/>
    <n v="43979.600000000006"/>
    <x v="1"/>
    <s v="Chongqing"/>
    <m/>
  </r>
  <r>
    <s v="emp-577"/>
    <x v="0"/>
    <x v="1"/>
    <x v="1"/>
    <x v="1"/>
    <n v="44"/>
    <x v="3"/>
    <d v="2019-08-08T00:00:00"/>
    <x v="530"/>
    <n v="0.15"/>
    <n v="19519.95"/>
    <x v="0"/>
    <s v="Austin"/>
    <d v="2022-05-18T00:00:00"/>
  </r>
  <r>
    <s v="emp-578"/>
    <x v="12"/>
    <x v="6"/>
    <x v="2"/>
    <x v="0"/>
    <n v="64"/>
    <x v="0"/>
    <d v="2019-09-21T00:00:00"/>
    <x v="531"/>
    <n v="0.06"/>
    <n v="6526.8"/>
    <x v="1"/>
    <s v="Shanghai"/>
    <m/>
  </r>
  <r>
    <s v="emp-579"/>
    <x v="6"/>
    <x v="4"/>
    <x v="1"/>
    <x v="0"/>
    <n v="46"/>
    <x v="2"/>
    <d v="2020-10-21T00:00:00"/>
    <x v="532"/>
    <n v="0.16"/>
    <n v="24296.48"/>
    <x v="1"/>
    <s v="Chengdu"/>
    <m/>
  </r>
  <r>
    <s v="emp-58"/>
    <x v="16"/>
    <x v="4"/>
    <x v="2"/>
    <x v="0"/>
    <n v="46"/>
    <x v="2"/>
    <d v="2001-05-30T00:00:00"/>
    <x v="533"/>
    <n v="0"/>
    <n v="0"/>
    <x v="0"/>
    <s v="Columbus"/>
    <m/>
  </r>
  <r>
    <s v="emp-580"/>
    <x v="28"/>
    <x v="2"/>
    <x v="2"/>
    <x v="0"/>
    <n v="62"/>
    <x v="0"/>
    <d v="2006-09-17T00:00:00"/>
    <x v="534"/>
    <n v="0"/>
    <n v="0"/>
    <x v="1"/>
    <s v="Chongqing"/>
    <m/>
  </r>
  <r>
    <s v="emp-581"/>
    <x v="7"/>
    <x v="6"/>
    <x v="0"/>
    <x v="1"/>
    <n v="61"/>
    <x v="0"/>
    <d v="2008-04-30T00:00:00"/>
    <x v="535"/>
    <n v="0"/>
    <n v="0"/>
    <x v="2"/>
    <s v="Rio de Janerio"/>
    <m/>
  </r>
  <r>
    <s v="emp-582"/>
    <x v="7"/>
    <x v="6"/>
    <x v="0"/>
    <x v="1"/>
    <n v="65"/>
    <x v="4"/>
    <d v="2001-10-17T00:00:00"/>
    <x v="536"/>
    <n v="0"/>
    <n v="0"/>
    <x v="1"/>
    <s v="Chongqing"/>
    <m/>
  </r>
  <r>
    <s v="emp-583"/>
    <x v="18"/>
    <x v="4"/>
    <x v="1"/>
    <x v="1"/>
    <n v="54"/>
    <x v="2"/>
    <d v="2012-04-29T00:00:00"/>
    <x v="537"/>
    <n v="0"/>
    <n v="0"/>
    <x v="2"/>
    <s v="Sao Paulo"/>
    <m/>
  </r>
  <r>
    <s v="emp-584"/>
    <x v="25"/>
    <x v="4"/>
    <x v="1"/>
    <x v="1"/>
    <n v="46"/>
    <x v="2"/>
    <d v="2011-10-20T00:00:00"/>
    <x v="538"/>
    <n v="0.14000000000000001"/>
    <n v="15995.000000000002"/>
    <x v="1"/>
    <s v="Chengdu"/>
    <m/>
  </r>
  <r>
    <s v="emp-585"/>
    <x v="4"/>
    <x v="0"/>
    <x v="3"/>
    <x v="1"/>
    <n v="36"/>
    <x v="3"/>
    <d v="2020-12-27T00:00:00"/>
    <x v="210"/>
    <n v="7.0000000000000007E-2"/>
    <n v="4911.55"/>
    <x v="2"/>
    <s v="Manaus"/>
    <m/>
  </r>
  <r>
    <s v="emp-586"/>
    <x v="12"/>
    <x v="0"/>
    <x v="3"/>
    <x v="1"/>
    <n v="60"/>
    <x v="0"/>
    <d v="2000-01-29T00:00:00"/>
    <x v="539"/>
    <n v="7.0000000000000007E-2"/>
    <n v="7634.130000000001"/>
    <x v="1"/>
    <s v="Chengdu"/>
    <m/>
  </r>
  <r>
    <s v="emp-587"/>
    <x v="16"/>
    <x v="4"/>
    <x v="0"/>
    <x v="0"/>
    <n v="30"/>
    <x v="1"/>
    <d v="2015-11-14T00:00:00"/>
    <x v="540"/>
    <n v="0"/>
    <n v="0"/>
    <x v="0"/>
    <s v="Columbus"/>
    <m/>
  </r>
  <r>
    <s v="emp-588"/>
    <x v="7"/>
    <x v="2"/>
    <x v="3"/>
    <x v="0"/>
    <n v="34"/>
    <x v="1"/>
    <d v="2012-06-06T00:00:00"/>
    <x v="541"/>
    <n v="0"/>
    <n v="0"/>
    <x v="2"/>
    <s v="Manaus"/>
    <m/>
  </r>
  <r>
    <s v="emp-589"/>
    <x v="29"/>
    <x v="0"/>
    <x v="2"/>
    <x v="1"/>
    <n v="55"/>
    <x v="0"/>
    <d v="2013-10-18T00:00:00"/>
    <x v="542"/>
    <n v="0"/>
    <n v="0"/>
    <x v="0"/>
    <s v="Miami"/>
    <m/>
  </r>
  <r>
    <s v="emp-59"/>
    <x v="32"/>
    <x v="5"/>
    <x v="2"/>
    <x v="0"/>
    <n v="46"/>
    <x v="2"/>
    <d v="2008-08-21T00:00:00"/>
    <x v="543"/>
    <n v="0"/>
    <n v="0"/>
    <x v="0"/>
    <s v="Miami"/>
    <m/>
  </r>
  <r>
    <s v="emp-590"/>
    <x v="18"/>
    <x v="4"/>
    <x v="0"/>
    <x v="1"/>
    <n v="59"/>
    <x v="0"/>
    <d v="2009-12-23T00:00:00"/>
    <x v="544"/>
    <n v="0"/>
    <n v="0"/>
    <x v="0"/>
    <s v="Miami"/>
    <m/>
  </r>
  <r>
    <s v="emp-591"/>
    <x v="6"/>
    <x v="0"/>
    <x v="2"/>
    <x v="0"/>
    <n v="28"/>
    <x v="1"/>
    <d v="2021-01-25T00:00:00"/>
    <x v="545"/>
    <n v="0.23"/>
    <n v="36888.550000000003"/>
    <x v="0"/>
    <s v="Miami"/>
    <d v="2021-05-18T00:00:00"/>
  </r>
  <r>
    <s v="emp-592"/>
    <x v="2"/>
    <x v="1"/>
    <x v="3"/>
    <x v="0"/>
    <n v="36"/>
    <x v="3"/>
    <d v="2014-01-11T00:00:00"/>
    <x v="546"/>
    <n v="0.39"/>
    <n v="78905.97"/>
    <x v="0"/>
    <s v="Chicago"/>
    <m/>
  </r>
  <r>
    <s v="emp-593"/>
    <x v="0"/>
    <x v="5"/>
    <x v="3"/>
    <x v="0"/>
    <n v="29"/>
    <x v="1"/>
    <d v="2020-07-13T00:00:00"/>
    <x v="547"/>
    <n v="0.11"/>
    <n v="15571.05"/>
    <x v="2"/>
    <s v="Manaus"/>
    <m/>
  </r>
  <r>
    <s v="emp-594"/>
    <x v="6"/>
    <x v="1"/>
    <x v="1"/>
    <x v="0"/>
    <n v="34"/>
    <x v="1"/>
    <d v="2020-07-20T00:00:00"/>
    <x v="548"/>
    <n v="0.18"/>
    <n v="33292.799999999996"/>
    <x v="0"/>
    <s v="Seattle"/>
    <m/>
  </r>
  <r>
    <s v="emp-595"/>
    <x v="2"/>
    <x v="0"/>
    <x v="2"/>
    <x v="1"/>
    <n v="37"/>
    <x v="3"/>
    <d v="2011-06-25T00:00:00"/>
    <x v="549"/>
    <n v="0.31"/>
    <n v="68693.52"/>
    <x v="0"/>
    <s v="Columbus"/>
    <m/>
  </r>
  <r>
    <s v="emp-596"/>
    <x v="31"/>
    <x v="5"/>
    <x v="2"/>
    <x v="0"/>
    <n v="44"/>
    <x v="3"/>
    <d v="2009-01-28T00:00:00"/>
    <x v="550"/>
    <n v="0"/>
    <n v="0"/>
    <x v="0"/>
    <s v="Seattle"/>
    <m/>
  </r>
  <r>
    <s v="emp-597"/>
    <x v="14"/>
    <x v="0"/>
    <x v="3"/>
    <x v="1"/>
    <n v="45"/>
    <x v="2"/>
    <d v="2000-03-02T00:00:00"/>
    <x v="551"/>
    <n v="0"/>
    <n v="0"/>
    <x v="0"/>
    <s v="Seattle"/>
    <m/>
  </r>
  <r>
    <s v="emp-598"/>
    <x v="0"/>
    <x v="5"/>
    <x v="0"/>
    <x v="0"/>
    <n v="52"/>
    <x v="2"/>
    <d v="2017-09-05T00:00:00"/>
    <x v="552"/>
    <n v="0.13"/>
    <n v="18205.46"/>
    <x v="0"/>
    <s v="Austin"/>
    <m/>
  </r>
  <r>
    <s v="emp-599"/>
    <x v="15"/>
    <x v="3"/>
    <x v="2"/>
    <x v="0"/>
    <n v="40"/>
    <x v="3"/>
    <d v="2018-12-06T00:00:00"/>
    <x v="553"/>
    <n v="0"/>
    <n v="0"/>
    <x v="0"/>
    <s v="Columbus"/>
    <m/>
  </r>
  <r>
    <s v="emp-6"/>
    <x v="28"/>
    <x v="2"/>
    <x v="3"/>
    <x v="1"/>
    <n v="57"/>
    <x v="0"/>
    <d v="2017-01-24T00:00:00"/>
    <x v="554"/>
    <n v="0"/>
    <n v="0"/>
    <x v="1"/>
    <s v="Chongqing"/>
    <m/>
  </r>
  <r>
    <s v="emp-60"/>
    <x v="0"/>
    <x v="6"/>
    <x v="0"/>
    <x v="1"/>
    <n v="45"/>
    <x v="2"/>
    <d v="2021-03-11T00:00:00"/>
    <x v="555"/>
    <n v="0.15"/>
    <n v="20259.3"/>
    <x v="1"/>
    <s v="Chengdu"/>
    <m/>
  </r>
  <r>
    <s v="emp-600"/>
    <x v="12"/>
    <x v="5"/>
    <x v="1"/>
    <x v="0"/>
    <n v="55"/>
    <x v="0"/>
    <d v="2010-02-24T00:00:00"/>
    <x v="556"/>
    <n v="0.05"/>
    <n v="5141.9500000000007"/>
    <x v="0"/>
    <s v="Miami"/>
    <m/>
  </r>
  <r>
    <s v="emp-601"/>
    <x v="6"/>
    <x v="6"/>
    <x v="0"/>
    <x v="1"/>
    <n v="29"/>
    <x v="1"/>
    <d v="2021-09-15T00:00:00"/>
    <x v="557"/>
    <n v="0.21"/>
    <n v="41954.43"/>
    <x v="0"/>
    <s v="Chicago"/>
    <d v="2022-04-10T00:00:00"/>
  </r>
  <r>
    <s v="emp-602"/>
    <x v="24"/>
    <x v="5"/>
    <x v="0"/>
    <x v="1"/>
    <n v="32"/>
    <x v="1"/>
    <d v="2021-04-09T00:00:00"/>
    <x v="558"/>
    <n v="0"/>
    <n v="0"/>
    <x v="2"/>
    <s v="Rio de Janerio"/>
    <m/>
  </r>
  <r>
    <s v="emp-603"/>
    <x v="12"/>
    <x v="6"/>
    <x v="3"/>
    <x v="1"/>
    <n v="51"/>
    <x v="2"/>
    <d v="1997-01-26T00:00:00"/>
    <x v="559"/>
    <n v="7.0000000000000007E-2"/>
    <n v="7310.170000000001"/>
    <x v="0"/>
    <s v="Phoenix"/>
    <m/>
  </r>
  <r>
    <s v="emp-604"/>
    <x v="32"/>
    <x v="5"/>
    <x v="1"/>
    <x v="1"/>
    <n v="28"/>
    <x v="1"/>
    <d v="2021-06-27T00:00:00"/>
    <x v="560"/>
    <n v="0"/>
    <n v="0"/>
    <x v="0"/>
    <s v="Chicago"/>
    <m/>
  </r>
  <r>
    <s v="emp-605"/>
    <x v="18"/>
    <x v="4"/>
    <x v="1"/>
    <x v="1"/>
    <n v="27"/>
    <x v="1"/>
    <d v="2019-05-28T00:00:00"/>
    <x v="561"/>
    <n v="0"/>
    <n v="0"/>
    <x v="0"/>
    <s v="Miami"/>
    <d v="2021-01-07T00:00:00"/>
  </r>
  <r>
    <s v="emp-606"/>
    <x v="6"/>
    <x v="6"/>
    <x v="3"/>
    <x v="1"/>
    <n v="45"/>
    <x v="2"/>
    <d v="2008-03-12T00:00:00"/>
    <x v="562"/>
    <n v="0.28000000000000003"/>
    <n v="52118.640000000007"/>
    <x v="1"/>
    <s v="Chongqing"/>
    <m/>
  </r>
  <r>
    <s v="emp-607"/>
    <x v="15"/>
    <x v="3"/>
    <x v="2"/>
    <x v="1"/>
    <n v="58"/>
    <x v="0"/>
    <d v="2010-04-19T00:00:00"/>
    <x v="563"/>
    <n v="0"/>
    <n v="0"/>
    <x v="2"/>
    <s v="Rio de Janerio"/>
    <m/>
  </r>
  <r>
    <s v="emp-608"/>
    <x v="0"/>
    <x v="1"/>
    <x v="0"/>
    <x v="0"/>
    <n v="45"/>
    <x v="2"/>
    <d v="2016-01-10T00:00:00"/>
    <x v="564"/>
    <n v="0.12"/>
    <n v="17971.32"/>
    <x v="0"/>
    <s v="Columbus"/>
    <m/>
  </r>
  <r>
    <s v="emp-609"/>
    <x v="0"/>
    <x v="1"/>
    <x v="3"/>
    <x v="1"/>
    <n v="44"/>
    <x v="3"/>
    <d v="2007-08-11T00:00:00"/>
    <x v="565"/>
    <n v="0.13"/>
    <n v="16416.010000000002"/>
    <x v="2"/>
    <s v="Manaus"/>
    <m/>
  </r>
  <r>
    <s v="emp-61"/>
    <x v="0"/>
    <x v="0"/>
    <x v="3"/>
    <x v="0"/>
    <n v="55"/>
    <x v="0"/>
    <d v="2006-08-16T00:00:00"/>
    <x v="566"/>
    <n v="0.1"/>
    <n v="15904.400000000001"/>
    <x v="2"/>
    <s v="Manaus"/>
    <m/>
  </r>
  <r>
    <s v="emp-610"/>
    <x v="12"/>
    <x v="2"/>
    <x v="1"/>
    <x v="1"/>
    <n v="33"/>
    <x v="1"/>
    <d v="2013-06-21T00:00:00"/>
    <x v="567"/>
    <n v="0.06"/>
    <n v="7177.86"/>
    <x v="0"/>
    <s v="Phoenix"/>
    <m/>
  </r>
  <r>
    <s v="emp-611"/>
    <x v="2"/>
    <x v="0"/>
    <x v="0"/>
    <x v="1"/>
    <n v="26"/>
    <x v="1"/>
    <d v="2020-05-09T00:00:00"/>
    <x v="568"/>
    <n v="0.39"/>
    <n v="100058.79000000001"/>
    <x v="0"/>
    <s v="Austin"/>
    <m/>
  </r>
  <r>
    <s v="emp-612"/>
    <x v="22"/>
    <x v="0"/>
    <x v="1"/>
    <x v="0"/>
    <n v="45"/>
    <x v="2"/>
    <d v="2020-04-16T00:00:00"/>
    <x v="569"/>
    <n v="0"/>
    <n v="0"/>
    <x v="0"/>
    <s v="Miami"/>
    <m/>
  </r>
  <r>
    <s v="emp-613"/>
    <x v="0"/>
    <x v="2"/>
    <x v="2"/>
    <x v="0"/>
    <n v="46"/>
    <x v="2"/>
    <d v="2004-02-29T00:00:00"/>
    <x v="570"/>
    <n v="0.1"/>
    <n v="15889.7"/>
    <x v="1"/>
    <s v="Chongqing"/>
    <m/>
  </r>
  <r>
    <s v="emp-614"/>
    <x v="21"/>
    <x v="0"/>
    <x v="3"/>
    <x v="1"/>
    <n v="37"/>
    <x v="3"/>
    <d v="2008-02-15T00:00:00"/>
    <x v="571"/>
    <n v="0"/>
    <n v="0"/>
    <x v="0"/>
    <s v="Phoenix"/>
    <m/>
  </r>
  <r>
    <s v="emp-615"/>
    <x v="1"/>
    <x v="6"/>
    <x v="3"/>
    <x v="1"/>
    <n v="40"/>
    <x v="3"/>
    <d v="2014-09-22T00:00:00"/>
    <x v="572"/>
    <n v="0"/>
    <n v="0"/>
    <x v="1"/>
    <s v="Chongqing"/>
    <d v="2019-05-09T00:00:00"/>
  </r>
  <r>
    <s v="emp-616"/>
    <x v="12"/>
    <x v="2"/>
    <x v="1"/>
    <x v="0"/>
    <n v="45"/>
    <x v="2"/>
    <d v="2011-10-20T00:00:00"/>
    <x v="573"/>
    <n v="7.0000000000000007E-2"/>
    <n v="8654.8000000000011"/>
    <x v="1"/>
    <s v="Shanghai"/>
    <m/>
  </r>
  <r>
    <s v="emp-617"/>
    <x v="15"/>
    <x v="2"/>
    <x v="1"/>
    <x v="0"/>
    <n v="33"/>
    <x v="1"/>
    <d v="2014-04-13T00:00:00"/>
    <x v="574"/>
    <n v="0"/>
    <n v="0"/>
    <x v="0"/>
    <s v="Miami"/>
    <m/>
  </r>
  <r>
    <s v="emp-618"/>
    <x v="15"/>
    <x v="6"/>
    <x v="1"/>
    <x v="0"/>
    <n v="64"/>
    <x v="0"/>
    <d v="2003-02-10T00:00:00"/>
    <x v="575"/>
    <n v="0"/>
    <n v="0"/>
    <x v="0"/>
    <s v="Miami"/>
    <m/>
  </r>
  <r>
    <s v="emp-619"/>
    <x v="1"/>
    <x v="2"/>
    <x v="2"/>
    <x v="0"/>
    <n v="57"/>
    <x v="0"/>
    <d v="2007-10-02T00:00:00"/>
    <x v="576"/>
    <n v="0"/>
    <n v="0"/>
    <x v="2"/>
    <s v="Rio de Janerio"/>
    <m/>
  </r>
  <r>
    <s v="emp-62"/>
    <x v="1"/>
    <x v="3"/>
    <x v="2"/>
    <x v="0"/>
    <n v="44"/>
    <x v="3"/>
    <d v="2019-01-02T00:00:00"/>
    <x v="577"/>
    <n v="0"/>
    <n v="0"/>
    <x v="2"/>
    <s v="Manaus"/>
    <d v="2020-07-08T00:00:00"/>
  </r>
  <r>
    <s v="emp-620"/>
    <x v="6"/>
    <x v="6"/>
    <x v="2"/>
    <x v="0"/>
    <n v="35"/>
    <x v="3"/>
    <d v="2017-03-06T00:00:00"/>
    <x v="578"/>
    <n v="0.15"/>
    <n v="25713.899999999998"/>
    <x v="1"/>
    <s v="Beijing"/>
    <d v="2017-09-22T00:00:00"/>
  </r>
  <r>
    <s v="emp-621"/>
    <x v="15"/>
    <x v="1"/>
    <x v="2"/>
    <x v="0"/>
    <n v="55"/>
    <x v="0"/>
    <d v="2021-04-16T00:00:00"/>
    <x v="579"/>
    <n v="0"/>
    <n v="0"/>
    <x v="0"/>
    <s v="Chicago"/>
    <m/>
  </r>
  <r>
    <s v="emp-622"/>
    <x v="2"/>
    <x v="1"/>
    <x v="0"/>
    <x v="1"/>
    <n v="36"/>
    <x v="3"/>
    <d v="2018-08-18T00:00:00"/>
    <x v="580"/>
    <n v="0.32"/>
    <n v="71489.279999999999"/>
    <x v="0"/>
    <s v="Columbus"/>
    <m/>
  </r>
  <r>
    <s v="emp-623"/>
    <x v="11"/>
    <x v="0"/>
    <x v="1"/>
    <x v="0"/>
    <n v="57"/>
    <x v="0"/>
    <d v="2014-01-10T00:00:00"/>
    <x v="581"/>
    <n v="0"/>
    <n v="0"/>
    <x v="0"/>
    <s v="Seattle"/>
    <m/>
  </r>
  <r>
    <s v="emp-624"/>
    <x v="2"/>
    <x v="3"/>
    <x v="1"/>
    <x v="0"/>
    <n v="48"/>
    <x v="2"/>
    <d v="2007-04-25T00:00:00"/>
    <x v="582"/>
    <n v="0.36"/>
    <n v="78401.87999999999"/>
    <x v="0"/>
    <s v="Seattle"/>
    <m/>
  </r>
  <r>
    <s v="emp-625"/>
    <x v="17"/>
    <x v="0"/>
    <x v="2"/>
    <x v="0"/>
    <n v="53"/>
    <x v="2"/>
    <d v="2004-08-15T00:00:00"/>
    <x v="583"/>
    <n v="0"/>
    <n v="0"/>
    <x v="2"/>
    <s v="Manaus"/>
    <m/>
  </r>
  <r>
    <s v="emp-626"/>
    <x v="7"/>
    <x v="1"/>
    <x v="2"/>
    <x v="0"/>
    <n v="41"/>
    <x v="3"/>
    <d v="2007-01-09T00:00:00"/>
    <x v="584"/>
    <n v="0"/>
    <n v="0"/>
    <x v="0"/>
    <s v="Columbus"/>
    <m/>
  </r>
  <r>
    <s v="emp-627"/>
    <x v="7"/>
    <x v="2"/>
    <x v="0"/>
    <x v="1"/>
    <n v="34"/>
    <x v="1"/>
    <d v="2018-03-10T00:00:00"/>
    <x v="585"/>
    <n v="0"/>
    <n v="0"/>
    <x v="0"/>
    <s v="Austin"/>
    <m/>
  </r>
  <r>
    <s v="emp-628"/>
    <x v="16"/>
    <x v="4"/>
    <x v="3"/>
    <x v="1"/>
    <n v="47"/>
    <x v="2"/>
    <d v="2020-06-08T00:00:00"/>
    <x v="586"/>
    <n v="0"/>
    <n v="0"/>
    <x v="0"/>
    <s v="Miami"/>
    <d v="2021-02-02T00:00:00"/>
  </r>
  <r>
    <s v="emp-629"/>
    <x v="6"/>
    <x v="3"/>
    <x v="2"/>
    <x v="0"/>
    <n v="63"/>
    <x v="0"/>
    <d v="2007-03-06T00:00:00"/>
    <x v="587"/>
    <n v="0.15"/>
    <n v="28956.6"/>
    <x v="0"/>
    <s v="Miami"/>
    <m/>
  </r>
  <r>
    <s v="emp-63"/>
    <x v="25"/>
    <x v="4"/>
    <x v="3"/>
    <x v="0"/>
    <n v="44"/>
    <x v="3"/>
    <d v="2008-12-18T00:00:00"/>
    <x v="588"/>
    <n v="0.13"/>
    <n v="12057.890000000001"/>
    <x v="0"/>
    <s v="Austin"/>
    <d v="2021-06-24T00:00:00"/>
  </r>
  <r>
    <s v="emp-630"/>
    <x v="15"/>
    <x v="6"/>
    <x v="0"/>
    <x v="0"/>
    <n v="65"/>
    <x v="4"/>
    <d v="2011-06-17T00:00:00"/>
    <x v="589"/>
    <n v="0"/>
    <n v="0"/>
    <x v="0"/>
    <s v="Seattle"/>
    <d v="2015-06-09T00:00:00"/>
  </r>
  <r>
    <s v="emp-631"/>
    <x v="0"/>
    <x v="1"/>
    <x v="2"/>
    <x v="0"/>
    <n v="33"/>
    <x v="1"/>
    <d v="2019-10-25T00:00:00"/>
    <x v="590"/>
    <n v="0.11"/>
    <n v="14481.72"/>
    <x v="0"/>
    <s v="Seattle"/>
    <m/>
  </r>
  <r>
    <s v="emp-632"/>
    <x v="6"/>
    <x v="6"/>
    <x v="2"/>
    <x v="0"/>
    <n v="45"/>
    <x v="2"/>
    <d v="2008-02-29T00:00:00"/>
    <x v="591"/>
    <n v="0.25"/>
    <n v="37644.25"/>
    <x v="0"/>
    <s v="Miami"/>
    <m/>
  </r>
  <r>
    <s v="emp-633"/>
    <x v="25"/>
    <x v="4"/>
    <x v="0"/>
    <x v="0"/>
    <n v="37"/>
    <x v="3"/>
    <d v="2018-12-27T00:00:00"/>
    <x v="592"/>
    <n v="0.11"/>
    <n v="9609.49"/>
    <x v="2"/>
    <s v="Rio de Janerio"/>
    <m/>
  </r>
  <r>
    <s v="emp-634"/>
    <x v="7"/>
    <x v="2"/>
    <x v="1"/>
    <x v="0"/>
    <n v="60"/>
    <x v="0"/>
    <d v="2014-01-08T00:00:00"/>
    <x v="593"/>
    <n v="0"/>
    <n v="0"/>
    <x v="1"/>
    <s v="Beijing"/>
    <m/>
  </r>
  <r>
    <s v="emp-635"/>
    <x v="22"/>
    <x v="0"/>
    <x v="2"/>
    <x v="1"/>
    <n v="43"/>
    <x v="3"/>
    <d v="2017-01-18T00:00:00"/>
    <x v="594"/>
    <n v="0"/>
    <n v="0"/>
    <x v="0"/>
    <s v="Chicago"/>
    <m/>
  </r>
  <r>
    <s v="emp-636"/>
    <x v="11"/>
    <x v="0"/>
    <x v="0"/>
    <x v="0"/>
    <n v="65"/>
    <x v="4"/>
    <d v="2003-05-08T00:00:00"/>
    <x v="595"/>
    <n v="0"/>
    <n v="0"/>
    <x v="0"/>
    <s v="Austin"/>
    <m/>
  </r>
  <r>
    <s v="emp-637"/>
    <x v="1"/>
    <x v="3"/>
    <x v="2"/>
    <x v="0"/>
    <n v="43"/>
    <x v="3"/>
    <d v="2014-01-23T00:00:00"/>
    <x v="596"/>
    <n v="0"/>
    <n v="0"/>
    <x v="1"/>
    <s v="Chengdu"/>
    <m/>
  </r>
  <r>
    <s v="emp-638"/>
    <x v="7"/>
    <x v="3"/>
    <x v="1"/>
    <x v="1"/>
    <n v="28"/>
    <x v="1"/>
    <d v="2018-08-24T00:00:00"/>
    <x v="597"/>
    <n v="0"/>
    <n v="0"/>
    <x v="0"/>
    <s v="Phoenix"/>
    <m/>
  </r>
  <r>
    <s v="emp-639"/>
    <x v="12"/>
    <x v="1"/>
    <x v="1"/>
    <x v="0"/>
    <n v="61"/>
    <x v="0"/>
    <d v="2010-04-25T00:00:00"/>
    <x v="598"/>
    <n v="0.06"/>
    <n v="6618.12"/>
    <x v="0"/>
    <s v="Miami"/>
    <m/>
  </r>
  <r>
    <s v="emp-64"/>
    <x v="2"/>
    <x v="5"/>
    <x v="1"/>
    <x v="1"/>
    <n v="45"/>
    <x v="2"/>
    <d v="2013-08-07T00:00:00"/>
    <x v="599"/>
    <n v="0.37"/>
    <n v="87670.02"/>
    <x v="0"/>
    <s v="Seattle"/>
    <m/>
  </r>
  <r>
    <s v="emp-640"/>
    <x v="6"/>
    <x v="4"/>
    <x v="1"/>
    <x v="0"/>
    <n v="45"/>
    <x v="2"/>
    <d v="2018-04-22T00:00:00"/>
    <x v="600"/>
    <n v="0.24"/>
    <n v="44929.2"/>
    <x v="0"/>
    <s v="Columbus"/>
    <d v="2022-06-20T00:00:00"/>
  </r>
  <r>
    <s v="emp-641"/>
    <x v="1"/>
    <x v="2"/>
    <x v="3"/>
    <x v="1"/>
    <n v="45"/>
    <x v="2"/>
    <d v="2011-03-16T00:00:00"/>
    <x v="601"/>
    <n v="0"/>
    <n v="0"/>
    <x v="0"/>
    <s v="Phoenix"/>
    <m/>
  </r>
  <r>
    <s v="emp-642"/>
    <x v="2"/>
    <x v="0"/>
    <x v="1"/>
    <x v="1"/>
    <n v="54"/>
    <x v="2"/>
    <d v="2009-08-15T00:00:00"/>
    <x v="602"/>
    <n v="0.39"/>
    <n v="94022.37000000001"/>
    <x v="0"/>
    <s v="Columbus"/>
    <m/>
  </r>
  <r>
    <s v="emp-643"/>
    <x v="2"/>
    <x v="1"/>
    <x v="1"/>
    <x v="0"/>
    <n v="38"/>
    <x v="3"/>
    <d v="2018-11-09T00:00:00"/>
    <x v="603"/>
    <n v="0.36"/>
    <n v="80569.8"/>
    <x v="0"/>
    <s v="Chicago"/>
    <m/>
  </r>
  <r>
    <s v="emp-644"/>
    <x v="6"/>
    <x v="3"/>
    <x v="3"/>
    <x v="0"/>
    <n v="27"/>
    <x v="1"/>
    <d v="2021-07-16T00:00:00"/>
    <x v="604"/>
    <n v="0.16"/>
    <n v="25881.440000000002"/>
    <x v="0"/>
    <s v="Miami"/>
    <m/>
  </r>
  <r>
    <s v="emp-645"/>
    <x v="4"/>
    <x v="0"/>
    <x v="0"/>
    <x v="1"/>
    <n v="40"/>
    <x v="3"/>
    <d v="2019-02-24T00:00:00"/>
    <x v="605"/>
    <n v="0.1"/>
    <n v="9589.9"/>
    <x v="0"/>
    <s v="Columbus"/>
    <d v="2021-03-08T00:00:00"/>
  </r>
  <r>
    <s v="emp-646"/>
    <x v="1"/>
    <x v="1"/>
    <x v="3"/>
    <x v="1"/>
    <n v="49"/>
    <x v="2"/>
    <d v="2019-06-07T00:00:00"/>
    <x v="606"/>
    <n v="0"/>
    <n v="0"/>
    <x v="0"/>
    <s v="Columbus"/>
    <m/>
  </r>
  <r>
    <s v="emp-647"/>
    <x v="12"/>
    <x v="5"/>
    <x v="1"/>
    <x v="1"/>
    <n v="54"/>
    <x v="2"/>
    <d v="1997-03-11T00:00:00"/>
    <x v="607"/>
    <n v="0.05"/>
    <n v="6406.8"/>
    <x v="1"/>
    <s v="Beijing"/>
    <m/>
  </r>
  <r>
    <s v="emp-648"/>
    <x v="7"/>
    <x v="6"/>
    <x v="3"/>
    <x v="0"/>
    <n v="39"/>
    <x v="3"/>
    <d v="2017-04-18T00:00:00"/>
    <x v="608"/>
    <n v="0"/>
    <n v="0"/>
    <x v="0"/>
    <s v="Austin"/>
    <m/>
  </r>
  <r>
    <s v="emp-649"/>
    <x v="21"/>
    <x v="0"/>
    <x v="3"/>
    <x v="0"/>
    <n v="57"/>
    <x v="0"/>
    <d v="1992-05-04T00:00:00"/>
    <x v="609"/>
    <n v="0"/>
    <n v="0"/>
    <x v="0"/>
    <s v="Austin"/>
    <d v="1994-12-18T00:00:00"/>
  </r>
  <r>
    <s v="emp-65"/>
    <x v="15"/>
    <x v="1"/>
    <x v="3"/>
    <x v="0"/>
    <n v="36"/>
    <x v="3"/>
    <d v="2021-08-27T00:00:00"/>
    <x v="610"/>
    <n v="0"/>
    <n v="0"/>
    <x v="0"/>
    <s v="Miami"/>
    <m/>
  </r>
  <r>
    <s v="emp-650"/>
    <x v="2"/>
    <x v="2"/>
    <x v="1"/>
    <x v="1"/>
    <n v="36"/>
    <x v="3"/>
    <d v="2018-03-19T00:00:00"/>
    <x v="611"/>
    <n v="0.36"/>
    <n v="70272"/>
    <x v="0"/>
    <s v="Austin"/>
    <m/>
  </r>
  <r>
    <s v="emp-651"/>
    <x v="7"/>
    <x v="1"/>
    <x v="2"/>
    <x v="0"/>
    <n v="45"/>
    <x v="2"/>
    <d v="2016-12-07T00:00:00"/>
    <x v="612"/>
    <n v="0"/>
    <n v="0"/>
    <x v="1"/>
    <s v="Shanghai"/>
    <m/>
  </r>
  <r>
    <s v="emp-652"/>
    <x v="14"/>
    <x v="0"/>
    <x v="2"/>
    <x v="0"/>
    <n v="30"/>
    <x v="1"/>
    <d v="2020-02-03T00:00:00"/>
    <x v="613"/>
    <n v="0"/>
    <n v="0"/>
    <x v="0"/>
    <s v="Seattle"/>
    <m/>
  </r>
  <r>
    <s v="emp-653"/>
    <x v="21"/>
    <x v="0"/>
    <x v="2"/>
    <x v="1"/>
    <n v="34"/>
    <x v="1"/>
    <d v="2016-02-16T00:00:00"/>
    <x v="614"/>
    <n v="0"/>
    <n v="0"/>
    <x v="0"/>
    <s v="Miami"/>
    <m/>
  </r>
  <r>
    <s v="emp-654"/>
    <x v="7"/>
    <x v="2"/>
    <x v="1"/>
    <x v="1"/>
    <n v="31"/>
    <x v="1"/>
    <d v="2020-02-17T00:00:00"/>
    <x v="615"/>
    <n v="0"/>
    <n v="0"/>
    <x v="1"/>
    <s v="Chongqing"/>
    <d v="2021-05-01T00:00:00"/>
  </r>
  <r>
    <s v="emp-655"/>
    <x v="0"/>
    <x v="3"/>
    <x v="1"/>
    <x v="0"/>
    <n v="28"/>
    <x v="1"/>
    <d v="2019-07-06T00:00:00"/>
    <x v="616"/>
    <n v="0.15"/>
    <n v="22805.399999999998"/>
    <x v="2"/>
    <s v="Rio de Janerio"/>
    <m/>
  </r>
  <r>
    <s v="emp-656"/>
    <x v="9"/>
    <x v="4"/>
    <x v="2"/>
    <x v="0"/>
    <n v="55"/>
    <x v="0"/>
    <d v="2021-03-21T00:00:00"/>
    <x v="617"/>
    <n v="0"/>
    <n v="0"/>
    <x v="0"/>
    <s v="Chicago"/>
    <m/>
  </r>
  <r>
    <s v="emp-657"/>
    <x v="1"/>
    <x v="2"/>
    <x v="0"/>
    <x v="1"/>
    <n v="30"/>
    <x v="1"/>
    <d v="2019-11-04T00:00:00"/>
    <x v="618"/>
    <n v="0"/>
    <n v="0"/>
    <x v="0"/>
    <s v="Austin"/>
    <m/>
  </r>
  <r>
    <s v="emp-658"/>
    <x v="2"/>
    <x v="4"/>
    <x v="2"/>
    <x v="1"/>
    <n v="63"/>
    <x v="0"/>
    <d v="2013-06-03T00:00:00"/>
    <x v="619"/>
    <n v="0.39"/>
    <n v="99172.71"/>
    <x v="0"/>
    <s v="Chicago"/>
    <m/>
  </r>
  <r>
    <s v="emp-659"/>
    <x v="4"/>
    <x v="0"/>
    <x v="0"/>
    <x v="1"/>
    <n v="26"/>
    <x v="1"/>
    <d v="2019-07-10T00:00:00"/>
    <x v="620"/>
    <n v="0.05"/>
    <n v="3455.5"/>
    <x v="0"/>
    <s v="Chicago"/>
    <m/>
  </r>
  <r>
    <s v="emp-66"/>
    <x v="1"/>
    <x v="2"/>
    <x v="3"/>
    <x v="0"/>
    <n v="38"/>
    <x v="3"/>
    <d v="2008-01-27T00:00:00"/>
    <x v="621"/>
    <n v="0"/>
    <n v="0"/>
    <x v="0"/>
    <s v="Columbus"/>
    <m/>
  </r>
  <r>
    <s v="emp-660"/>
    <x v="2"/>
    <x v="6"/>
    <x v="1"/>
    <x v="1"/>
    <n v="52"/>
    <x v="2"/>
    <d v="2002-06-11T00:00:00"/>
    <x v="622"/>
    <n v="0.34"/>
    <n v="80346.760000000009"/>
    <x v="0"/>
    <s v="Miami"/>
    <m/>
  </r>
  <r>
    <s v="emp-661"/>
    <x v="15"/>
    <x v="6"/>
    <x v="3"/>
    <x v="1"/>
    <n v="51"/>
    <x v="2"/>
    <d v="2007-06-19T00:00:00"/>
    <x v="623"/>
    <n v="0"/>
    <n v="0"/>
    <x v="0"/>
    <s v="Columbus"/>
    <m/>
  </r>
  <r>
    <s v="emp-662"/>
    <x v="2"/>
    <x v="1"/>
    <x v="0"/>
    <x v="0"/>
    <n v="25"/>
    <x v="1"/>
    <d v="2021-11-15T00:00:00"/>
    <x v="624"/>
    <n v="0.33"/>
    <n v="69533.64"/>
    <x v="0"/>
    <s v="Chicago"/>
    <m/>
  </r>
  <r>
    <s v="emp-663"/>
    <x v="11"/>
    <x v="0"/>
    <x v="3"/>
    <x v="1"/>
    <n v="40"/>
    <x v="3"/>
    <d v="2021-09-26T00:00:00"/>
    <x v="625"/>
    <n v="0"/>
    <n v="0"/>
    <x v="0"/>
    <s v="Austin"/>
    <m/>
  </r>
  <r>
    <s v="emp-664"/>
    <x v="12"/>
    <x v="3"/>
    <x v="3"/>
    <x v="0"/>
    <n v="38"/>
    <x v="3"/>
    <d v="2015-08-12T00:00:00"/>
    <x v="626"/>
    <n v="0.05"/>
    <n v="5342.9000000000005"/>
    <x v="0"/>
    <s v="Seattle"/>
    <m/>
  </r>
  <r>
    <s v="emp-665"/>
    <x v="6"/>
    <x v="5"/>
    <x v="3"/>
    <x v="1"/>
    <n v="60"/>
    <x v="0"/>
    <d v="2015-04-14T00:00:00"/>
    <x v="627"/>
    <n v="0.17"/>
    <n v="26483.960000000003"/>
    <x v="0"/>
    <s v="Seattle"/>
    <m/>
  </r>
  <r>
    <s v="emp-666"/>
    <x v="24"/>
    <x v="5"/>
    <x v="1"/>
    <x v="0"/>
    <n v="45"/>
    <x v="2"/>
    <d v="2019-04-26T00:00:00"/>
    <x v="628"/>
    <n v="0"/>
    <n v="0"/>
    <x v="2"/>
    <s v="Rio de Janerio"/>
    <m/>
  </r>
  <r>
    <s v="emp-667"/>
    <x v="9"/>
    <x v="4"/>
    <x v="3"/>
    <x v="1"/>
    <n v="28"/>
    <x v="1"/>
    <d v="2021-12-18T00:00:00"/>
    <x v="629"/>
    <n v="0"/>
    <n v="0"/>
    <x v="0"/>
    <s v="Phoenix"/>
    <m/>
  </r>
  <r>
    <s v="emp-668"/>
    <x v="28"/>
    <x v="2"/>
    <x v="0"/>
    <x v="0"/>
    <n v="65"/>
    <x v="4"/>
    <d v="2000-09-29T00:00:00"/>
    <x v="630"/>
    <n v="0"/>
    <n v="0"/>
    <x v="0"/>
    <s v="Austin"/>
    <m/>
  </r>
  <r>
    <s v="emp-669"/>
    <x v="7"/>
    <x v="2"/>
    <x v="0"/>
    <x v="1"/>
    <n v="41"/>
    <x v="3"/>
    <d v="2010-06-04T00:00:00"/>
    <x v="631"/>
    <n v="0"/>
    <n v="0"/>
    <x v="1"/>
    <s v="Beijing"/>
    <m/>
  </r>
  <r>
    <s v="emp-67"/>
    <x v="31"/>
    <x v="5"/>
    <x v="1"/>
    <x v="0"/>
    <n v="41"/>
    <x v="3"/>
    <d v="2009-10-23T00:00:00"/>
    <x v="632"/>
    <n v="0"/>
    <n v="0"/>
    <x v="0"/>
    <s v="Seattle"/>
    <d v="2014-01-22T00:00:00"/>
  </r>
  <r>
    <s v="emp-670"/>
    <x v="1"/>
    <x v="2"/>
    <x v="3"/>
    <x v="0"/>
    <n v="52"/>
    <x v="2"/>
    <d v="1994-10-16T00:00:00"/>
    <x v="633"/>
    <n v="0"/>
    <n v="0"/>
    <x v="0"/>
    <s v="Phoenix"/>
    <m/>
  </r>
  <r>
    <s v="emp-671"/>
    <x v="9"/>
    <x v="4"/>
    <x v="3"/>
    <x v="0"/>
    <n v="56"/>
    <x v="0"/>
    <d v="2015-10-14T00:00:00"/>
    <x v="634"/>
    <n v="0"/>
    <n v="0"/>
    <x v="0"/>
    <s v="Miami"/>
    <d v="2021-10-22T00:00:00"/>
  </r>
  <r>
    <s v="emp-672"/>
    <x v="7"/>
    <x v="1"/>
    <x v="2"/>
    <x v="0"/>
    <n v="48"/>
    <x v="2"/>
    <d v="2003-06-24T00:00:00"/>
    <x v="635"/>
    <n v="0"/>
    <n v="0"/>
    <x v="0"/>
    <s v="Austin"/>
    <m/>
  </r>
  <r>
    <s v="emp-673"/>
    <x v="2"/>
    <x v="3"/>
    <x v="3"/>
    <x v="0"/>
    <n v="36"/>
    <x v="3"/>
    <d v="2020-01-13T00:00:00"/>
    <x v="636"/>
    <n v="0.4"/>
    <n v="101317.6"/>
    <x v="0"/>
    <s v="Miami"/>
    <m/>
  </r>
  <r>
    <s v="emp-674"/>
    <x v="7"/>
    <x v="1"/>
    <x v="3"/>
    <x v="1"/>
    <n v="60"/>
    <x v="0"/>
    <d v="2007-08-16T00:00:00"/>
    <x v="637"/>
    <n v="0"/>
    <n v="0"/>
    <x v="0"/>
    <s v="Columbus"/>
    <m/>
  </r>
  <r>
    <s v="emp-675"/>
    <x v="28"/>
    <x v="2"/>
    <x v="0"/>
    <x v="0"/>
    <n v="40"/>
    <x v="3"/>
    <d v="2018-03-16T00:00:00"/>
    <x v="638"/>
    <n v="0"/>
    <n v="0"/>
    <x v="0"/>
    <s v="Columbus"/>
    <m/>
  </r>
  <r>
    <s v="emp-676"/>
    <x v="28"/>
    <x v="2"/>
    <x v="2"/>
    <x v="0"/>
    <n v="63"/>
    <x v="0"/>
    <d v="2017-09-26T00:00:00"/>
    <x v="639"/>
    <n v="0"/>
    <n v="0"/>
    <x v="0"/>
    <s v="Phoenix"/>
    <d v="2019-04-03T00:00:00"/>
  </r>
  <r>
    <s v="emp-677"/>
    <x v="12"/>
    <x v="6"/>
    <x v="3"/>
    <x v="0"/>
    <n v="29"/>
    <x v="1"/>
    <d v="2016-11-02T00:00:00"/>
    <x v="640"/>
    <n v="0.06"/>
    <n v="7323.24"/>
    <x v="0"/>
    <s v="Phoenix"/>
    <m/>
  </r>
  <r>
    <s v="emp-678"/>
    <x v="6"/>
    <x v="0"/>
    <x v="2"/>
    <x v="0"/>
    <n v="27"/>
    <x v="1"/>
    <d v="2018-01-03T00:00:00"/>
    <x v="641"/>
    <n v="0.2"/>
    <n v="33420"/>
    <x v="1"/>
    <s v="Chengdu"/>
    <m/>
  </r>
  <r>
    <s v="emp-679"/>
    <x v="21"/>
    <x v="0"/>
    <x v="3"/>
    <x v="0"/>
    <n v="53"/>
    <x v="2"/>
    <d v="1997-04-23T00:00:00"/>
    <x v="642"/>
    <n v="0"/>
    <n v="0"/>
    <x v="0"/>
    <s v="Miami"/>
    <m/>
  </r>
  <r>
    <s v="emp-68"/>
    <x v="12"/>
    <x v="6"/>
    <x v="0"/>
    <x v="0"/>
    <n v="30"/>
    <x v="1"/>
    <d v="2016-04-24T00:00:00"/>
    <x v="643"/>
    <n v="7.0000000000000007E-2"/>
    <n v="8423.8700000000008"/>
    <x v="0"/>
    <s v="Seattle"/>
    <m/>
  </r>
  <r>
    <s v="emp-680"/>
    <x v="12"/>
    <x v="1"/>
    <x v="2"/>
    <x v="0"/>
    <n v="37"/>
    <x v="3"/>
    <d v="2020-04-14T00:00:00"/>
    <x v="644"/>
    <n v="0.09"/>
    <n v="9317.16"/>
    <x v="0"/>
    <s v="Phoenix"/>
    <m/>
  </r>
  <r>
    <s v="emp-681"/>
    <x v="12"/>
    <x v="0"/>
    <x v="3"/>
    <x v="1"/>
    <n v="30"/>
    <x v="1"/>
    <d v="2017-08-05T00:00:00"/>
    <x v="645"/>
    <n v="0.05"/>
    <n v="5995.3"/>
    <x v="0"/>
    <s v="Columbus"/>
    <m/>
  </r>
  <r>
    <s v="emp-682"/>
    <x v="15"/>
    <x v="6"/>
    <x v="1"/>
    <x v="0"/>
    <n v="28"/>
    <x v="1"/>
    <d v="2020-01-17T00:00:00"/>
    <x v="646"/>
    <n v="0"/>
    <n v="0"/>
    <x v="0"/>
    <s v="Miami"/>
    <m/>
  </r>
  <r>
    <s v="emp-683"/>
    <x v="27"/>
    <x v="0"/>
    <x v="3"/>
    <x v="1"/>
    <n v="51"/>
    <x v="2"/>
    <d v="2003-01-17T00:00:00"/>
    <x v="647"/>
    <n v="0"/>
    <n v="0"/>
    <x v="0"/>
    <s v="Seattle"/>
    <m/>
  </r>
  <r>
    <s v="emp-684"/>
    <x v="13"/>
    <x v="0"/>
    <x v="0"/>
    <x v="1"/>
    <n v="28"/>
    <x v="1"/>
    <d v="2017-09-28T00:00:00"/>
    <x v="648"/>
    <n v="0"/>
    <n v="0"/>
    <x v="0"/>
    <s v="Austin"/>
    <m/>
  </r>
  <r>
    <s v="emp-685"/>
    <x v="0"/>
    <x v="3"/>
    <x v="3"/>
    <x v="0"/>
    <n v="31"/>
    <x v="1"/>
    <d v="2017-01-20T00:00:00"/>
    <x v="649"/>
    <n v="0.1"/>
    <n v="12462.900000000001"/>
    <x v="0"/>
    <s v="Columbus"/>
    <m/>
  </r>
  <r>
    <s v="emp-686"/>
    <x v="2"/>
    <x v="5"/>
    <x v="1"/>
    <x v="0"/>
    <n v="28"/>
    <x v="1"/>
    <d v="2021-07-25T00:00:00"/>
    <x v="650"/>
    <n v="0.39"/>
    <n v="90421.5"/>
    <x v="0"/>
    <s v="Miami"/>
    <m/>
  </r>
  <r>
    <s v="emp-687"/>
    <x v="12"/>
    <x v="3"/>
    <x v="0"/>
    <x v="1"/>
    <n v="34"/>
    <x v="1"/>
    <d v="2018-06-04T00:00:00"/>
    <x v="651"/>
    <n v="0.08"/>
    <n v="10266.32"/>
    <x v="0"/>
    <s v="Phoenix"/>
    <m/>
  </r>
  <r>
    <s v="emp-688"/>
    <x v="2"/>
    <x v="6"/>
    <x v="1"/>
    <x v="1"/>
    <n v="44"/>
    <x v="3"/>
    <d v="2021-03-28T00:00:00"/>
    <x v="652"/>
    <n v="0.34"/>
    <n v="63251.22"/>
    <x v="2"/>
    <s v="Sao Paulo"/>
    <m/>
  </r>
  <r>
    <s v="emp-689"/>
    <x v="0"/>
    <x v="6"/>
    <x v="2"/>
    <x v="1"/>
    <n v="60"/>
    <x v="0"/>
    <d v="2021-07-26T00:00:00"/>
    <x v="653"/>
    <n v="0.14000000000000001"/>
    <n v="17007.2"/>
    <x v="0"/>
    <s v="Phoenix"/>
    <m/>
  </r>
  <r>
    <s v="emp-69"/>
    <x v="2"/>
    <x v="0"/>
    <x v="1"/>
    <x v="0"/>
    <n v="43"/>
    <x v="3"/>
    <d v="2009-08-04T00:00:00"/>
    <x v="654"/>
    <n v="0.35"/>
    <n v="72945.25"/>
    <x v="0"/>
    <s v="Seattle"/>
    <m/>
  </r>
  <r>
    <s v="emp-690"/>
    <x v="6"/>
    <x v="5"/>
    <x v="1"/>
    <x v="0"/>
    <n v="41"/>
    <x v="3"/>
    <d v="2010-05-21T00:00:00"/>
    <x v="655"/>
    <n v="0.24"/>
    <n v="36786"/>
    <x v="0"/>
    <s v="Columbus"/>
    <m/>
  </r>
  <r>
    <s v="emp-691"/>
    <x v="1"/>
    <x v="2"/>
    <x v="0"/>
    <x v="0"/>
    <n v="62"/>
    <x v="0"/>
    <d v="2020-05-18T00:00:00"/>
    <x v="656"/>
    <n v="0"/>
    <n v="0"/>
    <x v="0"/>
    <s v="Austin"/>
    <m/>
  </r>
  <r>
    <s v="emp-692"/>
    <x v="2"/>
    <x v="6"/>
    <x v="3"/>
    <x v="0"/>
    <n v="47"/>
    <x v="2"/>
    <d v="1999-03-13T00:00:00"/>
    <x v="657"/>
    <n v="0.32"/>
    <n v="76606.080000000002"/>
    <x v="0"/>
    <s v="Austin"/>
    <m/>
  </r>
  <r>
    <s v="emp-693"/>
    <x v="15"/>
    <x v="1"/>
    <x v="1"/>
    <x v="0"/>
    <n v="62"/>
    <x v="0"/>
    <d v="2002-09-20T00:00:00"/>
    <x v="658"/>
    <n v="0"/>
    <n v="0"/>
    <x v="1"/>
    <s v="Beijing"/>
    <m/>
  </r>
  <r>
    <s v="emp-694"/>
    <x v="15"/>
    <x v="3"/>
    <x v="2"/>
    <x v="0"/>
    <n v="33"/>
    <x v="1"/>
    <d v="2018-05-27T00:00:00"/>
    <x v="659"/>
    <n v="0"/>
    <n v="0"/>
    <x v="0"/>
    <s v="Seattle"/>
    <m/>
  </r>
  <r>
    <s v="emp-695"/>
    <x v="6"/>
    <x v="1"/>
    <x v="0"/>
    <x v="0"/>
    <n v="27"/>
    <x v="1"/>
    <d v="2020-05-26T00:00:00"/>
    <x v="660"/>
    <n v="0.28999999999999998"/>
    <n v="44552.119999999995"/>
    <x v="1"/>
    <s v="Chongqing"/>
    <d v="2020-12-12T00:00:00"/>
  </r>
  <r>
    <s v="emp-696"/>
    <x v="0"/>
    <x v="2"/>
    <x v="2"/>
    <x v="1"/>
    <n v="25"/>
    <x v="1"/>
    <d v="2021-06-15T00:00:00"/>
    <x v="661"/>
    <n v="0.11"/>
    <n v="15700.41"/>
    <x v="1"/>
    <s v="Shanghai"/>
    <d v="2022-06-03T00:00:00"/>
  </r>
  <r>
    <s v="emp-697"/>
    <x v="0"/>
    <x v="6"/>
    <x v="1"/>
    <x v="0"/>
    <n v="29"/>
    <x v="1"/>
    <d v="2020-05-15T00:00:00"/>
    <x v="662"/>
    <n v="0.12"/>
    <n v="16452.72"/>
    <x v="2"/>
    <s v="Sao Paulo"/>
    <m/>
  </r>
  <r>
    <s v="emp-698"/>
    <x v="2"/>
    <x v="1"/>
    <x v="3"/>
    <x v="0"/>
    <n v="54"/>
    <x v="2"/>
    <d v="2007-09-05T00:00:00"/>
    <x v="663"/>
    <n v="0.32"/>
    <n v="58636.480000000003"/>
    <x v="0"/>
    <s v="Seattle"/>
    <m/>
  </r>
  <r>
    <s v="emp-699"/>
    <x v="15"/>
    <x v="3"/>
    <x v="2"/>
    <x v="0"/>
    <n v="28"/>
    <x v="1"/>
    <d v="2019-05-25T00:00:00"/>
    <x v="664"/>
    <n v="0"/>
    <n v="0"/>
    <x v="0"/>
    <s v="Miami"/>
    <m/>
  </r>
  <r>
    <s v="emp-7"/>
    <x v="12"/>
    <x v="0"/>
    <x v="3"/>
    <x v="0"/>
    <n v="27"/>
    <x v="1"/>
    <d v="2020-07-01T00:00:00"/>
    <x v="665"/>
    <n v="0.1"/>
    <n v="11974.6"/>
    <x v="0"/>
    <s v="Phoenix"/>
    <m/>
  </r>
  <r>
    <s v="emp-70"/>
    <x v="14"/>
    <x v="0"/>
    <x v="1"/>
    <x v="0"/>
    <n v="32"/>
    <x v="1"/>
    <d v="2020-01-05T00:00:00"/>
    <x v="666"/>
    <n v="0"/>
    <n v="0"/>
    <x v="0"/>
    <s v="Seattle"/>
    <m/>
  </r>
  <r>
    <s v="emp-700"/>
    <x v="15"/>
    <x v="3"/>
    <x v="0"/>
    <x v="0"/>
    <n v="54"/>
    <x v="2"/>
    <d v="2006-12-29T00:00:00"/>
    <x v="667"/>
    <n v="0"/>
    <n v="0"/>
    <x v="0"/>
    <s v="Columbus"/>
    <m/>
  </r>
  <r>
    <s v="emp-701"/>
    <x v="12"/>
    <x v="6"/>
    <x v="2"/>
    <x v="0"/>
    <n v="50"/>
    <x v="2"/>
    <d v="2012-03-11T00:00:00"/>
    <x v="668"/>
    <n v="0.1"/>
    <n v="10813.400000000001"/>
    <x v="1"/>
    <s v="Shanghai"/>
    <m/>
  </r>
  <r>
    <s v="emp-702"/>
    <x v="12"/>
    <x v="6"/>
    <x v="0"/>
    <x v="0"/>
    <n v="55"/>
    <x v="0"/>
    <d v="1992-12-20T00:00:00"/>
    <x v="669"/>
    <n v="0.09"/>
    <n v="10255.5"/>
    <x v="0"/>
    <s v="Miami"/>
    <m/>
  </r>
  <r>
    <s v="emp-703"/>
    <x v="2"/>
    <x v="6"/>
    <x v="1"/>
    <x v="0"/>
    <n v="52"/>
    <x v="2"/>
    <d v="1998-04-01T00:00:00"/>
    <x v="670"/>
    <n v="0.3"/>
    <n v="54610.5"/>
    <x v="0"/>
    <s v="Chicago"/>
    <m/>
  </r>
  <r>
    <s v="emp-704"/>
    <x v="6"/>
    <x v="3"/>
    <x v="1"/>
    <x v="1"/>
    <n v="35"/>
    <x v="3"/>
    <d v="2017-08-16T00:00:00"/>
    <x v="671"/>
    <n v="0.23"/>
    <n v="41711.880000000005"/>
    <x v="1"/>
    <s v="Beijing"/>
    <m/>
  </r>
  <r>
    <s v="emp-705"/>
    <x v="28"/>
    <x v="2"/>
    <x v="3"/>
    <x v="0"/>
    <n v="26"/>
    <x v="1"/>
    <d v="2019-08-21T00:00:00"/>
    <x v="672"/>
    <n v="0"/>
    <n v="0"/>
    <x v="0"/>
    <s v="Seattle"/>
    <m/>
  </r>
  <r>
    <s v="emp-706"/>
    <x v="22"/>
    <x v="0"/>
    <x v="1"/>
    <x v="0"/>
    <n v="43"/>
    <x v="3"/>
    <d v="2010-04-22T00:00:00"/>
    <x v="673"/>
    <n v="0"/>
    <n v="0"/>
    <x v="2"/>
    <s v="Sao Paulo"/>
    <m/>
  </r>
  <r>
    <s v="emp-707"/>
    <x v="3"/>
    <x v="4"/>
    <x v="0"/>
    <x v="0"/>
    <n v="63"/>
    <x v="0"/>
    <d v="2018-05-07T00:00:00"/>
    <x v="674"/>
    <n v="0"/>
    <n v="0"/>
    <x v="0"/>
    <s v="Miami"/>
    <m/>
  </r>
  <r>
    <s v="emp-708"/>
    <x v="7"/>
    <x v="6"/>
    <x v="2"/>
    <x v="1"/>
    <n v="65"/>
    <x v="4"/>
    <d v="2005-08-20T00:00:00"/>
    <x v="675"/>
    <n v="0"/>
    <n v="0"/>
    <x v="0"/>
    <s v="Columbus"/>
    <m/>
  </r>
  <r>
    <s v="emp-709"/>
    <x v="0"/>
    <x v="6"/>
    <x v="1"/>
    <x v="1"/>
    <n v="45"/>
    <x v="2"/>
    <d v="2005-04-11T00:00:00"/>
    <x v="676"/>
    <n v="0.11"/>
    <n v="14131.48"/>
    <x v="0"/>
    <s v="Chicago"/>
    <m/>
  </r>
  <r>
    <s v="emp-71"/>
    <x v="8"/>
    <x v="4"/>
    <x v="2"/>
    <x v="1"/>
    <n v="58"/>
    <x v="0"/>
    <d v="2002-05-23T00:00:00"/>
    <x v="677"/>
    <n v="0"/>
    <n v="0"/>
    <x v="0"/>
    <s v="Phoenix"/>
    <d v="2021-09-26T00:00:00"/>
  </r>
  <r>
    <s v="emp-710"/>
    <x v="12"/>
    <x v="2"/>
    <x v="3"/>
    <x v="1"/>
    <n v="42"/>
    <x v="3"/>
    <d v="2011-05-29T00:00:00"/>
    <x v="678"/>
    <n v="0.06"/>
    <n v="6146.4"/>
    <x v="0"/>
    <s v="Chicago"/>
    <m/>
  </r>
  <r>
    <s v="emp-711"/>
    <x v="2"/>
    <x v="0"/>
    <x v="1"/>
    <x v="1"/>
    <n v="59"/>
    <x v="0"/>
    <d v="2010-12-30T00:00:00"/>
    <x v="679"/>
    <n v="0.36"/>
    <n v="88782.84"/>
    <x v="0"/>
    <s v="Miami"/>
    <m/>
  </r>
  <r>
    <s v="emp-712"/>
    <x v="12"/>
    <x v="5"/>
    <x v="3"/>
    <x v="0"/>
    <n v="42"/>
    <x v="3"/>
    <d v="2017-11-19T00:00:00"/>
    <x v="680"/>
    <n v="0.06"/>
    <n v="6068.58"/>
    <x v="0"/>
    <s v="Miami"/>
    <m/>
  </r>
  <r>
    <s v="emp-713"/>
    <x v="32"/>
    <x v="5"/>
    <x v="2"/>
    <x v="0"/>
    <n v="45"/>
    <x v="2"/>
    <d v="2005-10-14T00:00:00"/>
    <x v="681"/>
    <n v="0"/>
    <n v="0"/>
    <x v="2"/>
    <s v="Manaus"/>
    <d v="2009-12-06T00:00:00"/>
  </r>
  <r>
    <s v="emp-714"/>
    <x v="8"/>
    <x v="4"/>
    <x v="1"/>
    <x v="1"/>
    <n v="45"/>
    <x v="2"/>
    <d v="2015-11-21T00:00:00"/>
    <x v="682"/>
    <n v="0"/>
    <n v="0"/>
    <x v="0"/>
    <s v="Columbus"/>
    <m/>
  </r>
  <r>
    <s v="emp-715"/>
    <x v="6"/>
    <x v="6"/>
    <x v="1"/>
    <x v="0"/>
    <n v="28"/>
    <x v="1"/>
    <d v="2019-12-11T00:00:00"/>
    <x v="683"/>
    <n v="0.28000000000000003"/>
    <n v="51049.880000000005"/>
    <x v="1"/>
    <s v="Beijing"/>
    <m/>
  </r>
  <r>
    <s v="emp-716"/>
    <x v="17"/>
    <x v="0"/>
    <x v="3"/>
    <x v="1"/>
    <n v="51"/>
    <x v="2"/>
    <d v="2014-02-27T00:00:00"/>
    <x v="684"/>
    <n v="0"/>
    <n v="0"/>
    <x v="0"/>
    <s v="Miami"/>
    <d v="2017-12-22T00:00:00"/>
  </r>
  <r>
    <s v="emp-717"/>
    <x v="2"/>
    <x v="3"/>
    <x v="2"/>
    <x v="0"/>
    <n v="38"/>
    <x v="3"/>
    <d v="2012-12-13T00:00:00"/>
    <x v="685"/>
    <n v="0.32"/>
    <n v="61302.720000000001"/>
    <x v="0"/>
    <s v="Austin"/>
    <m/>
  </r>
  <r>
    <s v="emp-718"/>
    <x v="0"/>
    <x v="3"/>
    <x v="3"/>
    <x v="0"/>
    <n v="62"/>
    <x v="0"/>
    <d v="2009-01-30T00:00:00"/>
    <x v="686"/>
    <n v="0.13"/>
    <n v="19572.150000000001"/>
    <x v="0"/>
    <s v="Phoenix"/>
    <m/>
  </r>
  <r>
    <s v="emp-719"/>
    <x v="12"/>
    <x v="1"/>
    <x v="3"/>
    <x v="1"/>
    <n v="52"/>
    <x v="2"/>
    <d v="2009-10-05T00:00:00"/>
    <x v="687"/>
    <n v="7.0000000000000007E-2"/>
    <n v="8602.3000000000011"/>
    <x v="1"/>
    <s v="Shanghai"/>
    <m/>
  </r>
  <r>
    <s v="emp-72"/>
    <x v="6"/>
    <x v="1"/>
    <x v="1"/>
    <x v="0"/>
    <n v="37"/>
    <x v="3"/>
    <d v="2019-01-28T00:00:00"/>
    <x v="688"/>
    <n v="0.2"/>
    <n v="33185.4"/>
    <x v="0"/>
    <s v="Phoenix"/>
    <m/>
  </r>
  <r>
    <s v="emp-720"/>
    <x v="2"/>
    <x v="1"/>
    <x v="0"/>
    <x v="1"/>
    <n v="52"/>
    <x v="2"/>
    <d v="1997-05-26T00:00:00"/>
    <x v="689"/>
    <n v="0.37"/>
    <n v="80289.63"/>
    <x v="0"/>
    <s v="Miami"/>
    <m/>
  </r>
  <r>
    <s v="emp-721"/>
    <x v="12"/>
    <x v="5"/>
    <x v="3"/>
    <x v="1"/>
    <n v="48"/>
    <x v="2"/>
    <d v="2015-07-16T00:00:00"/>
    <x v="690"/>
    <n v="0.09"/>
    <n v="9950.85"/>
    <x v="1"/>
    <s v="Beijing"/>
    <m/>
  </r>
  <r>
    <s v="emp-722"/>
    <x v="26"/>
    <x v="0"/>
    <x v="1"/>
    <x v="1"/>
    <n v="38"/>
    <x v="3"/>
    <d v="2015-04-19T00:00:00"/>
    <x v="691"/>
    <n v="0"/>
    <n v="0"/>
    <x v="0"/>
    <s v="Seattle"/>
    <m/>
  </r>
  <r>
    <s v="emp-723"/>
    <x v="5"/>
    <x v="4"/>
    <x v="1"/>
    <x v="0"/>
    <n v="51"/>
    <x v="2"/>
    <d v="2017-02-11T00:00:00"/>
    <x v="692"/>
    <n v="0"/>
    <n v="0"/>
    <x v="1"/>
    <s v="Chongqing"/>
    <m/>
  </r>
  <r>
    <s v="emp-724"/>
    <x v="6"/>
    <x v="6"/>
    <x v="1"/>
    <x v="1"/>
    <n v="32"/>
    <x v="1"/>
    <d v="2016-11-28T00:00:00"/>
    <x v="693"/>
    <n v="0.16"/>
    <n v="28390.880000000001"/>
    <x v="0"/>
    <s v="Seattle"/>
    <m/>
  </r>
  <r>
    <s v="emp-725"/>
    <x v="13"/>
    <x v="0"/>
    <x v="0"/>
    <x v="0"/>
    <n v="36"/>
    <x v="3"/>
    <d v="2016-04-29T00:00:00"/>
    <x v="694"/>
    <n v="0"/>
    <n v="0"/>
    <x v="0"/>
    <s v="Austin"/>
    <m/>
  </r>
  <r>
    <s v="emp-726"/>
    <x v="24"/>
    <x v="5"/>
    <x v="0"/>
    <x v="0"/>
    <n v="45"/>
    <x v="2"/>
    <d v="2019-04-26T00:00:00"/>
    <x v="695"/>
    <n v="0"/>
    <n v="0"/>
    <x v="0"/>
    <s v="Chicago"/>
    <m/>
  </r>
  <r>
    <s v="emp-727"/>
    <x v="25"/>
    <x v="4"/>
    <x v="3"/>
    <x v="0"/>
    <n v="32"/>
    <x v="1"/>
    <d v="2014-12-04T00:00:00"/>
    <x v="696"/>
    <n v="0.11"/>
    <n v="10912.22"/>
    <x v="0"/>
    <s v="Phoenix"/>
    <m/>
  </r>
  <r>
    <s v="emp-728"/>
    <x v="1"/>
    <x v="6"/>
    <x v="3"/>
    <x v="1"/>
    <n v="45"/>
    <x v="2"/>
    <d v="2007-09-22T00:00:00"/>
    <x v="697"/>
    <n v="0"/>
    <n v="0"/>
    <x v="1"/>
    <s v="Chengdu"/>
    <m/>
  </r>
  <r>
    <s v="emp-729"/>
    <x v="22"/>
    <x v="0"/>
    <x v="3"/>
    <x v="1"/>
    <n v="54"/>
    <x v="2"/>
    <d v="1992-06-30T00:00:00"/>
    <x v="698"/>
    <n v="0"/>
    <n v="0"/>
    <x v="0"/>
    <s v="Chicago"/>
    <d v="2014-10-26T00:00:00"/>
  </r>
  <r>
    <s v="emp-73"/>
    <x v="12"/>
    <x v="3"/>
    <x v="1"/>
    <x v="0"/>
    <n v="38"/>
    <x v="3"/>
    <d v="2021-11-16T00:00:00"/>
    <x v="699"/>
    <n v="0.09"/>
    <n v="9883.08"/>
    <x v="2"/>
    <s v="Manaus"/>
    <m/>
  </r>
  <r>
    <s v="emp-730"/>
    <x v="5"/>
    <x v="4"/>
    <x v="1"/>
    <x v="0"/>
    <n v="48"/>
    <x v="2"/>
    <d v="2012-05-03T00:00:00"/>
    <x v="700"/>
    <n v="0"/>
    <n v="0"/>
    <x v="1"/>
    <s v="Shanghai"/>
    <d v="2018-05-09T00:00:00"/>
  </r>
  <r>
    <s v="emp-731"/>
    <x v="2"/>
    <x v="6"/>
    <x v="3"/>
    <x v="1"/>
    <n v="45"/>
    <x v="2"/>
    <d v="2015-09-24T00:00:00"/>
    <x v="701"/>
    <n v="0.32"/>
    <n v="64857.599999999999"/>
    <x v="0"/>
    <s v="Phoenix"/>
    <d v="2022-08-17T00:00:00"/>
  </r>
  <r>
    <s v="emp-732"/>
    <x v="4"/>
    <x v="0"/>
    <x v="2"/>
    <x v="0"/>
    <n v="46"/>
    <x v="2"/>
    <d v="2017-04-24T00:00:00"/>
    <x v="702"/>
    <n v="0.09"/>
    <n v="6971.49"/>
    <x v="2"/>
    <s v="Sao Paulo"/>
    <m/>
  </r>
  <r>
    <s v="emp-733"/>
    <x v="16"/>
    <x v="4"/>
    <x v="0"/>
    <x v="0"/>
    <n v="40"/>
    <x v="3"/>
    <d v="2016-09-09T00:00:00"/>
    <x v="703"/>
    <n v="0"/>
    <n v="0"/>
    <x v="1"/>
    <s v="Chengdu"/>
    <m/>
  </r>
  <r>
    <s v="emp-734"/>
    <x v="6"/>
    <x v="2"/>
    <x v="2"/>
    <x v="0"/>
    <n v="61"/>
    <x v="0"/>
    <d v="1997-08-19T00:00:00"/>
    <x v="704"/>
    <n v="0.28000000000000003"/>
    <n v="44678.76"/>
    <x v="0"/>
    <s v="Phoenix"/>
    <m/>
  </r>
  <r>
    <s v="emp-735"/>
    <x v="5"/>
    <x v="4"/>
    <x v="1"/>
    <x v="1"/>
    <n v="54"/>
    <x v="2"/>
    <d v="2012-11-24T00:00:00"/>
    <x v="705"/>
    <n v="0"/>
    <n v="0"/>
    <x v="2"/>
    <s v="Sao Paulo"/>
    <m/>
  </r>
  <r>
    <s v="emp-736"/>
    <x v="2"/>
    <x v="5"/>
    <x v="3"/>
    <x v="1"/>
    <n v="62"/>
    <x v="0"/>
    <d v="2002-08-16T00:00:00"/>
    <x v="706"/>
    <n v="0.33"/>
    <n v="77416.02"/>
    <x v="0"/>
    <s v="Seattle"/>
    <m/>
  </r>
  <r>
    <s v="emp-737"/>
    <x v="17"/>
    <x v="0"/>
    <x v="1"/>
    <x v="1"/>
    <n v="48"/>
    <x v="2"/>
    <d v="2002-02-11T00:00:00"/>
    <x v="707"/>
    <n v="0"/>
    <n v="0"/>
    <x v="0"/>
    <s v="Austin"/>
    <m/>
  </r>
  <r>
    <s v="emp-738"/>
    <x v="12"/>
    <x v="6"/>
    <x v="2"/>
    <x v="0"/>
    <n v="29"/>
    <x v="1"/>
    <d v="2021-05-09T00:00:00"/>
    <x v="708"/>
    <n v="0.08"/>
    <n v="10363.280000000001"/>
    <x v="0"/>
    <s v="Phoenix"/>
    <d v="2021-05-24T00:00:00"/>
  </r>
  <r>
    <s v="emp-739"/>
    <x v="6"/>
    <x v="2"/>
    <x v="0"/>
    <x v="1"/>
    <n v="39"/>
    <x v="3"/>
    <d v="2013-12-27T00:00:00"/>
    <x v="709"/>
    <n v="0.28000000000000003"/>
    <n v="46411.680000000008"/>
    <x v="0"/>
    <s v="Columbus"/>
    <d v="2020-06-09T00:00:00"/>
  </r>
  <r>
    <s v="emp-74"/>
    <x v="9"/>
    <x v="4"/>
    <x v="3"/>
    <x v="1"/>
    <n v="55"/>
    <x v="0"/>
    <d v="1998-09-03T00:00:00"/>
    <x v="710"/>
    <n v="0"/>
    <n v="0"/>
    <x v="0"/>
    <s v="Seattle"/>
    <m/>
  </r>
  <r>
    <s v="emp-740"/>
    <x v="0"/>
    <x v="1"/>
    <x v="1"/>
    <x v="1"/>
    <n v="44"/>
    <x v="3"/>
    <d v="2010-04-06T00:00:00"/>
    <x v="711"/>
    <n v="0.12"/>
    <n v="17145.36"/>
    <x v="0"/>
    <s v="Columbus"/>
    <m/>
  </r>
  <r>
    <s v="emp-741"/>
    <x v="6"/>
    <x v="4"/>
    <x v="2"/>
    <x v="1"/>
    <n v="52"/>
    <x v="2"/>
    <d v="2006-10-28T00:00:00"/>
    <x v="712"/>
    <n v="0.28000000000000003"/>
    <n v="52637.760000000002"/>
    <x v="0"/>
    <s v="Miami"/>
    <m/>
  </r>
  <r>
    <s v="emp-742"/>
    <x v="2"/>
    <x v="5"/>
    <x v="1"/>
    <x v="0"/>
    <n v="45"/>
    <x v="2"/>
    <d v="2019-02-25T00:00:00"/>
    <x v="713"/>
    <n v="0.39"/>
    <n v="97422.39"/>
    <x v="2"/>
    <s v="Sao Paulo"/>
    <m/>
  </r>
  <r>
    <s v="emp-743"/>
    <x v="30"/>
    <x v="0"/>
    <x v="0"/>
    <x v="1"/>
    <n v="48"/>
    <x v="2"/>
    <d v="2006-09-27T00:00:00"/>
    <x v="714"/>
    <n v="0"/>
    <n v="0"/>
    <x v="0"/>
    <s v="Seattle"/>
    <d v="2007-04-08T00:00:00"/>
  </r>
  <r>
    <s v="emp-744"/>
    <x v="29"/>
    <x v="0"/>
    <x v="3"/>
    <x v="1"/>
    <n v="39"/>
    <x v="3"/>
    <d v="2016-10-21T00:00:00"/>
    <x v="715"/>
    <n v="0"/>
    <n v="0"/>
    <x v="2"/>
    <s v="Manaus"/>
    <m/>
  </r>
  <r>
    <s v="emp-745"/>
    <x v="1"/>
    <x v="2"/>
    <x v="1"/>
    <x v="0"/>
    <n v="53"/>
    <x v="2"/>
    <d v="2017-01-09T00:00:00"/>
    <x v="716"/>
    <n v="0"/>
    <n v="0"/>
    <x v="2"/>
    <s v="Manaus"/>
    <d v="2020-07-17T00:00:00"/>
  </r>
  <r>
    <s v="emp-746"/>
    <x v="2"/>
    <x v="3"/>
    <x v="1"/>
    <x v="1"/>
    <n v="41"/>
    <x v="3"/>
    <d v="2013-08-17T00:00:00"/>
    <x v="717"/>
    <n v="0.3"/>
    <n v="70685.7"/>
    <x v="0"/>
    <s v="Seattle"/>
    <m/>
  </r>
  <r>
    <s v="emp-747"/>
    <x v="6"/>
    <x v="4"/>
    <x v="1"/>
    <x v="1"/>
    <n v="40"/>
    <x v="3"/>
    <d v="2020-02-07T00:00:00"/>
    <x v="718"/>
    <n v="0.18"/>
    <n v="33693.659999999996"/>
    <x v="2"/>
    <s v="Manaus"/>
    <m/>
  </r>
  <r>
    <s v="emp-748"/>
    <x v="20"/>
    <x v="0"/>
    <x v="0"/>
    <x v="1"/>
    <n v="48"/>
    <x v="2"/>
    <d v="2005-07-27T00:00:00"/>
    <x v="719"/>
    <n v="0"/>
    <n v="0"/>
    <x v="0"/>
    <s v="Chicago"/>
    <d v="2006-04-22T00:00:00"/>
  </r>
  <r>
    <s v="emp-749"/>
    <x v="6"/>
    <x v="4"/>
    <x v="1"/>
    <x v="1"/>
    <n v="41"/>
    <x v="3"/>
    <d v="2007-03-15T00:00:00"/>
    <x v="720"/>
    <n v="0.24"/>
    <n v="37422.239999999998"/>
    <x v="0"/>
    <s v="Columbus"/>
    <d v="2008-05-30T00:00:00"/>
  </r>
  <r>
    <s v="emp-75"/>
    <x v="2"/>
    <x v="6"/>
    <x v="0"/>
    <x v="1"/>
    <n v="57"/>
    <x v="0"/>
    <d v="2003-07-26T00:00:00"/>
    <x v="721"/>
    <n v="0.4"/>
    <n v="82649.600000000006"/>
    <x v="2"/>
    <s v="Sao Paulo"/>
    <m/>
  </r>
  <r>
    <s v="emp-750"/>
    <x v="1"/>
    <x v="3"/>
    <x v="1"/>
    <x v="1"/>
    <n v="54"/>
    <x v="2"/>
    <d v="2016-05-04T00:00:00"/>
    <x v="722"/>
    <n v="0"/>
    <n v="0"/>
    <x v="0"/>
    <s v="Chicago"/>
    <m/>
  </r>
  <r>
    <s v="emp-751"/>
    <x v="31"/>
    <x v="5"/>
    <x v="0"/>
    <x v="1"/>
    <n v="38"/>
    <x v="3"/>
    <d v="2019-11-29T00:00:00"/>
    <x v="723"/>
    <n v="0"/>
    <n v="0"/>
    <x v="0"/>
    <s v="Miami"/>
    <d v="2022-04-20T00:00:00"/>
  </r>
  <r>
    <s v="emp-752"/>
    <x v="11"/>
    <x v="0"/>
    <x v="3"/>
    <x v="1"/>
    <n v="57"/>
    <x v="0"/>
    <d v="2003-06-26T00:00:00"/>
    <x v="724"/>
    <n v="0"/>
    <n v="0"/>
    <x v="0"/>
    <s v="Columbus"/>
    <m/>
  </r>
  <r>
    <s v="emp-753"/>
    <x v="1"/>
    <x v="6"/>
    <x v="2"/>
    <x v="1"/>
    <n v="63"/>
    <x v="0"/>
    <d v="2017-02-12T00:00:00"/>
    <x v="725"/>
    <n v="0"/>
    <n v="0"/>
    <x v="1"/>
    <s v="Beijing"/>
    <m/>
  </r>
  <r>
    <s v="emp-754"/>
    <x v="0"/>
    <x v="5"/>
    <x v="2"/>
    <x v="1"/>
    <n v="62"/>
    <x v="0"/>
    <d v="2017-11-22T00:00:00"/>
    <x v="726"/>
    <n v="0.15"/>
    <n v="20821.2"/>
    <x v="1"/>
    <s v="Chongqing"/>
    <m/>
  </r>
  <r>
    <s v="emp-755"/>
    <x v="13"/>
    <x v="0"/>
    <x v="0"/>
    <x v="0"/>
    <n v="49"/>
    <x v="2"/>
    <d v="2014-03-05T00:00:00"/>
    <x v="727"/>
    <n v="0"/>
    <n v="0"/>
    <x v="0"/>
    <s v="Chicago"/>
    <m/>
  </r>
  <r>
    <s v="emp-756"/>
    <x v="6"/>
    <x v="3"/>
    <x v="3"/>
    <x v="0"/>
    <n v="60"/>
    <x v="0"/>
    <d v="2004-05-14T00:00:00"/>
    <x v="728"/>
    <n v="0.26"/>
    <n v="48458.28"/>
    <x v="1"/>
    <s v="Chongqing"/>
    <m/>
  </r>
  <r>
    <s v="emp-757"/>
    <x v="18"/>
    <x v="4"/>
    <x v="0"/>
    <x v="0"/>
    <n v="45"/>
    <x v="2"/>
    <d v="2015-04-23T00:00:00"/>
    <x v="729"/>
    <n v="0"/>
    <n v="0"/>
    <x v="0"/>
    <s v="Chicago"/>
    <m/>
  </r>
  <r>
    <s v="emp-758"/>
    <x v="0"/>
    <x v="2"/>
    <x v="1"/>
    <x v="0"/>
    <n v="45"/>
    <x v="2"/>
    <d v="2018-07-24T00:00:00"/>
    <x v="730"/>
    <n v="0.12"/>
    <n v="17878.919999999998"/>
    <x v="2"/>
    <s v="Sao Paulo"/>
    <m/>
  </r>
  <r>
    <s v="emp-759"/>
    <x v="8"/>
    <x v="4"/>
    <x v="1"/>
    <x v="0"/>
    <n v="52"/>
    <x v="2"/>
    <d v="2008-03-25T00:00:00"/>
    <x v="731"/>
    <n v="0"/>
    <n v="0"/>
    <x v="2"/>
    <s v="Manaus"/>
    <m/>
  </r>
  <r>
    <s v="emp-76"/>
    <x v="26"/>
    <x v="0"/>
    <x v="2"/>
    <x v="1"/>
    <n v="36"/>
    <x v="3"/>
    <d v="2010-12-23T00:00:00"/>
    <x v="732"/>
    <n v="0"/>
    <n v="0"/>
    <x v="2"/>
    <s v="Sao Paulo"/>
    <d v="2014-03-27T00:00:00"/>
  </r>
  <r>
    <s v="emp-760"/>
    <x v="24"/>
    <x v="5"/>
    <x v="2"/>
    <x v="0"/>
    <n v="63"/>
    <x v="0"/>
    <d v="2007-05-02T00:00:00"/>
    <x v="733"/>
    <n v="0"/>
    <n v="0"/>
    <x v="1"/>
    <s v="Shanghai"/>
    <m/>
  </r>
  <r>
    <s v="emp-761"/>
    <x v="10"/>
    <x v="2"/>
    <x v="0"/>
    <x v="0"/>
    <n v="46"/>
    <x v="2"/>
    <d v="2021-01-17T00:00:00"/>
    <x v="734"/>
    <n v="0"/>
    <n v="0"/>
    <x v="1"/>
    <s v="Shanghai"/>
    <m/>
  </r>
  <r>
    <s v="emp-762"/>
    <x v="12"/>
    <x v="5"/>
    <x v="2"/>
    <x v="1"/>
    <n v="64"/>
    <x v="0"/>
    <d v="1992-12-26T00:00:00"/>
    <x v="735"/>
    <n v="0.08"/>
    <n v="8373.44"/>
    <x v="0"/>
    <s v="Columbus"/>
    <m/>
  </r>
  <r>
    <s v="emp-763"/>
    <x v="1"/>
    <x v="2"/>
    <x v="2"/>
    <x v="0"/>
    <n v="53"/>
    <x v="2"/>
    <d v="2017-08-05T00:00:00"/>
    <x v="736"/>
    <n v="0"/>
    <n v="0"/>
    <x v="0"/>
    <s v="Seattle"/>
    <m/>
  </r>
  <r>
    <s v="emp-764"/>
    <x v="12"/>
    <x v="2"/>
    <x v="3"/>
    <x v="0"/>
    <n v="27"/>
    <x v="1"/>
    <d v="2018-09-15T00:00:00"/>
    <x v="737"/>
    <n v="7.0000000000000007E-2"/>
    <n v="8933.1200000000008"/>
    <x v="0"/>
    <s v="Columbus"/>
    <m/>
  </r>
  <r>
    <s v="emp-765"/>
    <x v="12"/>
    <x v="5"/>
    <x v="3"/>
    <x v="1"/>
    <n v="45"/>
    <x v="2"/>
    <d v="2012-07-09T00:00:00"/>
    <x v="738"/>
    <n v="7.0000000000000007E-2"/>
    <n v="7691.81"/>
    <x v="0"/>
    <s v="Columbus"/>
    <m/>
  </r>
  <r>
    <s v="emp-766"/>
    <x v="32"/>
    <x v="5"/>
    <x v="2"/>
    <x v="0"/>
    <n v="25"/>
    <x v="1"/>
    <d v="2021-03-15T00:00:00"/>
    <x v="739"/>
    <n v="0"/>
    <n v="0"/>
    <x v="1"/>
    <s v="Chongqing"/>
    <m/>
  </r>
  <r>
    <s v="emp-767"/>
    <x v="0"/>
    <x v="0"/>
    <x v="1"/>
    <x v="0"/>
    <n v="43"/>
    <x v="3"/>
    <d v="2015-03-27T00:00:00"/>
    <x v="740"/>
    <n v="0.12"/>
    <n v="14438.519999999999"/>
    <x v="0"/>
    <s v="Austin"/>
    <m/>
  </r>
  <r>
    <s v="emp-768"/>
    <x v="26"/>
    <x v="0"/>
    <x v="2"/>
    <x v="0"/>
    <n v="61"/>
    <x v="0"/>
    <d v="2014-08-10T00:00:00"/>
    <x v="741"/>
    <n v="0"/>
    <n v="0"/>
    <x v="0"/>
    <s v="Phoenix"/>
    <m/>
  </r>
  <r>
    <s v="emp-769"/>
    <x v="6"/>
    <x v="3"/>
    <x v="0"/>
    <x v="0"/>
    <n v="42"/>
    <x v="3"/>
    <d v="2009-06-04T00:00:00"/>
    <x v="742"/>
    <n v="0.26"/>
    <n v="45265.74"/>
    <x v="0"/>
    <s v="Austin"/>
    <m/>
  </r>
  <r>
    <s v="emp-77"/>
    <x v="3"/>
    <x v="4"/>
    <x v="0"/>
    <x v="0"/>
    <n v="30"/>
    <x v="1"/>
    <d v="2017-05-22T00:00:00"/>
    <x v="743"/>
    <n v="0"/>
    <n v="0"/>
    <x v="1"/>
    <s v="Chongqing"/>
    <d v="2017-10-08T00:00:00"/>
  </r>
  <r>
    <s v="emp-770"/>
    <x v="0"/>
    <x v="1"/>
    <x v="2"/>
    <x v="1"/>
    <n v="63"/>
    <x v="0"/>
    <d v="2002-02-08T00:00:00"/>
    <x v="744"/>
    <n v="0.13"/>
    <n v="16731.39"/>
    <x v="0"/>
    <s v="Austin"/>
    <m/>
  </r>
  <r>
    <s v="emp-771"/>
    <x v="8"/>
    <x v="4"/>
    <x v="3"/>
    <x v="0"/>
    <n v="32"/>
    <x v="1"/>
    <d v="2015-11-09T00:00:00"/>
    <x v="745"/>
    <n v="0"/>
    <n v="0"/>
    <x v="0"/>
    <s v="Phoenix"/>
    <m/>
  </r>
  <r>
    <s v="emp-772"/>
    <x v="18"/>
    <x v="4"/>
    <x v="0"/>
    <x v="1"/>
    <n v="27"/>
    <x v="1"/>
    <d v="2018-09-28T00:00:00"/>
    <x v="746"/>
    <n v="0"/>
    <n v="0"/>
    <x v="2"/>
    <s v="Rio de Janerio"/>
    <m/>
  </r>
  <r>
    <s v="emp-773"/>
    <x v="12"/>
    <x v="5"/>
    <x v="0"/>
    <x v="0"/>
    <n v="33"/>
    <x v="1"/>
    <d v="2012-06-11T00:00:00"/>
    <x v="747"/>
    <n v="0.08"/>
    <n v="9460.24"/>
    <x v="0"/>
    <s v="Austin"/>
    <m/>
  </r>
  <r>
    <s v="emp-774"/>
    <x v="16"/>
    <x v="4"/>
    <x v="2"/>
    <x v="0"/>
    <n v="45"/>
    <x v="2"/>
    <d v="2004-03-11T00:00:00"/>
    <x v="748"/>
    <n v="0"/>
    <n v="0"/>
    <x v="1"/>
    <s v="Chongqing"/>
    <m/>
  </r>
  <r>
    <s v="emp-775"/>
    <x v="12"/>
    <x v="5"/>
    <x v="3"/>
    <x v="1"/>
    <n v="41"/>
    <x v="3"/>
    <d v="2019-02-06T00:00:00"/>
    <x v="749"/>
    <n v="0.1"/>
    <n v="12695"/>
    <x v="0"/>
    <s v="Chicago"/>
    <m/>
  </r>
  <r>
    <s v="emp-776"/>
    <x v="13"/>
    <x v="0"/>
    <x v="2"/>
    <x v="0"/>
    <n v="36"/>
    <x v="3"/>
    <d v="2014-11-21T00:00:00"/>
    <x v="750"/>
    <n v="0"/>
    <n v="0"/>
    <x v="0"/>
    <s v="Miami"/>
    <m/>
  </r>
  <r>
    <s v="emp-777"/>
    <x v="26"/>
    <x v="0"/>
    <x v="2"/>
    <x v="1"/>
    <n v="25"/>
    <x v="1"/>
    <d v="2021-01-17T00:00:00"/>
    <x v="751"/>
    <n v="0"/>
    <n v="0"/>
    <x v="1"/>
    <s v="Chongqing"/>
    <m/>
  </r>
  <r>
    <s v="emp-778"/>
    <x v="7"/>
    <x v="3"/>
    <x v="0"/>
    <x v="1"/>
    <n v="43"/>
    <x v="3"/>
    <d v="2014-02-10T00:00:00"/>
    <x v="752"/>
    <n v="0"/>
    <n v="0"/>
    <x v="1"/>
    <s v="Chengdu"/>
    <m/>
  </r>
  <r>
    <s v="emp-779"/>
    <x v="28"/>
    <x v="2"/>
    <x v="2"/>
    <x v="0"/>
    <n v="37"/>
    <x v="3"/>
    <d v="2015-11-10T00:00:00"/>
    <x v="753"/>
    <n v="0"/>
    <n v="0"/>
    <x v="0"/>
    <s v="Columbus"/>
    <d v="2021-04-20T00:00:00"/>
  </r>
  <r>
    <s v="emp-78"/>
    <x v="4"/>
    <x v="0"/>
    <x v="2"/>
    <x v="1"/>
    <n v="40"/>
    <x v="3"/>
    <d v="2007-07-02T00:00:00"/>
    <x v="754"/>
    <n v="0.08"/>
    <n v="7517.68"/>
    <x v="1"/>
    <s v="Chongqing"/>
    <m/>
  </r>
  <r>
    <s v="emp-780"/>
    <x v="7"/>
    <x v="2"/>
    <x v="3"/>
    <x v="0"/>
    <n v="42"/>
    <x v="3"/>
    <d v="2010-05-09T00:00:00"/>
    <x v="755"/>
    <n v="0"/>
    <n v="0"/>
    <x v="1"/>
    <s v="Beijing"/>
    <d v="2014-12-25T00:00:00"/>
  </r>
  <r>
    <s v="emp-781"/>
    <x v="10"/>
    <x v="2"/>
    <x v="1"/>
    <x v="0"/>
    <n v="60"/>
    <x v="0"/>
    <d v="1997-07-30T00:00:00"/>
    <x v="756"/>
    <n v="0"/>
    <n v="0"/>
    <x v="0"/>
    <s v="Columbus"/>
    <m/>
  </r>
  <r>
    <s v="emp-782"/>
    <x v="26"/>
    <x v="0"/>
    <x v="1"/>
    <x v="1"/>
    <n v="61"/>
    <x v="0"/>
    <d v="2000-09-24T00:00:00"/>
    <x v="757"/>
    <n v="0"/>
    <n v="0"/>
    <x v="0"/>
    <s v="Miami"/>
    <m/>
  </r>
  <r>
    <s v="emp-783"/>
    <x v="26"/>
    <x v="0"/>
    <x v="2"/>
    <x v="0"/>
    <n v="55"/>
    <x v="0"/>
    <d v="2004-04-30T00:00:00"/>
    <x v="758"/>
    <n v="0"/>
    <n v="0"/>
    <x v="0"/>
    <s v="Austin"/>
    <m/>
  </r>
  <r>
    <s v="emp-784"/>
    <x v="19"/>
    <x v="4"/>
    <x v="2"/>
    <x v="1"/>
    <n v="57"/>
    <x v="0"/>
    <d v="2018-02-26T00:00:00"/>
    <x v="759"/>
    <n v="0"/>
    <n v="0"/>
    <x v="0"/>
    <s v="Austin"/>
    <d v="2021-07-09T00:00:00"/>
  </r>
  <r>
    <s v="emp-785"/>
    <x v="11"/>
    <x v="0"/>
    <x v="3"/>
    <x v="1"/>
    <n v="54"/>
    <x v="2"/>
    <d v="1998-06-15T00:00:00"/>
    <x v="760"/>
    <n v="0"/>
    <n v="0"/>
    <x v="0"/>
    <s v="Phoenix"/>
    <m/>
  </r>
  <r>
    <s v="emp-786"/>
    <x v="5"/>
    <x v="4"/>
    <x v="2"/>
    <x v="0"/>
    <n v="29"/>
    <x v="1"/>
    <d v="2019-11-09T00:00:00"/>
    <x v="761"/>
    <n v="0"/>
    <n v="0"/>
    <x v="0"/>
    <s v="Chicago"/>
    <m/>
  </r>
  <r>
    <s v="emp-787"/>
    <x v="23"/>
    <x v="0"/>
    <x v="2"/>
    <x v="0"/>
    <n v="33"/>
    <x v="1"/>
    <d v="2014-06-29T00:00:00"/>
    <x v="762"/>
    <n v="0"/>
    <n v="0"/>
    <x v="1"/>
    <s v="Chengdu"/>
    <m/>
  </r>
  <r>
    <s v="emp-788"/>
    <x v="15"/>
    <x v="6"/>
    <x v="3"/>
    <x v="0"/>
    <n v="39"/>
    <x v="3"/>
    <d v="2014-07-29T00:00:00"/>
    <x v="763"/>
    <n v="0"/>
    <n v="0"/>
    <x v="0"/>
    <s v="Seattle"/>
    <m/>
  </r>
  <r>
    <s v="emp-789"/>
    <x v="12"/>
    <x v="1"/>
    <x v="0"/>
    <x v="0"/>
    <n v="37"/>
    <x v="3"/>
    <d v="2016-08-23T00:00:00"/>
    <x v="764"/>
    <n v="0.06"/>
    <n v="7495.6799999999994"/>
    <x v="1"/>
    <s v="Chongqing"/>
    <m/>
  </r>
  <r>
    <s v="emp-79"/>
    <x v="7"/>
    <x v="1"/>
    <x v="3"/>
    <x v="1"/>
    <n v="34"/>
    <x v="1"/>
    <d v="2015-06-27T00:00:00"/>
    <x v="765"/>
    <n v="0"/>
    <n v="0"/>
    <x v="0"/>
    <s v="Phoenix"/>
    <m/>
  </r>
  <r>
    <s v="emp-790"/>
    <x v="12"/>
    <x v="1"/>
    <x v="1"/>
    <x v="0"/>
    <n v="51"/>
    <x v="2"/>
    <d v="2013-06-14T00:00:00"/>
    <x v="766"/>
    <n v="0.05"/>
    <n v="5411.05"/>
    <x v="2"/>
    <s v="Manaus"/>
    <m/>
  </r>
  <r>
    <s v="emp-791"/>
    <x v="24"/>
    <x v="5"/>
    <x v="3"/>
    <x v="1"/>
    <n v="46"/>
    <x v="2"/>
    <d v="2007-02-20T00:00:00"/>
    <x v="767"/>
    <n v="0"/>
    <n v="0"/>
    <x v="0"/>
    <s v="Seattle"/>
    <m/>
  </r>
  <r>
    <s v="emp-792"/>
    <x v="0"/>
    <x v="5"/>
    <x v="2"/>
    <x v="1"/>
    <n v="41"/>
    <x v="3"/>
    <d v="2015-12-27T00:00:00"/>
    <x v="768"/>
    <n v="0.13"/>
    <n v="16887.39"/>
    <x v="2"/>
    <s v="Sao Paulo"/>
    <m/>
  </r>
  <r>
    <s v="emp-793"/>
    <x v="6"/>
    <x v="1"/>
    <x v="0"/>
    <x v="0"/>
    <n v="25"/>
    <x v="1"/>
    <d v="2021-04-17T00:00:00"/>
    <x v="769"/>
    <n v="0.2"/>
    <n v="37374"/>
    <x v="1"/>
    <s v="Shanghai"/>
    <m/>
  </r>
  <r>
    <s v="emp-794"/>
    <x v="7"/>
    <x v="2"/>
    <x v="0"/>
    <x v="1"/>
    <n v="37"/>
    <x v="3"/>
    <d v="2010-04-23T00:00:00"/>
    <x v="770"/>
    <n v="0"/>
    <n v="0"/>
    <x v="0"/>
    <s v="Chicago"/>
    <m/>
  </r>
  <r>
    <s v="emp-795"/>
    <x v="15"/>
    <x v="1"/>
    <x v="0"/>
    <x v="1"/>
    <n v="46"/>
    <x v="2"/>
    <d v="2011-04-24T00:00:00"/>
    <x v="771"/>
    <n v="0"/>
    <n v="0"/>
    <x v="0"/>
    <s v="Seattle"/>
    <m/>
  </r>
  <r>
    <s v="emp-796"/>
    <x v="8"/>
    <x v="4"/>
    <x v="2"/>
    <x v="0"/>
    <n v="42"/>
    <x v="3"/>
    <d v="2012-04-27T00:00:00"/>
    <x v="772"/>
    <n v="0"/>
    <n v="0"/>
    <x v="0"/>
    <s v="Phoenix"/>
    <m/>
  </r>
  <r>
    <s v="emp-797"/>
    <x v="15"/>
    <x v="1"/>
    <x v="3"/>
    <x v="1"/>
    <n v="37"/>
    <x v="3"/>
    <d v="2015-11-09T00:00:00"/>
    <x v="773"/>
    <n v="0"/>
    <n v="0"/>
    <x v="1"/>
    <s v="Beijing"/>
    <m/>
  </r>
  <r>
    <s v="emp-798"/>
    <x v="12"/>
    <x v="1"/>
    <x v="1"/>
    <x v="1"/>
    <n v="60"/>
    <x v="0"/>
    <d v="2010-06-15T00:00:00"/>
    <x v="774"/>
    <n v="0.09"/>
    <n v="9592.02"/>
    <x v="0"/>
    <s v="Miami"/>
    <m/>
  </r>
  <r>
    <s v="emp-799"/>
    <x v="24"/>
    <x v="5"/>
    <x v="0"/>
    <x v="0"/>
    <n v="52"/>
    <x v="2"/>
    <d v="1999-09-13T00:00:00"/>
    <x v="775"/>
    <n v="0"/>
    <n v="0"/>
    <x v="0"/>
    <s v="Chicago"/>
    <m/>
  </r>
  <r>
    <s v="emp-8"/>
    <x v="15"/>
    <x v="1"/>
    <x v="2"/>
    <x v="1"/>
    <n v="25"/>
    <x v="1"/>
    <d v="2020-05-16T00:00:00"/>
    <x v="776"/>
    <n v="0"/>
    <n v="0"/>
    <x v="0"/>
    <s v="Miami"/>
    <d v="2021-05-20T00:00:00"/>
  </r>
  <r>
    <s v="emp-80"/>
    <x v="0"/>
    <x v="1"/>
    <x v="2"/>
    <x v="1"/>
    <n v="60"/>
    <x v="0"/>
    <d v="2015-09-23T00:00:00"/>
    <x v="777"/>
    <n v="0.15"/>
    <n v="21284.85"/>
    <x v="0"/>
    <s v="Phoenix"/>
    <m/>
  </r>
  <r>
    <s v="emp-800"/>
    <x v="1"/>
    <x v="2"/>
    <x v="1"/>
    <x v="1"/>
    <n v="59"/>
    <x v="0"/>
    <d v="1997-03-13T00:00:00"/>
    <x v="778"/>
    <n v="0"/>
    <n v="0"/>
    <x v="1"/>
    <s v="Beijing"/>
    <m/>
  </r>
  <r>
    <s v="emp-801"/>
    <x v="14"/>
    <x v="0"/>
    <x v="0"/>
    <x v="1"/>
    <n v="48"/>
    <x v="2"/>
    <d v="2010-09-14T00:00:00"/>
    <x v="779"/>
    <n v="0"/>
    <n v="0"/>
    <x v="0"/>
    <s v="Phoenix"/>
    <m/>
  </r>
  <r>
    <s v="emp-802"/>
    <x v="0"/>
    <x v="5"/>
    <x v="2"/>
    <x v="1"/>
    <n v="42"/>
    <x v="3"/>
    <d v="2013-04-18T00:00:00"/>
    <x v="780"/>
    <n v="0.15"/>
    <n v="19676.849999999999"/>
    <x v="0"/>
    <s v="Columbus"/>
    <m/>
  </r>
  <r>
    <s v="emp-803"/>
    <x v="4"/>
    <x v="0"/>
    <x v="1"/>
    <x v="1"/>
    <n v="35"/>
    <x v="3"/>
    <d v="2016-05-03T00:00:00"/>
    <x v="781"/>
    <n v="0.05"/>
    <n v="3694.9500000000003"/>
    <x v="1"/>
    <s v="Chengdu"/>
    <m/>
  </r>
  <r>
    <s v="emp-804"/>
    <x v="2"/>
    <x v="3"/>
    <x v="2"/>
    <x v="1"/>
    <n v="64"/>
    <x v="0"/>
    <d v="2013-03-29T00:00:00"/>
    <x v="782"/>
    <n v="0.4"/>
    <n v="100930"/>
    <x v="0"/>
    <s v="Columbus"/>
    <m/>
  </r>
  <r>
    <s v="emp-805"/>
    <x v="7"/>
    <x v="1"/>
    <x v="0"/>
    <x v="0"/>
    <n v="30"/>
    <x v="1"/>
    <d v="2015-03-05T00:00:00"/>
    <x v="783"/>
    <n v="0"/>
    <n v="0"/>
    <x v="0"/>
    <s v="Seattle"/>
    <m/>
  </r>
  <r>
    <s v="emp-806"/>
    <x v="16"/>
    <x v="4"/>
    <x v="1"/>
    <x v="0"/>
    <n v="29"/>
    <x v="1"/>
    <d v="2020-09-25T00:00:00"/>
    <x v="784"/>
    <n v="0"/>
    <n v="0"/>
    <x v="2"/>
    <s v="Sao Paulo"/>
    <m/>
  </r>
  <r>
    <s v="emp-807"/>
    <x v="2"/>
    <x v="3"/>
    <x v="3"/>
    <x v="0"/>
    <n v="47"/>
    <x v="2"/>
    <d v="2021-12-26T00:00:00"/>
    <x v="785"/>
    <n v="0.33"/>
    <n v="80377.440000000002"/>
    <x v="0"/>
    <s v="Austin"/>
    <m/>
  </r>
  <r>
    <s v="emp-808"/>
    <x v="6"/>
    <x v="2"/>
    <x v="0"/>
    <x v="1"/>
    <n v="49"/>
    <x v="2"/>
    <d v="2001-07-20T00:00:00"/>
    <x v="786"/>
    <n v="0.24"/>
    <n v="47802.239999999998"/>
    <x v="0"/>
    <s v="Phoenix"/>
    <m/>
  </r>
  <r>
    <s v="emp-809"/>
    <x v="21"/>
    <x v="0"/>
    <x v="1"/>
    <x v="0"/>
    <n v="56"/>
    <x v="0"/>
    <d v="1996-06-22T00:00:00"/>
    <x v="787"/>
    <n v="0"/>
    <n v="0"/>
    <x v="0"/>
    <s v="Seattle"/>
    <m/>
  </r>
  <r>
    <s v="emp-81"/>
    <x v="7"/>
    <x v="6"/>
    <x v="3"/>
    <x v="1"/>
    <n v="41"/>
    <x v="3"/>
    <d v="2016-09-13T00:00:00"/>
    <x v="788"/>
    <n v="0"/>
    <n v="0"/>
    <x v="0"/>
    <s v="Miami"/>
    <m/>
  </r>
  <r>
    <s v="emp-810"/>
    <x v="6"/>
    <x v="6"/>
    <x v="1"/>
    <x v="0"/>
    <n v="53"/>
    <x v="2"/>
    <d v="1997-06-20T00:00:00"/>
    <x v="789"/>
    <n v="0.25"/>
    <n v="41099.75"/>
    <x v="0"/>
    <s v="Seattle"/>
    <m/>
  </r>
  <r>
    <s v="emp-811"/>
    <x v="0"/>
    <x v="5"/>
    <x v="2"/>
    <x v="0"/>
    <n v="32"/>
    <x v="1"/>
    <d v="2017-04-14T00:00:00"/>
    <x v="790"/>
    <n v="0.13"/>
    <n v="20144.280000000002"/>
    <x v="0"/>
    <s v="Phoenix"/>
    <m/>
  </r>
  <r>
    <s v="emp-812"/>
    <x v="0"/>
    <x v="6"/>
    <x v="2"/>
    <x v="1"/>
    <n v="32"/>
    <x v="1"/>
    <d v="2017-01-29T00:00:00"/>
    <x v="791"/>
    <n v="0.12"/>
    <n v="17276.399999999998"/>
    <x v="0"/>
    <s v="Seattle"/>
    <d v="2017-12-09T00:00:00"/>
  </r>
  <r>
    <s v="emp-813"/>
    <x v="6"/>
    <x v="2"/>
    <x v="3"/>
    <x v="1"/>
    <n v="52"/>
    <x v="2"/>
    <d v="2020-09-25T00:00:00"/>
    <x v="792"/>
    <n v="0.28000000000000003"/>
    <n v="45680.04"/>
    <x v="2"/>
    <s v="Sao Paulo"/>
    <m/>
  </r>
  <r>
    <s v="emp-814"/>
    <x v="1"/>
    <x v="3"/>
    <x v="1"/>
    <x v="0"/>
    <n v="38"/>
    <x v="3"/>
    <d v="2020-07-24T00:00:00"/>
    <x v="793"/>
    <n v="0"/>
    <n v="0"/>
    <x v="0"/>
    <s v="Seattle"/>
    <m/>
  </r>
  <r>
    <s v="emp-815"/>
    <x v="23"/>
    <x v="0"/>
    <x v="2"/>
    <x v="1"/>
    <n v="41"/>
    <x v="3"/>
    <d v="2017-10-05T00:00:00"/>
    <x v="794"/>
    <n v="0"/>
    <n v="0"/>
    <x v="0"/>
    <s v="Miami"/>
    <m/>
  </r>
  <r>
    <s v="emp-816"/>
    <x v="25"/>
    <x v="4"/>
    <x v="2"/>
    <x v="0"/>
    <n v="49"/>
    <x v="2"/>
    <d v="2016-03-12T00:00:00"/>
    <x v="795"/>
    <n v="0.12"/>
    <n v="12097.199999999999"/>
    <x v="2"/>
    <s v="Rio de Janerio"/>
    <m/>
  </r>
  <r>
    <s v="emp-817"/>
    <x v="1"/>
    <x v="1"/>
    <x v="2"/>
    <x v="0"/>
    <n v="35"/>
    <x v="3"/>
    <d v="2019-03-18T00:00:00"/>
    <x v="796"/>
    <n v="0"/>
    <n v="0"/>
    <x v="0"/>
    <s v="Phoenix"/>
    <m/>
  </r>
  <r>
    <s v="emp-818"/>
    <x v="20"/>
    <x v="0"/>
    <x v="3"/>
    <x v="0"/>
    <n v="29"/>
    <x v="1"/>
    <d v="2017-11-09T00:00:00"/>
    <x v="797"/>
    <n v="0"/>
    <n v="0"/>
    <x v="0"/>
    <s v="Miami"/>
    <m/>
  </r>
  <r>
    <s v="emp-819"/>
    <x v="22"/>
    <x v="0"/>
    <x v="2"/>
    <x v="0"/>
    <n v="64"/>
    <x v="0"/>
    <d v="2004-07-08T00:00:00"/>
    <x v="798"/>
    <n v="0"/>
    <n v="0"/>
    <x v="0"/>
    <s v="Seattle"/>
    <m/>
  </r>
  <r>
    <s v="emp-82"/>
    <x v="25"/>
    <x v="4"/>
    <x v="0"/>
    <x v="1"/>
    <n v="53"/>
    <x v="2"/>
    <d v="1992-04-08T00:00:00"/>
    <x v="799"/>
    <n v="0.11"/>
    <n v="12856.58"/>
    <x v="0"/>
    <s v="Miami"/>
    <m/>
  </r>
  <r>
    <s v="emp-820"/>
    <x v="6"/>
    <x v="6"/>
    <x v="3"/>
    <x v="1"/>
    <n v="33"/>
    <x v="1"/>
    <d v="2017-06-12T00:00:00"/>
    <x v="800"/>
    <n v="0.28999999999999998"/>
    <n v="47674.84"/>
    <x v="0"/>
    <s v="Columbus"/>
    <m/>
  </r>
  <r>
    <s v="emp-821"/>
    <x v="27"/>
    <x v="0"/>
    <x v="3"/>
    <x v="1"/>
    <n v="29"/>
    <x v="1"/>
    <d v="2021-06-28T00:00:00"/>
    <x v="801"/>
    <n v="0"/>
    <n v="0"/>
    <x v="0"/>
    <s v="Seattle"/>
    <m/>
  </r>
  <r>
    <s v="emp-822"/>
    <x v="12"/>
    <x v="1"/>
    <x v="3"/>
    <x v="1"/>
    <n v="63"/>
    <x v="0"/>
    <d v="2004-04-19T00:00:00"/>
    <x v="802"/>
    <n v="0.08"/>
    <n v="9798.9600000000009"/>
    <x v="1"/>
    <s v="Shanghai"/>
    <m/>
  </r>
  <r>
    <s v="emp-823"/>
    <x v="12"/>
    <x v="5"/>
    <x v="1"/>
    <x v="0"/>
    <n v="32"/>
    <x v="1"/>
    <d v="2017-01-03T00:00:00"/>
    <x v="803"/>
    <n v="0.1"/>
    <n v="10187"/>
    <x v="0"/>
    <s v="Phoenix"/>
    <m/>
  </r>
  <r>
    <s v="emp-824"/>
    <x v="17"/>
    <x v="0"/>
    <x v="0"/>
    <x v="1"/>
    <n v="64"/>
    <x v="0"/>
    <d v="2020-06-27T00:00:00"/>
    <x v="804"/>
    <n v="0"/>
    <n v="0"/>
    <x v="2"/>
    <s v="Manaus"/>
    <m/>
  </r>
  <r>
    <s v="emp-825"/>
    <x v="12"/>
    <x v="0"/>
    <x v="0"/>
    <x v="0"/>
    <n v="55"/>
    <x v="0"/>
    <d v="2005-02-08T00:00:00"/>
    <x v="805"/>
    <n v="0.05"/>
    <n v="5757.25"/>
    <x v="1"/>
    <s v="Chongqing"/>
    <m/>
  </r>
  <r>
    <s v="emp-826"/>
    <x v="14"/>
    <x v="0"/>
    <x v="2"/>
    <x v="0"/>
    <n v="43"/>
    <x v="3"/>
    <d v="2009-03-13T00:00:00"/>
    <x v="806"/>
    <n v="0"/>
    <n v="0"/>
    <x v="2"/>
    <s v="Manaus"/>
    <m/>
  </r>
  <r>
    <s v="emp-827"/>
    <x v="15"/>
    <x v="1"/>
    <x v="2"/>
    <x v="1"/>
    <n v="56"/>
    <x v="0"/>
    <d v="2006-05-10T00:00:00"/>
    <x v="807"/>
    <n v="0"/>
    <n v="0"/>
    <x v="0"/>
    <s v="Austin"/>
    <m/>
  </r>
  <r>
    <s v="emp-828"/>
    <x v="0"/>
    <x v="1"/>
    <x v="1"/>
    <x v="0"/>
    <n v="37"/>
    <x v="3"/>
    <d v="2011-04-24T00:00:00"/>
    <x v="808"/>
    <n v="0.14000000000000001"/>
    <n v="18365.620000000003"/>
    <x v="1"/>
    <s v="Shanghai"/>
    <d v="2016-03-16T00:00:00"/>
  </r>
  <r>
    <s v="emp-829"/>
    <x v="21"/>
    <x v="0"/>
    <x v="2"/>
    <x v="0"/>
    <n v="45"/>
    <x v="2"/>
    <d v="2002-07-08T00:00:00"/>
    <x v="809"/>
    <n v="0"/>
    <n v="0"/>
    <x v="1"/>
    <s v="Chengdu"/>
    <m/>
  </r>
  <r>
    <s v="emp-83"/>
    <x v="18"/>
    <x v="4"/>
    <x v="1"/>
    <x v="1"/>
    <n v="45"/>
    <x v="2"/>
    <d v="2005-02-05T00:00:00"/>
    <x v="810"/>
    <n v="0"/>
    <n v="0"/>
    <x v="0"/>
    <s v="Austin"/>
    <m/>
  </r>
  <r>
    <s v="emp-830"/>
    <x v="0"/>
    <x v="2"/>
    <x v="2"/>
    <x v="0"/>
    <n v="49"/>
    <x v="2"/>
    <d v="1996-04-02T00:00:00"/>
    <x v="441"/>
    <n v="0.12"/>
    <n v="18846.84"/>
    <x v="0"/>
    <s v="Miami"/>
    <m/>
  </r>
  <r>
    <s v="emp-831"/>
    <x v="13"/>
    <x v="0"/>
    <x v="1"/>
    <x v="0"/>
    <n v="61"/>
    <x v="0"/>
    <d v="2005-02-09T00:00:00"/>
    <x v="811"/>
    <n v="0"/>
    <n v="0"/>
    <x v="0"/>
    <s v="Chicago"/>
    <m/>
  </r>
  <r>
    <s v="emp-832"/>
    <x v="18"/>
    <x v="4"/>
    <x v="3"/>
    <x v="0"/>
    <n v="41"/>
    <x v="3"/>
    <d v="2005-10-07T00:00:00"/>
    <x v="812"/>
    <n v="0"/>
    <n v="0"/>
    <x v="0"/>
    <s v="Seattle"/>
    <m/>
  </r>
  <r>
    <s v="emp-833"/>
    <x v="0"/>
    <x v="6"/>
    <x v="1"/>
    <x v="0"/>
    <n v="55"/>
    <x v="0"/>
    <d v="2001-03-27T00:00:00"/>
    <x v="813"/>
    <n v="0.11"/>
    <n v="17359.32"/>
    <x v="0"/>
    <s v="Miami"/>
    <m/>
  </r>
  <r>
    <s v="emp-834"/>
    <x v="18"/>
    <x v="4"/>
    <x v="3"/>
    <x v="1"/>
    <n v="27"/>
    <x v="1"/>
    <d v="2018-09-11T00:00:00"/>
    <x v="814"/>
    <n v="0"/>
    <n v="0"/>
    <x v="0"/>
    <s v="Chicago"/>
    <m/>
  </r>
  <r>
    <s v="emp-835"/>
    <x v="11"/>
    <x v="0"/>
    <x v="2"/>
    <x v="0"/>
    <n v="57"/>
    <x v="0"/>
    <d v="1996-02-18T00:00:00"/>
    <x v="815"/>
    <n v="0"/>
    <n v="0"/>
    <x v="0"/>
    <s v="Austin"/>
    <d v="1996-12-14T00:00:00"/>
  </r>
  <r>
    <s v="emp-836"/>
    <x v="25"/>
    <x v="4"/>
    <x v="0"/>
    <x v="1"/>
    <n v="56"/>
    <x v="0"/>
    <d v="2018-09-20T00:00:00"/>
    <x v="816"/>
    <n v="0.14000000000000001"/>
    <n v="11051.320000000002"/>
    <x v="0"/>
    <s v="Phoenix"/>
    <m/>
  </r>
  <r>
    <s v="emp-837"/>
    <x v="16"/>
    <x v="4"/>
    <x v="3"/>
    <x v="1"/>
    <n v="59"/>
    <x v="0"/>
    <d v="2008-09-10T00:00:00"/>
    <x v="817"/>
    <n v="0"/>
    <n v="0"/>
    <x v="0"/>
    <s v="Austin"/>
    <m/>
  </r>
  <r>
    <s v="emp-838"/>
    <x v="6"/>
    <x v="4"/>
    <x v="1"/>
    <x v="1"/>
    <n v="45"/>
    <x v="2"/>
    <d v="2010-11-29T00:00:00"/>
    <x v="818"/>
    <n v="0.27"/>
    <n v="41517.090000000004"/>
    <x v="0"/>
    <s v="Phoenix"/>
    <m/>
  </r>
  <r>
    <s v="emp-839"/>
    <x v="12"/>
    <x v="6"/>
    <x v="0"/>
    <x v="0"/>
    <n v="42"/>
    <x v="3"/>
    <d v="2015-09-19T00:00:00"/>
    <x v="819"/>
    <n v="0.06"/>
    <n v="6205.38"/>
    <x v="0"/>
    <s v="Columbus"/>
    <m/>
  </r>
  <r>
    <s v="emp-84"/>
    <x v="6"/>
    <x v="4"/>
    <x v="0"/>
    <x v="0"/>
    <n v="30"/>
    <x v="1"/>
    <d v="2016-05-22T00:00:00"/>
    <x v="820"/>
    <n v="0.28000000000000003"/>
    <n v="53116.560000000005"/>
    <x v="2"/>
    <s v="Manaus"/>
    <d v="2020-12-21T00:00:00"/>
  </r>
  <r>
    <s v="emp-840"/>
    <x v="9"/>
    <x v="4"/>
    <x v="3"/>
    <x v="0"/>
    <n v="25"/>
    <x v="1"/>
    <d v="2021-06-23T00:00:00"/>
    <x v="821"/>
    <n v="0"/>
    <n v="0"/>
    <x v="1"/>
    <s v="Shanghai"/>
    <m/>
  </r>
  <r>
    <s v="emp-841"/>
    <x v="9"/>
    <x v="4"/>
    <x v="3"/>
    <x v="0"/>
    <n v="29"/>
    <x v="1"/>
    <d v="2018-01-14T00:00:00"/>
    <x v="822"/>
    <n v="0"/>
    <n v="0"/>
    <x v="2"/>
    <s v="Sao Paulo"/>
    <m/>
  </r>
  <r>
    <s v="emp-842"/>
    <x v="12"/>
    <x v="5"/>
    <x v="1"/>
    <x v="0"/>
    <n v="33"/>
    <x v="1"/>
    <d v="2013-08-21T00:00:00"/>
    <x v="823"/>
    <n v="0.06"/>
    <n v="6323.4"/>
    <x v="0"/>
    <s v="Columbus"/>
    <m/>
  </r>
  <r>
    <s v="emp-843"/>
    <x v="14"/>
    <x v="0"/>
    <x v="2"/>
    <x v="0"/>
    <n v="50"/>
    <x v="2"/>
    <d v="2021-09-06T00:00:00"/>
    <x v="824"/>
    <n v="0"/>
    <n v="0"/>
    <x v="1"/>
    <s v="Shanghai"/>
    <m/>
  </r>
  <r>
    <s v="emp-844"/>
    <x v="22"/>
    <x v="0"/>
    <x v="1"/>
    <x v="0"/>
    <n v="45"/>
    <x v="2"/>
    <d v="2017-11-03T00:00:00"/>
    <x v="825"/>
    <n v="0"/>
    <n v="0"/>
    <x v="0"/>
    <s v="Austin"/>
    <m/>
  </r>
  <r>
    <s v="emp-845"/>
    <x v="12"/>
    <x v="5"/>
    <x v="1"/>
    <x v="1"/>
    <n v="59"/>
    <x v="0"/>
    <d v="2015-06-10T00:00:00"/>
    <x v="826"/>
    <n v="7.0000000000000007E-2"/>
    <n v="7138.9500000000007"/>
    <x v="0"/>
    <s v="Miami"/>
    <m/>
  </r>
  <r>
    <s v="emp-846"/>
    <x v="2"/>
    <x v="1"/>
    <x v="3"/>
    <x v="1"/>
    <n v="29"/>
    <x v="1"/>
    <d v="2018-12-05T00:00:00"/>
    <x v="827"/>
    <n v="0.3"/>
    <n v="59851.199999999997"/>
    <x v="0"/>
    <s v="Austin"/>
    <m/>
  </r>
  <r>
    <s v="emp-847"/>
    <x v="0"/>
    <x v="2"/>
    <x v="3"/>
    <x v="0"/>
    <n v="52"/>
    <x v="2"/>
    <d v="2006-10-05T00:00:00"/>
    <x v="828"/>
    <n v="0.11"/>
    <n v="16276.26"/>
    <x v="2"/>
    <s v="Rio de Janerio"/>
    <d v="2019-05-23T00:00:00"/>
  </r>
  <r>
    <s v="emp-848"/>
    <x v="32"/>
    <x v="5"/>
    <x v="1"/>
    <x v="1"/>
    <n v="58"/>
    <x v="0"/>
    <d v="2014-06-20T00:00:00"/>
    <x v="829"/>
    <n v="0"/>
    <n v="0"/>
    <x v="1"/>
    <s v="Chongqing"/>
    <m/>
  </r>
  <r>
    <s v="emp-849"/>
    <x v="1"/>
    <x v="3"/>
    <x v="1"/>
    <x v="1"/>
    <n v="62"/>
    <x v="0"/>
    <d v="2011-02-17T00:00:00"/>
    <x v="830"/>
    <n v="0"/>
    <n v="0"/>
    <x v="0"/>
    <s v="Phoenix"/>
    <m/>
  </r>
  <r>
    <s v="emp-85"/>
    <x v="6"/>
    <x v="3"/>
    <x v="1"/>
    <x v="1"/>
    <n v="26"/>
    <x v="1"/>
    <d v="2020-07-28T00:00:00"/>
    <x v="831"/>
    <n v="0.27"/>
    <n v="48779.280000000006"/>
    <x v="0"/>
    <s v="Chicago"/>
    <m/>
  </r>
  <r>
    <s v="emp-850"/>
    <x v="6"/>
    <x v="2"/>
    <x v="3"/>
    <x v="1"/>
    <n v="31"/>
    <x v="1"/>
    <d v="2015-06-29T00:00:00"/>
    <x v="832"/>
    <n v="0.16"/>
    <n v="30564.16"/>
    <x v="0"/>
    <s v="Columbus"/>
    <m/>
  </r>
  <r>
    <s v="emp-851"/>
    <x v="2"/>
    <x v="0"/>
    <x v="0"/>
    <x v="1"/>
    <n v="42"/>
    <x v="3"/>
    <d v="2010-11-29T00:00:00"/>
    <x v="833"/>
    <n v="0.32"/>
    <n v="59752"/>
    <x v="2"/>
    <s v="Manaus"/>
    <m/>
  </r>
  <r>
    <s v="emp-852"/>
    <x v="32"/>
    <x v="5"/>
    <x v="0"/>
    <x v="0"/>
    <n v="56"/>
    <x v="0"/>
    <d v="2009-08-20T00:00:00"/>
    <x v="834"/>
    <n v="0"/>
    <n v="0"/>
    <x v="0"/>
    <s v="Phoenix"/>
    <m/>
  </r>
  <r>
    <s v="emp-853"/>
    <x v="16"/>
    <x v="4"/>
    <x v="1"/>
    <x v="1"/>
    <n v="54"/>
    <x v="2"/>
    <d v="2010-12-05T00:00:00"/>
    <x v="835"/>
    <n v="0"/>
    <n v="0"/>
    <x v="0"/>
    <s v="Seattle"/>
    <m/>
  </r>
  <r>
    <s v="emp-854"/>
    <x v="28"/>
    <x v="2"/>
    <x v="0"/>
    <x v="0"/>
    <n v="54"/>
    <x v="2"/>
    <d v="2021-03-16T00:00:00"/>
    <x v="836"/>
    <n v="0"/>
    <n v="0"/>
    <x v="1"/>
    <s v="Chongqing"/>
    <m/>
  </r>
  <r>
    <s v="emp-855"/>
    <x v="15"/>
    <x v="2"/>
    <x v="2"/>
    <x v="1"/>
    <n v="26"/>
    <x v="1"/>
    <d v="2021-03-02T00:00:00"/>
    <x v="837"/>
    <n v="0"/>
    <n v="0"/>
    <x v="2"/>
    <s v="Rio de Janerio"/>
    <m/>
  </r>
  <r>
    <s v="emp-856"/>
    <x v="6"/>
    <x v="6"/>
    <x v="3"/>
    <x v="1"/>
    <n v="49"/>
    <x v="2"/>
    <d v="2014-06-26T00:00:00"/>
    <x v="838"/>
    <n v="0.25"/>
    <n v="38490.25"/>
    <x v="1"/>
    <s v="Shanghai"/>
    <m/>
  </r>
  <r>
    <s v="emp-857"/>
    <x v="23"/>
    <x v="0"/>
    <x v="1"/>
    <x v="0"/>
    <n v="45"/>
    <x v="2"/>
    <d v="2006-12-18T00:00:00"/>
    <x v="839"/>
    <n v="0"/>
    <n v="0"/>
    <x v="1"/>
    <s v="Chongqing"/>
    <m/>
  </r>
  <r>
    <s v="emp-858"/>
    <x v="0"/>
    <x v="5"/>
    <x v="3"/>
    <x v="1"/>
    <n v="45"/>
    <x v="2"/>
    <d v="2010-05-07T00:00:00"/>
    <x v="840"/>
    <n v="0.12"/>
    <n v="17411.16"/>
    <x v="0"/>
    <s v="Chicago"/>
    <m/>
  </r>
  <r>
    <s v="emp-859"/>
    <x v="27"/>
    <x v="0"/>
    <x v="1"/>
    <x v="0"/>
    <n v="26"/>
    <x v="1"/>
    <d v="2021-03-11T00:00:00"/>
    <x v="841"/>
    <n v="0"/>
    <n v="0"/>
    <x v="0"/>
    <s v="Austin"/>
    <m/>
  </r>
  <r>
    <s v="emp-86"/>
    <x v="32"/>
    <x v="5"/>
    <x v="2"/>
    <x v="0"/>
    <n v="45"/>
    <x v="2"/>
    <d v="2003-12-17T00:00:00"/>
    <x v="842"/>
    <n v="0"/>
    <n v="0"/>
    <x v="1"/>
    <s v="Chengdu"/>
    <m/>
  </r>
  <r>
    <s v="emp-860"/>
    <x v="8"/>
    <x v="4"/>
    <x v="0"/>
    <x v="1"/>
    <n v="59"/>
    <x v="0"/>
    <d v="1996-03-29T00:00:00"/>
    <x v="843"/>
    <n v="0"/>
    <n v="0"/>
    <x v="0"/>
    <s v="Austin"/>
    <m/>
  </r>
  <r>
    <s v="emp-861"/>
    <x v="12"/>
    <x v="0"/>
    <x v="1"/>
    <x v="0"/>
    <n v="51"/>
    <x v="2"/>
    <d v="2020-03-13T00:00:00"/>
    <x v="844"/>
    <n v="0.09"/>
    <n v="9647.5499999999993"/>
    <x v="0"/>
    <s v="Austin"/>
    <m/>
  </r>
  <r>
    <s v="emp-862"/>
    <x v="0"/>
    <x v="6"/>
    <x v="1"/>
    <x v="1"/>
    <n v="45"/>
    <x v="2"/>
    <d v="2018-01-11T00:00:00"/>
    <x v="845"/>
    <n v="0.15"/>
    <n v="19113.3"/>
    <x v="0"/>
    <s v="Columbus"/>
    <m/>
  </r>
  <r>
    <s v="emp-863"/>
    <x v="6"/>
    <x v="3"/>
    <x v="0"/>
    <x v="0"/>
    <n v="35"/>
    <x v="3"/>
    <d v="2017-06-26T00:00:00"/>
    <x v="846"/>
    <n v="0.27"/>
    <n v="43542.630000000005"/>
    <x v="0"/>
    <s v="Miami"/>
    <m/>
  </r>
  <r>
    <s v="emp-864"/>
    <x v="2"/>
    <x v="6"/>
    <x v="3"/>
    <x v="0"/>
    <n v="32"/>
    <x v="1"/>
    <d v="2014-02-05T00:00:00"/>
    <x v="847"/>
    <n v="0.34"/>
    <n v="69171.3"/>
    <x v="2"/>
    <s v="Manaus"/>
    <m/>
  </r>
  <r>
    <s v="emp-865"/>
    <x v="0"/>
    <x v="5"/>
    <x v="0"/>
    <x v="0"/>
    <n v="37"/>
    <x v="3"/>
    <d v="2011-01-17T00:00:00"/>
    <x v="848"/>
    <n v="0.11"/>
    <n v="14448.83"/>
    <x v="1"/>
    <s v="Shanghai"/>
    <m/>
  </r>
  <r>
    <s v="emp-866"/>
    <x v="29"/>
    <x v="0"/>
    <x v="2"/>
    <x v="1"/>
    <n v="45"/>
    <x v="2"/>
    <d v="2010-03-16T00:00:00"/>
    <x v="849"/>
    <n v="0"/>
    <n v="0"/>
    <x v="1"/>
    <s v="Chengdu"/>
    <m/>
  </r>
  <r>
    <s v="emp-867"/>
    <x v="13"/>
    <x v="0"/>
    <x v="1"/>
    <x v="1"/>
    <n v="61"/>
    <x v="0"/>
    <d v="2019-08-26T00:00:00"/>
    <x v="850"/>
    <n v="0"/>
    <n v="0"/>
    <x v="0"/>
    <s v="Seattle"/>
    <m/>
  </r>
  <r>
    <s v="emp-868"/>
    <x v="7"/>
    <x v="2"/>
    <x v="0"/>
    <x v="0"/>
    <n v="45"/>
    <x v="2"/>
    <d v="2019-04-02T00:00:00"/>
    <x v="851"/>
    <n v="0"/>
    <n v="0"/>
    <x v="1"/>
    <s v="Beijing"/>
    <m/>
  </r>
  <r>
    <s v="emp-869"/>
    <x v="25"/>
    <x v="4"/>
    <x v="0"/>
    <x v="1"/>
    <n v="60"/>
    <x v="0"/>
    <d v="2018-02-15T00:00:00"/>
    <x v="852"/>
    <n v="0.14000000000000001"/>
    <n v="14851.060000000001"/>
    <x v="0"/>
    <s v="Austin"/>
    <d v="2021-04-09T00:00:00"/>
  </r>
  <r>
    <s v="emp-87"/>
    <x v="6"/>
    <x v="5"/>
    <x v="2"/>
    <x v="1"/>
    <n v="42"/>
    <x v="3"/>
    <d v="2014-01-16T00:00:00"/>
    <x v="853"/>
    <n v="0.3"/>
    <n v="45664.2"/>
    <x v="1"/>
    <s v="Beijing"/>
    <m/>
  </r>
  <r>
    <s v="emp-870"/>
    <x v="14"/>
    <x v="0"/>
    <x v="3"/>
    <x v="1"/>
    <n v="30"/>
    <x v="1"/>
    <d v="2017-02-11T00:00:00"/>
    <x v="854"/>
    <n v="0"/>
    <n v="0"/>
    <x v="0"/>
    <s v="Austin"/>
    <m/>
  </r>
  <r>
    <s v="emp-871"/>
    <x v="8"/>
    <x v="4"/>
    <x v="2"/>
    <x v="1"/>
    <n v="64"/>
    <x v="0"/>
    <d v="2019-03-03T00:00:00"/>
    <x v="855"/>
    <n v="0"/>
    <n v="0"/>
    <x v="0"/>
    <s v="Phoenix"/>
    <m/>
  </r>
  <r>
    <s v="emp-872"/>
    <x v="7"/>
    <x v="1"/>
    <x v="0"/>
    <x v="0"/>
    <n v="25"/>
    <x v="1"/>
    <d v="2020-07-12T00:00:00"/>
    <x v="856"/>
    <n v="0"/>
    <n v="0"/>
    <x v="2"/>
    <s v="Sao Paulo"/>
    <m/>
  </r>
  <r>
    <s v="emp-873"/>
    <x v="31"/>
    <x v="5"/>
    <x v="2"/>
    <x v="0"/>
    <n v="61"/>
    <x v="0"/>
    <d v="2011-05-20T00:00:00"/>
    <x v="857"/>
    <n v="0"/>
    <n v="0"/>
    <x v="0"/>
    <s v="Phoenix"/>
    <m/>
  </r>
  <r>
    <s v="emp-874"/>
    <x v="12"/>
    <x v="6"/>
    <x v="2"/>
    <x v="0"/>
    <n v="65"/>
    <x v="4"/>
    <d v="2006-09-07T00:00:00"/>
    <x v="858"/>
    <n v="0.1"/>
    <n v="12762.6"/>
    <x v="0"/>
    <s v="Miami"/>
    <m/>
  </r>
  <r>
    <s v="emp-875"/>
    <x v="23"/>
    <x v="0"/>
    <x v="3"/>
    <x v="1"/>
    <n v="61"/>
    <x v="0"/>
    <d v="2004-01-27T00:00:00"/>
    <x v="859"/>
    <n v="0"/>
    <n v="0"/>
    <x v="0"/>
    <s v="Austin"/>
    <m/>
  </r>
  <r>
    <s v="emp-876"/>
    <x v="4"/>
    <x v="0"/>
    <x v="1"/>
    <x v="0"/>
    <n v="48"/>
    <x v="2"/>
    <d v="2014-04-20T00:00:00"/>
    <x v="860"/>
    <n v="7.0000000000000007E-2"/>
    <n v="6417.5300000000007"/>
    <x v="1"/>
    <s v="Chongqing"/>
    <m/>
  </r>
  <r>
    <s v="emp-877"/>
    <x v="6"/>
    <x v="2"/>
    <x v="3"/>
    <x v="1"/>
    <n v="58"/>
    <x v="0"/>
    <d v="1992-03-19T00:00:00"/>
    <x v="861"/>
    <n v="0.16"/>
    <n v="31975.68"/>
    <x v="1"/>
    <s v="Chongqing"/>
    <m/>
  </r>
  <r>
    <s v="emp-878"/>
    <x v="20"/>
    <x v="0"/>
    <x v="2"/>
    <x v="1"/>
    <n v="34"/>
    <x v="1"/>
    <d v="2018-11-10T00:00:00"/>
    <x v="862"/>
    <n v="0"/>
    <n v="0"/>
    <x v="1"/>
    <s v="Shanghai"/>
    <m/>
  </r>
  <r>
    <s v="emp-879"/>
    <x v="0"/>
    <x v="2"/>
    <x v="1"/>
    <x v="0"/>
    <n v="30"/>
    <x v="1"/>
    <d v="2017-08-13T00:00:00"/>
    <x v="863"/>
    <n v="0.15"/>
    <n v="23193.599999999999"/>
    <x v="0"/>
    <s v="Austin"/>
    <m/>
  </r>
  <r>
    <s v="emp-88"/>
    <x v="14"/>
    <x v="0"/>
    <x v="3"/>
    <x v="0"/>
    <n v="41"/>
    <x v="3"/>
    <d v="2009-04-28T00:00:00"/>
    <x v="864"/>
    <n v="0"/>
    <n v="0"/>
    <x v="2"/>
    <s v="Manaus"/>
    <m/>
  </r>
  <r>
    <s v="emp-880"/>
    <x v="1"/>
    <x v="3"/>
    <x v="0"/>
    <x v="1"/>
    <n v="50"/>
    <x v="2"/>
    <d v="2009-10-23T00:00:00"/>
    <x v="865"/>
    <n v="0"/>
    <n v="0"/>
    <x v="1"/>
    <s v="Shanghai"/>
    <m/>
  </r>
  <r>
    <s v="emp-881"/>
    <x v="1"/>
    <x v="2"/>
    <x v="2"/>
    <x v="1"/>
    <n v="51"/>
    <x v="2"/>
    <d v="1998-02-26T00:00:00"/>
    <x v="866"/>
    <n v="0"/>
    <n v="0"/>
    <x v="2"/>
    <s v="Rio de Janerio"/>
    <m/>
  </r>
  <r>
    <s v="emp-882"/>
    <x v="0"/>
    <x v="2"/>
    <x v="0"/>
    <x v="1"/>
    <n v="53"/>
    <x v="2"/>
    <d v="2014-10-19T00:00:00"/>
    <x v="867"/>
    <n v="0.11"/>
    <n v="17549.18"/>
    <x v="0"/>
    <s v="Miami"/>
    <m/>
  </r>
  <r>
    <s v="emp-883"/>
    <x v="9"/>
    <x v="4"/>
    <x v="3"/>
    <x v="0"/>
    <n v="47"/>
    <x v="2"/>
    <d v="2018-10-02T00:00:00"/>
    <x v="868"/>
    <n v="0"/>
    <n v="0"/>
    <x v="2"/>
    <s v="Rio de Janerio"/>
    <m/>
  </r>
  <r>
    <s v="emp-884"/>
    <x v="6"/>
    <x v="6"/>
    <x v="1"/>
    <x v="1"/>
    <n v="25"/>
    <x v="1"/>
    <d v="2020-08-15T00:00:00"/>
    <x v="869"/>
    <n v="0.26"/>
    <n v="44721.82"/>
    <x v="0"/>
    <s v="Miami"/>
    <m/>
  </r>
  <r>
    <s v="emp-885"/>
    <x v="2"/>
    <x v="6"/>
    <x v="2"/>
    <x v="0"/>
    <n v="37"/>
    <x v="3"/>
    <d v="2011-07-21T00:00:00"/>
    <x v="870"/>
    <n v="0.36"/>
    <n v="79010.64"/>
    <x v="2"/>
    <s v="Manaus"/>
    <m/>
  </r>
  <r>
    <s v="emp-886"/>
    <x v="6"/>
    <x v="1"/>
    <x v="3"/>
    <x v="1"/>
    <n v="41"/>
    <x v="3"/>
    <d v="2019-05-15T00:00:00"/>
    <x v="871"/>
    <n v="0.23"/>
    <n v="40115.450000000004"/>
    <x v="0"/>
    <s v="Miami"/>
    <m/>
  </r>
  <r>
    <s v="emp-887"/>
    <x v="23"/>
    <x v="0"/>
    <x v="1"/>
    <x v="0"/>
    <n v="36"/>
    <x v="3"/>
    <d v="2021-01-21T00:00:00"/>
    <x v="872"/>
    <n v="0"/>
    <n v="0"/>
    <x v="2"/>
    <s v="Rio de Janerio"/>
    <m/>
  </r>
  <r>
    <s v="emp-888"/>
    <x v="31"/>
    <x v="5"/>
    <x v="1"/>
    <x v="1"/>
    <n v="25"/>
    <x v="1"/>
    <d v="2021-01-21T00:00:00"/>
    <x v="873"/>
    <n v="0"/>
    <n v="0"/>
    <x v="0"/>
    <s v="Phoenix"/>
    <m/>
  </r>
  <r>
    <s v="emp-889"/>
    <x v="17"/>
    <x v="0"/>
    <x v="0"/>
    <x v="0"/>
    <n v="52"/>
    <x v="2"/>
    <d v="2005-02-23T00:00:00"/>
    <x v="874"/>
    <n v="0"/>
    <n v="0"/>
    <x v="0"/>
    <s v="Chicago"/>
    <m/>
  </r>
  <r>
    <s v="emp-89"/>
    <x v="23"/>
    <x v="0"/>
    <x v="3"/>
    <x v="0"/>
    <n v="48"/>
    <x v="2"/>
    <d v="2019-07-04T00:00:00"/>
    <x v="875"/>
    <n v="0"/>
    <n v="0"/>
    <x v="2"/>
    <s v="Rio de Janerio"/>
    <m/>
  </r>
  <r>
    <s v="emp-890"/>
    <x v="6"/>
    <x v="6"/>
    <x v="0"/>
    <x v="1"/>
    <n v="48"/>
    <x v="2"/>
    <d v="2007-08-08T00:00:00"/>
    <x v="876"/>
    <n v="0.25"/>
    <n v="48680.75"/>
    <x v="0"/>
    <s v="Phoenix"/>
    <m/>
  </r>
  <r>
    <s v="emp-891"/>
    <x v="12"/>
    <x v="2"/>
    <x v="0"/>
    <x v="1"/>
    <n v="49"/>
    <x v="2"/>
    <d v="2012-08-10T00:00:00"/>
    <x v="877"/>
    <n v="7.0000000000000007E-2"/>
    <n v="7689.5000000000009"/>
    <x v="1"/>
    <s v="Beijing"/>
    <d v="2020-02-04T00:00:00"/>
  </r>
  <r>
    <s v="emp-892"/>
    <x v="32"/>
    <x v="5"/>
    <x v="0"/>
    <x v="0"/>
    <n v="62"/>
    <x v="0"/>
    <d v="2014-04-19T00:00:00"/>
    <x v="878"/>
    <n v="0"/>
    <n v="0"/>
    <x v="2"/>
    <s v="Sao Paulo"/>
    <m/>
  </r>
  <r>
    <s v="emp-893"/>
    <x v="30"/>
    <x v="0"/>
    <x v="2"/>
    <x v="0"/>
    <n v="36"/>
    <x v="3"/>
    <d v="2010-08-23T00:00:00"/>
    <x v="879"/>
    <n v="0"/>
    <n v="0"/>
    <x v="0"/>
    <s v="Phoenix"/>
    <m/>
  </r>
  <r>
    <s v="emp-894"/>
    <x v="11"/>
    <x v="0"/>
    <x v="0"/>
    <x v="1"/>
    <n v="55"/>
    <x v="0"/>
    <d v="2016-11-09T00:00:00"/>
    <x v="880"/>
    <n v="0"/>
    <n v="0"/>
    <x v="1"/>
    <s v="Chongqing"/>
    <m/>
  </r>
  <r>
    <s v="emp-895"/>
    <x v="32"/>
    <x v="5"/>
    <x v="1"/>
    <x v="0"/>
    <n v="31"/>
    <x v="1"/>
    <d v="2018-03-12T00:00:00"/>
    <x v="881"/>
    <n v="0"/>
    <n v="0"/>
    <x v="0"/>
    <s v="Seattle"/>
    <m/>
  </r>
  <r>
    <s v="emp-896"/>
    <x v="32"/>
    <x v="5"/>
    <x v="1"/>
    <x v="0"/>
    <n v="53"/>
    <x v="2"/>
    <d v="2017-09-07T00:00:00"/>
    <x v="882"/>
    <n v="0"/>
    <n v="0"/>
    <x v="0"/>
    <s v="Columbus"/>
    <d v="2018-05-31T00:00:00"/>
  </r>
  <r>
    <s v="emp-897"/>
    <x v="0"/>
    <x v="5"/>
    <x v="1"/>
    <x v="1"/>
    <n v="27"/>
    <x v="1"/>
    <d v="2021-04-16T00:00:00"/>
    <x v="883"/>
    <n v="0.11"/>
    <n v="14674"/>
    <x v="0"/>
    <s v="Phoenix"/>
    <m/>
  </r>
  <r>
    <s v="emp-898"/>
    <x v="22"/>
    <x v="0"/>
    <x v="1"/>
    <x v="0"/>
    <n v="39"/>
    <x v="3"/>
    <d v="2020-04-22T00:00:00"/>
    <x v="884"/>
    <n v="0"/>
    <n v="0"/>
    <x v="0"/>
    <s v="Miami"/>
    <m/>
  </r>
  <r>
    <s v="emp-899"/>
    <x v="1"/>
    <x v="6"/>
    <x v="1"/>
    <x v="1"/>
    <n v="55"/>
    <x v="0"/>
    <d v="2006-07-11T00:00:00"/>
    <x v="885"/>
    <n v="0"/>
    <n v="0"/>
    <x v="1"/>
    <s v="Chongqing"/>
    <m/>
  </r>
  <r>
    <s v="emp-9"/>
    <x v="12"/>
    <x v="3"/>
    <x v="2"/>
    <x v="1"/>
    <n v="29"/>
    <x v="1"/>
    <d v="2019-01-25T00:00:00"/>
    <x v="886"/>
    <n v="0.06"/>
    <n v="6811.62"/>
    <x v="0"/>
    <s v="Austin"/>
    <m/>
  </r>
  <r>
    <s v="emp-90"/>
    <x v="20"/>
    <x v="0"/>
    <x v="2"/>
    <x v="1"/>
    <n v="29"/>
    <x v="1"/>
    <d v="2018-12-10T00:00:00"/>
    <x v="887"/>
    <n v="0"/>
    <n v="0"/>
    <x v="0"/>
    <s v="Miami"/>
    <m/>
  </r>
  <r>
    <s v="emp-900"/>
    <x v="31"/>
    <x v="5"/>
    <x v="3"/>
    <x v="0"/>
    <n v="44"/>
    <x v="3"/>
    <d v="2006-02-23T00:00:00"/>
    <x v="888"/>
    <n v="0"/>
    <n v="0"/>
    <x v="0"/>
    <s v="Miami"/>
    <m/>
  </r>
  <r>
    <s v="emp-901"/>
    <x v="2"/>
    <x v="2"/>
    <x v="3"/>
    <x v="1"/>
    <n v="48"/>
    <x v="2"/>
    <d v="2000-02-28T00:00:00"/>
    <x v="889"/>
    <n v="0.3"/>
    <n v="77424.3"/>
    <x v="0"/>
    <s v="Chicago"/>
    <m/>
  </r>
  <r>
    <s v="emp-902"/>
    <x v="32"/>
    <x v="5"/>
    <x v="0"/>
    <x v="1"/>
    <n v="48"/>
    <x v="2"/>
    <d v="2020-09-21T00:00:00"/>
    <x v="890"/>
    <n v="0"/>
    <n v="0"/>
    <x v="0"/>
    <s v="Phoenix"/>
    <m/>
  </r>
  <r>
    <s v="emp-903"/>
    <x v="15"/>
    <x v="2"/>
    <x v="2"/>
    <x v="1"/>
    <n v="54"/>
    <x v="2"/>
    <d v="1998-09-24T00:00:00"/>
    <x v="891"/>
    <n v="0"/>
    <n v="0"/>
    <x v="0"/>
    <s v="Seattle"/>
    <m/>
  </r>
  <r>
    <s v="emp-904"/>
    <x v="0"/>
    <x v="1"/>
    <x v="2"/>
    <x v="0"/>
    <n v="42"/>
    <x v="3"/>
    <d v="2011-03-18T00:00:00"/>
    <x v="892"/>
    <n v="0.12"/>
    <n v="18004.079999999998"/>
    <x v="1"/>
    <s v="Beijing"/>
    <m/>
  </r>
  <r>
    <s v="emp-905"/>
    <x v="6"/>
    <x v="5"/>
    <x v="1"/>
    <x v="0"/>
    <n v="38"/>
    <x v="3"/>
    <d v="2007-05-30T00:00:00"/>
    <x v="893"/>
    <n v="0.22"/>
    <n v="43683.64"/>
    <x v="0"/>
    <s v="Seattle"/>
    <m/>
  </r>
  <r>
    <s v="emp-906"/>
    <x v="28"/>
    <x v="2"/>
    <x v="0"/>
    <x v="0"/>
    <n v="40"/>
    <x v="3"/>
    <d v="2009-05-27T00:00:00"/>
    <x v="894"/>
    <n v="0"/>
    <n v="0"/>
    <x v="0"/>
    <s v="Miami"/>
    <d v="2021-08-14T00:00:00"/>
  </r>
  <r>
    <s v="emp-907"/>
    <x v="25"/>
    <x v="4"/>
    <x v="0"/>
    <x v="1"/>
    <n v="57"/>
    <x v="0"/>
    <d v="1992-01-09T00:00:00"/>
    <x v="895"/>
    <n v="0.12"/>
    <n v="13355.88"/>
    <x v="0"/>
    <s v="Miami"/>
    <m/>
  </r>
  <r>
    <s v="emp-908"/>
    <x v="15"/>
    <x v="6"/>
    <x v="0"/>
    <x v="0"/>
    <n v="43"/>
    <x v="3"/>
    <d v="2019-07-13T00:00:00"/>
    <x v="896"/>
    <n v="0"/>
    <n v="0"/>
    <x v="0"/>
    <s v="Miami"/>
    <m/>
  </r>
  <r>
    <s v="emp-909"/>
    <x v="20"/>
    <x v="0"/>
    <x v="2"/>
    <x v="1"/>
    <n v="26"/>
    <x v="1"/>
    <d v="2019-04-14T00:00:00"/>
    <x v="897"/>
    <n v="0"/>
    <n v="0"/>
    <x v="0"/>
    <s v="Columbus"/>
    <d v="2021-01-15T00:00:00"/>
  </r>
  <r>
    <s v="emp-91"/>
    <x v="12"/>
    <x v="6"/>
    <x v="0"/>
    <x v="1"/>
    <n v="27"/>
    <x v="1"/>
    <d v="2018-09-25T00:00:00"/>
    <x v="898"/>
    <n v="0.1"/>
    <n v="11444.1"/>
    <x v="1"/>
    <s v="Chongqing"/>
    <d v="2019-12-22T00:00:00"/>
  </r>
  <r>
    <s v="emp-910"/>
    <x v="12"/>
    <x v="3"/>
    <x v="0"/>
    <x v="1"/>
    <n v="44"/>
    <x v="3"/>
    <d v="2002-02-09T00:00:00"/>
    <x v="899"/>
    <n v="0.06"/>
    <n v="7052.7"/>
    <x v="0"/>
    <s v="Phoenix"/>
    <m/>
  </r>
  <r>
    <s v="emp-911"/>
    <x v="12"/>
    <x v="5"/>
    <x v="1"/>
    <x v="1"/>
    <n v="50"/>
    <x v="2"/>
    <d v="2012-03-15T00:00:00"/>
    <x v="900"/>
    <n v="0.08"/>
    <n v="9378.08"/>
    <x v="0"/>
    <s v="Phoenix"/>
    <m/>
  </r>
  <r>
    <s v="emp-912"/>
    <x v="15"/>
    <x v="3"/>
    <x v="3"/>
    <x v="0"/>
    <n v="26"/>
    <x v="1"/>
    <d v="2019-01-24T00:00:00"/>
    <x v="901"/>
    <n v="0"/>
    <n v="0"/>
    <x v="0"/>
    <s v="Phoenix"/>
    <m/>
  </r>
  <r>
    <s v="emp-913"/>
    <x v="7"/>
    <x v="2"/>
    <x v="2"/>
    <x v="0"/>
    <n v="29"/>
    <x v="1"/>
    <d v="2016-11-17T00:00:00"/>
    <x v="902"/>
    <n v="0"/>
    <n v="0"/>
    <x v="0"/>
    <s v="Austin"/>
    <m/>
  </r>
  <r>
    <s v="emp-914"/>
    <x v="6"/>
    <x v="2"/>
    <x v="1"/>
    <x v="0"/>
    <n v="27"/>
    <x v="1"/>
    <d v="2018-10-24T00:00:00"/>
    <x v="903"/>
    <n v="0.28999999999999998"/>
    <n v="44942.17"/>
    <x v="2"/>
    <s v="Sao Paulo"/>
    <m/>
  </r>
  <r>
    <s v="emp-915"/>
    <x v="14"/>
    <x v="0"/>
    <x v="2"/>
    <x v="0"/>
    <n v="33"/>
    <x v="1"/>
    <d v="2017-10-21T00:00:00"/>
    <x v="904"/>
    <n v="0"/>
    <n v="0"/>
    <x v="0"/>
    <s v="Columbus"/>
    <m/>
  </r>
  <r>
    <s v="emp-916"/>
    <x v="9"/>
    <x v="4"/>
    <x v="0"/>
    <x v="0"/>
    <n v="59"/>
    <x v="0"/>
    <d v="2001-04-09T00:00:00"/>
    <x v="905"/>
    <n v="0"/>
    <n v="0"/>
    <x v="1"/>
    <s v="Shanghai"/>
    <m/>
  </r>
  <r>
    <s v="emp-917"/>
    <x v="6"/>
    <x v="5"/>
    <x v="1"/>
    <x v="0"/>
    <n v="40"/>
    <x v="3"/>
    <d v="2020-09-20T00:00:00"/>
    <x v="906"/>
    <n v="0.17"/>
    <n v="33689.920000000006"/>
    <x v="2"/>
    <s v="Manaus"/>
    <m/>
  </r>
  <r>
    <s v="emp-918"/>
    <x v="7"/>
    <x v="1"/>
    <x v="0"/>
    <x v="0"/>
    <n v="45"/>
    <x v="2"/>
    <d v="2012-08-06T00:00:00"/>
    <x v="907"/>
    <n v="0"/>
    <n v="0"/>
    <x v="2"/>
    <s v="Sao Paulo"/>
    <m/>
  </r>
  <r>
    <s v="emp-919"/>
    <x v="10"/>
    <x v="2"/>
    <x v="3"/>
    <x v="1"/>
    <n v="38"/>
    <x v="3"/>
    <d v="2011-11-28T00:00:00"/>
    <x v="908"/>
    <n v="0"/>
    <n v="0"/>
    <x v="0"/>
    <s v="Chicago"/>
    <m/>
  </r>
  <r>
    <s v="emp-92"/>
    <x v="0"/>
    <x v="1"/>
    <x v="1"/>
    <x v="0"/>
    <n v="33"/>
    <x v="1"/>
    <d v="2018-04-21T00:00:00"/>
    <x v="909"/>
    <n v="0.15"/>
    <n v="21060.3"/>
    <x v="1"/>
    <s v="Beijing"/>
    <m/>
  </r>
  <r>
    <s v="emp-920"/>
    <x v="10"/>
    <x v="2"/>
    <x v="1"/>
    <x v="1"/>
    <n v="32"/>
    <x v="1"/>
    <d v="2020-02-03T00:00:00"/>
    <x v="910"/>
    <n v="0"/>
    <n v="0"/>
    <x v="0"/>
    <s v="Phoenix"/>
    <m/>
  </r>
  <r>
    <s v="emp-921"/>
    <x v="12"/>
    <x v="2"/>
    <x v="1"/>
    <x v="0"/>
    <n v="64"/>
    <x v="0"/>
    <d v="2003-05-21T00:00:00"/>
    <x v="911"/>
    <n v="0.05"/>
    <n v="5322.2000000000007"/>
    <x v="0"/>
    <s v="Phoenix"/>
    <m/>
  </r>
  <r>
    <s v="emp-922"/>
    <x v="6"/>
    <x v="1"/>
    <x v="3"/>
    <x v="1"/>
    <n v="31"/>
    <x v="1"/>
    <d v="2017-08-10T00:00:00"/>
    <x v="912"/>
    <n v="0.28000000000000003"/>
    <n v="43940.680000000008"/>
    <x v="0"/>
    <s v="Seattle"/>
    <m/>
  </r>
  <r>
    <s v="emp-923"/>
    <x v="6"/>
    <x v="6"/>
    <x v="0"/>
    <x v="0"/>
    <n v="43"/>
    <x v="3"/>
    <d v="2014-10-16T00:00:00"/>
    <x v="913"/>
    <n v="0.23"/>
    <n v="39412.800000000003"/>
    <x v="2"/>
    <s v="Manaus"/>
    <m/>
  </r>
  <r>
    <s v="emp-924"/>
    <x v="13"/>
    <x v="0"/>
    <x v="0"/>
    <x v="0"/>
    <n v="45"/>
    <x v="2"/>
    <d v="2009-04-05T00:00:00"/>
    <x v="914"/>
    <n v="0"/>
    <n v="0"/>
    <x v="0"/>
    <s v="Miami"/>
    <m/>
  </r>
  <r>
    <s v="emp-925"/>
    <x v="25"/>
    <x v="4"/>
    <x v="1"/>
    <x v="1"/>
    <n v="32"/>
    <x v="1"/>
    <d v="2021-10-09T00:00:00"/>
    <x v="915"/>
    <n v="0.13"/>
    <n v="13298.74"/>
    <x v="2"/>
    <s v="Rio de Janerio"/>
    <m/>
  </r>
  <r>
    <s v="emp-926"/>
    <x v="0"/>
    <x v="2"/>
    <x v="3"/>
    <x v="0"/>
    <n v="27"/>
    <x v="1"/>
    <d v="2019-09-13T00:00:00"/>
    <x v="916"/>
    <n v="0.13"/>
    <n v="17328.61"/>
    <x v="2"/>
    <s v="Rio de Janerio"/>
    <m/>
  </r>
  <r>
    <s v="emp-927"/>
    <x v="0"/>
    <x v="5"/>
    <x v="1"/>
    <x v="0"/>
    <n v="25"/>
    <x v="1"/>
    <d v="2021-03-17T00:00:00"/>
    <x v="917"/>
    <n v="0.1"/>
    <n v="15508"/>
    <x v="0"/>
    <s v="Austin"/>
    <m/>
  </r>
  <r>
    <s v="emp-928"/>
    <x v="1"/>
    <x v="2"/>
    <x v="1"/>
    <x v="1"/>
    <n v="31"/>
    <x v="1"/>
    <d v="2018-08-13T00:00:00"/>
    <x v="918"/>
    <n v="0"/>
    <n v="0"/>
    <x v="0"/>
    <s v="Miami"/>
    <m/>
  </r>
  <r>
    <s v="emp-929"/>
    <x v="0"/>
    <x v="6"/>
    <x v="3"/>
    <x v="0"/>
    <n v="65"/>
    <x v="4"/>
    <d v="2000-10-24T00:00:00"/>
    <x v="919"/>
    <n v="0.13"/>
    <n v="19424.21"/>
    <x v="1"/>
    <s v="Chengdu"/>
    <m/>
  </r>
  <r>
    <s v="emp-93"/>
    <x v="7"/>
    <x v="1"/>
    <x v="3"/>
    <x v="0"/>
    <n v="26"/>
    <x v="1"/>
    <d v="2019-04-23T00:00:00"/>
    <x v="920"/>
    <n v="0"/>
    <n v="0"/>
    <x v="2"/>
    <s v="Sao Paulo"/>
    <m/>
  </r>
  <r>
    <s v="emp-930"/>
    <x v="12"/>
    <x v="2"/>
    <x v="3"/>
    <x v="1"/>
    <n v="50"/>
    <x v="2"/>
    <d v="2012-04-25T00:00:00"/>
    <x v="921"/>
    <n v="0.09"/>
    <n v="10194.209999999999"/>
    <x v="2"/>
    <s v="Sao Paulo"/>
    <m/>
  </r>
  <r>
    <s v="emp-931"/>
    <x v="0"/>
    <x v="0"/>
    <x v="2"/>
    <x v="1"/>
    <n v="46"/>
    <x v="2"/>
    <d v="2017-12-16T00:00:00"/>
    <x v="922"/>
    <n v="0.12"/>
    <n v="16405.919999999998"/>
    <x v="0"/>
    <s v="Austin"/>
    <m/>
  </r>
  <r>
    <s v="emp-932"/>
    <x v="0"/>
    <x v="2"/>
    <x v="1"/>
    <x v="1"/>
    <n v="54"/>
    <x v="2"/>
    <d v="2011-10-20T00:00:00"/>
    <x v="923"/>
    <n v="0.12"/>
    <n v="14717.279999999999"/>
    <x v="0"/>
    <s v="Austin"/>
    <m/>
  </r>
  <r>
    <s v="emp-933"/>
    <x v="12"/>
    <x v="2"/>
    <x v="0"/>
    <x v="0"/>
    <n v="50"/>
    <x v="2"/>
    <d v="2000-05-07T00:00:00"/>
    <x v="924"/>
    <n v="7.0000000000000007E-2"/>
    <n v="7449.9600000000009"/>
    <x v="0"/>
    <s v="Chicago"/>
    <m/>
  </r>
  <r>
    <s v="emp-934"/>
    <x v="2"/>
    <x v="1"/>
    <x v="3"/>
    <x v="1"/>
    <n v="36"/>
    <x v="3"/>
    <d v="2009-01-17T00:00:00"/>
    <x v="925"/>
    <n v="0.31"/>
    <n v="73853.16"/>
    <x v="0"/>
    <s v="Seattle"/>
    <m/>
  </r>
  <r>
    <s v="emp-935"/>
    <x v="6"/>
    <x v="1"/>
    <x v="3"/>
    <x v="0"/>
    <n v="64"/>
    <x v="0"/>
    <d v="2012-12-21T00:00:00"/>
    <x v="926"/>
    <n v="0.24"/>
    <n v="36780.720000000001"/>
    <x v="0"/>
    <s v="Austin"/>
    <m/>
  </r>
  <r>
    <s v="emp-936"/>
    <x v="12"/>
    <x v="3"/>
    <x v="2"/>
    <x v="0"/>
    <n v="34"/>
    <x v="1"/>
    <d v="2014-10-03T00:00:00"/>
    <x v="927"/>
    <n v="0.09"/>
    <n v="9333.6299999999992"/>
    <x v="0"/>
    <s v="Columbus"/>
    <m/>
  </r>
  <r>
    <s v="emp-937"/>
    <x v="2"/>
    <x v="3"/>
    <x v="1"/>
    <x v="0"/>
    <n v="41"/>
    <x v="3"/>
    <d v="2012-08-09T00:00:00"/>
    <x v="928"/>
    <n v="0.37"/>
    <n v="90783.2"/>
    <x v="0"/>
    <s v="Austin"/>
    <m/>
  </r>
  <r>
    <s v="emp-938"/>
    <x v="5"/>
    <x v="4"/>
    <x v="1"/>
    <x v="1"/>
    <n v="25"/>
    <x v="1"/>
    <d v="2021-07-08T00:00:00"/>
    <x v="929"/>
    <n v="0"/>
    <n v="0"/>
    <x v="0"/>
    <s v="Columbus"/>
    <m/>
  </r>
  <r>
    <s v="emp-939"/>
    <x v="12"/>
    <x v="0"/>
    <x v="2"/>
    <x v="1"/>
    <n v="45"/>
    <x v="2"/>
    <d v="2015-01-22T00:00:00"/>
    <x v="930"/>
    <n v="0.1"/>
    <n v="10128.800000000001"/>
    <x v="0"/>
    <s v="Phoenix"/>
    <m/>
  </r>
  <r>
    <s v="emp-94"/>
    <x v="28"/>
    <x v="2"/>
    <x v="2"/>
    <x v="1"/>
    <n v="31"/>
    <x v="1"/>
    <d v="2017-07-22T00:00:00"/>
    <x v="931"/>
    <n v="0"/>
    <n v="0"/>
    <x v="0"/>
    <s v="Austin"/>
    <m/>
  </r>
  <r>
    <s v="emp-940"/>
    <x v="6"/>
    <x v="5"/>
    <x v="1"/>
    <x v="0"/>
    <n v="52"/>
    <x v="2"/>
    <d v="1993-08-28T00:00:00"/>
    <x v="693"/>
    <n v="0.25"/>
    <n v="44360.75"/>
    <x v="2"/>
    <s v="Sao Paulo"/>
    <m/>
  </r>
  <r>
    <s v="emp-941"/>
    <x v="14"/>
    <x v="0"/>
    <x v="2"/>
    <x v="0"/>
    <n v="37"/>
    <x v="3"/>
    <d v="2016-04-27T00:00:00"/>
    <x v="932"/>
    <n v="0"/>
    <n v="0"/>
    <x v="0"/>
    <s v="Chicago"/>
    <m/>
  </r>
  <r>
    <s v="emp-942"/>
    <x v="2"/>
    <x v="5"/>
    <x v="3"/>
    <x v="1"/>
    <n v="44"/>
    <x v="3"/>
    <d v="2007-09-10T00:00:00"/>
    <x v="933"/>
    <n v="0.33"/>
    <n v="59811.51"/>
    <x v="2"/>
    <s v="Sao Paulo"/>
    <m/>
  </r>
  <r>
    <s v="emp-943"/>
    <x v="0"/>
    <x v="5"/>
    <x v="0"/>
    <x v="1"/>
    <n v="42"/>
    <x v="3"/>
    <d v="2003-10-20T00:00:00"/>
    <x v="934"/>
    <n v="0.14000000000000001"/>
    <n v="18978.120000000003"/>
    <x v="0"/>
    <s v="Phoenix"/>
    <m/>
  </r>
  <r>
    <s v="emp-944"/>
    <x v="15"/>
    <x v="3"/>
    <x v="1"/>
    <x v="1"/>
    <n v="49"/>
    <x v="2"/>
    <d v="2011-12-17T00:00:00"/>
    <x v="935"/>
    <n v="0"/>
    <n v="0"/>
    <x v="0"/>
    <s v="Seattle"/>
    <m/>
  </r>
  <r>
    <s v="emp-945"/>
    <x v="27"/>
    <x v="0"/>
    <x v="1"/>
    <x v="1"/>
    <n v="34"/>
    <x v="1"/>
    <d v="2019-09-20T00:00:00"/>
    <x v="936"/>
    <n v="0"/>
    <n v="0"/>
    <x v="1"/>
    <s v="Beijing"/>
    <m/>
  </r>
  <r>
    <s v="emp-946"/>
    <x v="7"/>
    <x v="2"/>
    <x v="2"/>
    <x v="1"/>
    <n v="39"/>
    <x v="3"/>
    <d v="2007-05-27T00:00:00"/>
    <x v="937"/>
    <n v="0"/>
    <n v="0"/>
    <x v="0"/>
    <s v="Seattle"/>
    <m/>
  </r>
  <r>
    <s v="emp-947"/>
    <x v="2"/>
    <x v="5"/>
    <x v="1"/>
    <x v="1"/>
    <n v="31"/>
    <x v="1"/>
    <d v="2015-01-14T00:00:00"/>
    <x v="938"/>
    <n v="0.34"/>
    <n v="78208.5"/>
    <x v="0"/>
    <s v="Phoenix"/>
    <m/>
  </r>
  <r>
    <s v="emp-948"/>
    <x v="0"/>
    <x v="5"/>
    <x v="1"/>
    <x v="0"/>
    <n v="36"/>
    <x v="3"/>
    <d v="2010-03-11T00:00:00"/>
    <x v="939"/>
    <n v="0.13"/>
    <n v="17420.78"/>
    <x v="1"/>
    <s v="Beijing"/>
    <m/>
  </r>
  <r>
    <s v="emp-949"/>
    <x v="12"/>
    <x v="1"/>
    <x v="3"/>
    <x v="0"/>
    <n v="61"/>
    <x v="0"/>
    <d v="2009-10-06T00:00:00"/>
    <x v="940"/>
    <n v="7.0000000000000007E-2"/>
    <n v="7216.72"/>
    <x v="1"/>
    <s v="Beijing"/>
    <m/>
  </r>
  <r>
    <s v="emp-95"/>
    <x v="24"/>
    <x v="5"/>
    <x v="0"/>
    <x v="1"/>
    <n v="53"/>
    <x v="2"/>
    <d v="2002-11-16T00:00:00"/>
    <x v="941"/>
    <n v="0"/>
    <n v="0"/>
    <x v="0"/>
    <s v="Seattle"/>
    <m/>
  </r>
  <r>
    <s v="emp-950"/>
    <x v="15"/>
    <x v="3"/>
    <x v="2"/>
    <x v="1"/>
    <n v="29"/>
    <x v="1"/>
    <d v="2016-08-20T00:00:00"/>
    <x v="942"/>
    <n v="0"/>
    <n v="0"/>
    <x v="0"/>
    <s v="Columbus"/>
    <m/>
  </r>
  <r>
    <s v="emp-951"/>
    <x v="0"/>
    <x v="0"/>
    <x v="1"/>
    <x v="1"/>
    <n v="33"/>
    <x v="1"/>
    <d v="2012-12-24T00:00:00"/>
    <x v="943"/>
    <n v="0.1"/>
    <n v="13254.400000000001"/>
    <x v="2"/>
    <s v="Rio de Janerio"/>
    <m/>
  </r>
  <r>
    <s v="emp-952"/>
    <x v="12"/>
    <x v="1"/>
    <x v="2"/>
    <x v="1"/>
    <n v="32"/>
    <x v="1"/>
    <d v="2020-04-15T00:00:00"/>
    <x v="944"/>
    <n v="0.09"/>
    <n v="11400.39"/>
    <x v="0"/>
    <s v="Miami"/>
    <m/>
  </r>
  <r>
    <s v="emp-953"/>
    <x v="28"/>
    <x v="2"/>
    <x v="0"/>
    <x v="0"/>
    <n v="33"/>
    <x v="1"/>
    <d v="2021-01-22T00:00:00"/>
    <x v="945"/>
    <n v="0"/>
    <n v="0"/>
    <x v="0"/>
    <s v="Chicago"/>
    <m/>
  </r>
  <r>
    <s v="emp-954"/>
    <x v="4"/>
    <x v="0"/>
    <x v="1"/>
    <x v="0"/>
    <n v="36"/>
    <x v="3"/>
    <d v="2014-11-29T00:00:00"/>
    <x v="946"/>
    <n v="0.08"/>
    <n v="7098.4000000000005"/>
    <x v="1"/>
    <s v="Chongqing"/>
    <m/>
  </r>
  <r>
    <s v="emp-955"/>
    <x v="7"/>
    <x v="1"/>
    <x v="2"/>
    <x v="1"/>
    <n v="39"/>
    <x v="3"/>
    <d v="2008-09-17T00:00:00"/>
    <x v="947"/>
    <n v="0"/>
    <n v="0"/>
    <x v="0"/>
    <s v="Seattle"/>
    <m/>
  </r>
  <r>
    <s v="emp-956"/>
    <x v="6"/>
    <x v="5"/>
    <x v="3"/>
    <x v="0"/>
    <n v="53"/>
    <x v="2"/>
    <d v="2006-07-21T00:00:00"/>
    <x v="948"/>
    <n v="0.21"/>
    <n v="31761.66"/>
    <x v="2"/>
    <s v="Sao Paulo"/>
    <m/>
  </r>
  <r>
    <s v="emp-957"/>
    <x v="0"/>
    <x v="0"/>
    <x v="2"/>
    <x v="0"/>
    <n v="53"/>
    <x v="2"/>
    <d v="1997-04-12T00:00:00"/>
    <x v="949"/>
    <n v="0.1"/>
    <n v="15438.800000000001"/>
    <x v="0"/>
    <s v="Seattle"/>
    <m/>
  </r>
  <r>
    <s v="emp-958"/>
    <x v="6"/>
    <x v="5"/>
    <x v="2"/>
    <x v="0"/>
    <n v="54"/>
    <x v="2"/>
    <d v="1994-09-26T00:00:00"/>
    <x v="950"/>
    <n v="0.17"/>
    <n v="27706.260000000002"/>
    <x v="0"/>
    <s v="Miami"/>
    <d v="2004-05-24T00:00:00"/>
  </r>
  <r>
    <s v="emp-959"/>
    <x v="22"/>
    <x v="0"/>
    <x v="1"/>
    <x v="1"/>
    <n v="55"/>
    <x v="0"/>
    <d v="1993-11-17T00:00:00"/>
    <x v="951"/>
    <n v="0"/>
    <n v="0"/>
    <x v="0"/>
    <s v="Miami"/>
    <m/>
  </r>
  <r>
    <s v="emp-96"/>
    <x v="0"/>
    <x v="2"/>
    <x v="2"/>
    <x v="0"/>
    <n v="34"/>
    <x v="1"/>
    <d v="2015-04-22T00:00:00"/>
    <x v="952"/>
    <n v="0.13"/>
    <n v="20142.330000000002"/>
    <x v="0"/>
    <s v="Phoenix"/>
    <m/>
  </r>
  <r>
    <s v="emp-960"/>
    <x v="1"/>
    <x v="3"/>
    <x v="2"/>
    <x v="0"/>
    <n v="44"/>
    <x v="3"/>
    <d v="2021-04-28T00:00:00"/>
    <x v="953"/>
    <n v="0"/>
    <n v="0"/>
    <x v="0"/>
    <s v="Miami"/>
    <m/>
  </r>
  <r>
    <s v="emp-961"/>
    <x v="12"/>
    <x v="1"/>
    <x v="2"/>
    <x v="1"/>
    <n v="52"/>
    <x v="2"/>
    <d v="1999-12-29T00:00:00"/>
    <x v="954"/>
    <n v="7.0000000000000007E-2"/>
    <n v="8156.89"/>
    <x v="0"/>
    <s v="Phoenix"/>
    <m/>
  </r>
  <r>
    <s v="emp-962"/>
    <x v="6"/>
    <x v="2"/>
    <x v="0"/>
    <x v="1"/>
    <n v="27"/>
    <x v="1"/>
    <d v="2019-11-07T00:00:00"/>
    <x v="955"/>
    <n v="0.28999999999999998"/>
    <n v="50636.03"/>
    <x v="0"/>
    <s v="Columbus"/>
    <m/>
  </r>
  <r>
    <s v="emp-963"/>
    <x v="7"/>
    <x v="3"/>
    <x v="0"/>
    <x v="1"/>
    <n v="58"/>
    <x v="0"/>
    <d v="2006-04-12T00:00:00"/>
    <x v="956"/>
    <n v="0"/>
    <n v="0"/>
    <x v="0"/>
    <s v="Columbus"/>
    <m/>
  </r>
  <r>
    <s v="emp-964"/>
    <x v="7"/>
    <x v="3"/>
    <x v="3"/>
    <x v="1"/>
    <n v="49"/>
    <x v="2"/>
    <d v="2019-07-25T00:00:00"/>
    <x v="957"/>
    <n v="0"/>
    <n v="0"/>
    <x v="1"/>
    <s v="Chongqing"/>
    <d v="2021-03-02T00:00:00"/>
  </r>
  <r>
    <s v="emp-965"/>
    <x v="23"/>
    <x v="0"/>
    <x v="1"/>
    <x v="0"/>
    <n v="36"/>
    <x v="3"/>
    <d v="2016-11-03T00:00:00"/>
    <x v="958"/>
    <n v="0"/>
    <n v="0"/>
    <x v="0"/>
    <s v="Columbus"/>
    <m/>
  </r>
  <r>
    <s v="emp-966"/>
    <x v="6"/>
    <x v="6"/>
    <x v="0"/>
    <x v="1"/>
    <n v="26"/>
    <x v="1"/>
    <d v="2019-10-15T00:00:00"/>
    <x v="959"/>
    <n v="0.2"/>
    <n v="30311.200000000001"/>
    <x v="0"/>
    <s v="Miami"/>
    <m/>
  </r>
  <r>
    <s v="emp-967"/>
    <x v="5"/>
    <x v="4"/>
    <x v="0"/>
    <x v="0"/>
    <n v="37"/>
    <x v="3"/>
    <d v="2020-03-08T00:00:00"/>
    <x v="960"/>
    <n v="0"/>
    <n v="0"/>
    <x v="0"/>
    <s v="Phoenix"/>
    <m/>
  </r>
  <r>
    <s v="emp-968"/>
    <x v="6"/>
    <x v="5"/>
    <x v="1"/>
    <x v="1"/>
    <n v="47"/>
    <x v="2"/>
    <d v="2019-11-03T00:00:00"/>
    <x v="961"/>
    <n v="0.21"/>
    <n v="41030.85"/>
    <x v="1"/>
    <s v="Chengdu"/>
    <m/>
  </r>
  <r>
    <s v="emp-969"/>
    <x v="17"/>
    <x v="0"/>
    <x v="1"/>
    <x v="1"/>
    <n v="29"/>
    <x v="1"/>
    <d v="2016-05-19T00:00:00"/>
    <x v="962"/>
    <n v="0"/>
    <n v="0"/>
    <x v="2"/>
    <s v="Rio de Janerio"/>
    <m/>
  </r>
  <r>
    <s v="emp-97"/>
    <x v="2"/>
    <x v="1"/>
    <x v="1"/>
    <x v="0"/>
    <n v="54"/>
    <x v="2"/>
    <d v="2011-07-10T00:00:00"/>
    <x v="963"/>
    <n v="0.3"/>
    <n v="74106.599999999991"/>
    <x v="1"/>
    <s v="Beijing"/>
    <m/>
  </r>
  <r>
    <s v="emp-970"/>
    <x v="30"/>
    <x v="0"/>
    <x v="0"/>
    <x v="0"/>
    <n v="58"/>
    <x v="0"/>
    <d v="2016-04-26T00:00:00"/>
    <x v="964"/>
    <n v="0"/>
    <n v="0"/>
    <x v="0"/>
    <s v="Phoenix"/>
    <m/>
  </r>
  <r>
    <s v="emp-971"/>
    <x v="7"/>
    <x v="6"/>
    <x v="2"/>
    <x v="1"/>
    <n v="47"/>
    <x v="2"/>
    <d v="2005-11-28T00:00:00"/>
    <x v="965"/>
    <n v="0"/>
    <n v="0"/>
    <x v="2"/>
    <s v="Manaus"/>
    <m/>
  </r>
  <r>
    <s v="emp-972"/>
    <x v="0"/>
    <x v="6"/>
    <x v="1"/>
    <x v="1"/>
    <n v="52"/>
    <x v="2"/>
    <d v="2018-06-04T00:00:00"/>
    <x v="966"/>
    <n v="0.1"/>
    <n v="15488.400000000001"/>
    <x v="1"/>
    <s v="Shanghai"/>
    <m/>
  </r>
  <r>
    <s v="emp-973"/>
    <x v="23"/>
    <x v="0"/>
    <x v="0"/>
    <x v="1"/>
    <n v="61"/>
    <x v="0"/>
    <d v="2016-03-08T00:00:00"/>
    <x v="967"/>
    <n v="0"/>
    <n v="0"/>
    <x v="0"/>
    <s v="Columbus"/>
    <m/>
  </r>
  <r>
    <s v="emp-974"/>
    <x v="17"/>
    <x v="0"/>
    <x v="0"/>
    <x v="1"/>
    <n v="45"/>
    <x v="2"/>
    <d v="2001-08-23T00:00:00"/>
    <x v="968"/>
    <n v="0"/>
    <n v="0"/>
    <x v="0"/>
    <s v="Columbus"/>
    <m/>
  </r>
  <r>
    <s v="emp-975"/>
    <x v="30"/>
    <x v="0"/>
    <x v="3"/>
    <x v="0"/>
    <n v="40"/>
    <x v="3"/>
    <d v="2012-02-05T00:00:00"/>
    <x v="969"/>
    <n v="0"/>
    <n v="0"/>
    <x v="0"/>
    <s v="Columbus"/>
    <m/>
  </r>
  <r>
    <s v="emp-976"/>
    <x v="2"/>
    <x v="5"/>
    <x v="3"/>
    <x v="1"/>
    <n v="45"/>
    <x v="2"/>
    <d v="2010-12-12T00:00:00"/>
    <x v="970"/>
    <n v="0.32"/>
    <n v="60963.840000000004"/>
    <x v="0"/>
    <s v="Columbus"/>
    <m/>
  </r>
  <r>
    <s v="emp-977"/>
    <x v="9"/>
    <x v="4"/>
    <x v="1"/>
    <x v="0"/>
    <n v="37"/>
    <x v="3"/>
    <d v="2013-02-13T00:00:00"/>
    <x v="971"/>
    <n v="0"/>
    <n v="0"/>
    <x v="1"/>
    <s v="Beijing"/>
    <m/>
  </r>
  <r>
    <s v="emp-978"/>
    <x v="12"/>
    <x v="3"/>
    <x v="2"/>
    <x v="1"/>
    <n v="57"/>
    <x v="0"/>
    <d v="2019-01-19T00:00:00"/>
    <x v="972"/>
    <n v="0.05"/>
    <n v="5078.8500000000004"/>
    <x v="0"/>
    <s v="Chicago"/>
    <m/>
  </r>
  <r>
    <s v="emp-979"/>
    <x v="12"/>
    <x v="3"/>
    <x v="2"/>
    <x v="0"/>
    <n v="44"/>
    <x v="3"/>
    <d v="2005-10-17T00:00:00"/>
    <x v="973"/>
    <n v="0.1"/>
    <n v="10522.300000000001"/>
    <x v="0"/>
    <s v="Phoenix"/>
    <m/>
  </r>
  <r>
    <s v="emp-98"/>
    <x v="23"/>
    <x v="0"/>
    <x v="2"/>
    <x v="0"/>
    <n v="32"/>
    <x v="1"/>
    <d v="2021-10-05T00:00:00"/>
    <x v="974"/>
    <n v="0"/>
    <n v="0"/>
    <x v="2"/>
    <s v="Sao Paulo"/>
    <m/>
  </r>
  <r>
    <s v="emp-980"/>
    <x v="27"/>
    <x v="0"/>
    <x v="3"/>
    <x v="1"/>
    <n v="48"/>
    <x v="2"/>
    <d v="2008-07-06T00:00:00"/>
    <x v="975"/>
    <n v="0"/>
    <n v="0"/>
    <x v="0"/>
    <s v="Chicago"/>
    <m/>
  </r>
  <r>
    <s v="emp-981"/>
    <x v="12"/>
    <x v="3"/>
    <x v="1"/>
    <x v="0"/>
    <n v="25"/>
    <x v="1"/>
    <d v="2021-12-15T00:00:00"/>
    <x v="976"/>
    <n v="0.06"/>
    <n v="6893.58"/>
    <x v="1"/>
    <s v="Chengdu"/>
    <m/>
  </r>
  <r>
    <s v="emp-982"/>
    <x v="1"/>
    <x v="6"/>
    <x v="1"/>
    <x v="0"/>
    <n v="35"/>
    <x v="3"/>
    <d v="2017-01-10T00:00:00"/>
    <x v="977"/>
    <n v="0"/>
    <n v="0"/>
    <x v="0"/>
    <s v="Austin"/>
    <m/>
  </r>
  <r>
    <s v="emp-983"/>
    <x v="2"/>
    <x v="0"/>
    <x v="1"/>
    <x v="0"/>
    <n v="57"/>
    <x v="0"/>
    <d v="2016-11-11T00:00:00"/>
    <x v="978"/>
    <n v="0.33"/>
    <n v="81374.37000000001"/>
    <x v="0"/>
    <s v="Phoenix"/>
    <d v="2017-03-26T00:00:00"/>
  </r>
  <r>
    <s v="emp-984"/>
    <x v="12"/>
    <x v="6"/>
    <x v="1"/>
    <x v="1"/>
    <n v="49"/>
    <x v="2"/>
    <d v="2018-05-20T00:00:00"/>
    <x v="979"/>
    <n v="0.09"/>
    <n v="10745.73"/>
    <x v="1"/>
    <s v="Beijing"/>
    <d v="2019-03-14T00:00:00"/>
  </r>
  <r>
    <s v="emp-985"/>
    <x v="6"/>
    <x v="2"/>
    <x v="3"/>
    <x v="0"/>
    <n v="25"/>
    <x v="1"/>
    <d v="2021-12-19T00:00:00"/>
    <x v="980"/>
    <n v="0.23"/>
    <n v="34653.18"/>
    <x v="1"/>
    <s v="Chengdu"/>
    <m/>
  </r>
  <r>
    <s v="emp-986"/>
    <x v="0"/>
    <x v="0"/>
    <x v="0"/>
    <x v="0"/>
    <n v="46"/>
    <x v="2"/>
    <d v="2002-01-09T00:00:00"/>
    <x v="981"/>
    <n v="0.14000000000000001"/>
    <n v="20724.900000000001"/>
    <x v="0"/>
    <s v="Phoenix"/>
    <m/>
  </r>
  <r>
    <s v="emp-987"/>
    <x v="6"/>
    <x v="1"/>
    <x v="3"/>
    <x v="1"/>
    <n v="60"/>
    <x v="0"/>
    <d v="2017-06-05T00:00:00"/>
    <x v="982"/>
    <n v="0.18"/>
    <n v="28601.64"/>
    <x v="0"/>
    <s v="Miami"/>
    <m/>
  </r>
  <r>
    <s v="emp-988"/>
    <x v="8"/>
    <x v="4"/>
    <x v="3"/>
    <x v="0"/>
    <n v="45"/>
    <x v="2"/>
    <d v="2012-02-28T00:00:00"/>
    <x v="983"/>
    <n v="0"/>
    <n v="0"/>
    <x v="1"/>
    <s v="Beijing"/>
    <m/>
  </r>
  <r>
    <s v="emp-989"/>
    <x v="6"/>
    <x v="2"/>
    <x v="1"/>
    <x v="0"/>
    <n v="39"/>
    <x v="3"/>
    <d v="2007-04-29T00:00:00"/>
    <x v="984"/>
    <n v="0.23"/>
    <n v="39442.01"/>
    <x v="0"/>
    <s v="Phoenix"/>
    <m/>
  </r>
  <r>
    <s v="emp-99"/>
    <x v="4"/>
    <x v="0"/>
    <x v="0"/>
    <x v="1"/>
    <n v="28"/>
    <x v="1"/>
    <d v="2020-05-26T00:00:00"/>
    <x v="985"/>
    <n v="0.08"/>
    <n v="5434"/>
    <x v="1"/>
    <s v="Shanghai"/>
    <m/>
  </r>
  <r>
    <s v="emp-990"/>
    <x v="2"/>
    <x v="2"/>
    <x v="2"/>
    <x v="0"/>
    <n v="43"/>
    <x v="3"/>
    <d v="2016-08-21T00:00:00"/>
    <x v="986"/>
    <n v="0.35"/>
    <n v="90474.299999999988"/>
    <x v="0"/>
    <s v="Columbus"/>
    <m/>
  </r>
  <r>
    <s v="emp-991"/>
    <x v="0"/>
    <x v="0"/>
    <x v="0"/>
    <x v="1"/>
    <n v="37"/>
    <x v="3"/>
    <d v="2010-11-29T00:00:00"/>
    <x v="987"/>
    <n v="0.11"/>
    <n v="16165.710000000001"/>
    <x v="0"/>
    <s v="Columbus"/>
    <m/>
  </r>
  <r>
    <s v="emp-992"/>
    <x v="24"/>
    <x v="5"/>
    <x v="0"/>
    <x v="1"/>
    <n v="48"/>
    <x v="2"/>
    <d v="1998-04-22T00:00:00"/>
    <x v="988"/>
    <n v="0"/>
    <n v="0"/>
    <x v="2"/>
    <s v="Manaus"/>
    <d v="2004-11-27T00:00:00"/>
  </r>
  <r>
    <s v="emp-993"/>
    <x v="21"/>
    <x v="0"/>
    <x v="2"/>
    <x v="1"/>
    <n v="30"/>
    <x v="1"/>
    <d v="2015-06-14T00:00:00"/>
    <x v="989"/>
    <n v="0"/>
    <n v="0"/>
    <x v="0"/>
    <s v="Chicago"/>
    <m/>
  </r>
  <r>
    <s v="emp-994"/>
    <x v="6"/>
    <x v="0"/>
    <x v="2"/>
    <x v="0"/>
    <n v="46"/>
    <x v="2"/>
    <d v="2018-10-06T00:00:00"/>
    <x v="990"/>
    <n v="0.17"/>
    <n v="28264.030000000002"/>
    <x v="0"/>
    <s v="Chicago"/>
    <m/>
  </r>
  <r>
    <s v="emp-995"/>
    <x v="17"/>
    <x v="0"/>
    <x v="3"/>
    <x v="0"/>
    <n v="55"/>
    <x v="0"/>
    <d v="2009-01-07T00:00:00"/>
    <x v="991"/>
    <n v="0"/>
    <n v="0"/>
    <x v="0"/>
    <s v="Columbus"/>
    <m/>
  </r>
  <r>
    <s v="emp-996"/>
    <x v="1"/>
    <x v="6"/>
    <x v="1"/>
    <x v="1"/>
    <n v="33"/>
    <x v="1"/>
    <d v="2016-09-18T00:00:00"/>
    <x v="992"/>
    <n v="0"/>
    <n v="0"/>
    <x v="0"/>
    <s v="Columbus"/>
    <m/>
  </r>
  <r>
    <s v="emp-997"/>
    <x v="15"/>
    <x v="1"/>
    <x v="1"/>
    <x v="0"/>
    <n v="44"/>
    <x v="3"/>
    <d v="2010-05-31T00:00:00"/>
    <x v="993"/>
    <n v="0"/>
    <n v="0"/>
    <x v="1"/>
    <s v="Chengdu"/>
    <d v="2018-01-08T00:00:00"/>
  </r>
  <r>
    <s v="emp-998"/>
    <x v="6"/>
    <x v="6"/>
    <x v="1"/>
    <x v="1"/>
    <n v="31"/>
    <x v="1"/>
    <d v="2019-06-10T00:00:00"/>
    <x v="994"/>
    <n v="0.15"/>
    <n v="26506.5"/>
    <x v="0"/>
    <s v="Miami"/>
    <m/>
  </r>
  <r>
    <s v="emp-999"/>
    <x v="1"/>
    <x v="1"/>
    <x v="1"/>
    <x v="0"/>
    <n v="33"/>
    <x v="1"/>
    <d v="2012-01-28T00:00:00"/>
    <x v="995"/>
    <n v="0"/>
    <n v="0"/>
    <x v="1"/>
    <s v="Chengdu"/>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s v="Ord-1"/>
    <x v="0"/>
    <x v="0"/>
    <x v="0"/>
    <n v="6"/>
    <n v="80"/>
    <n v="480"/>
    <n v="0.01"/>
    <n v="4.8"/>
    <x v="0"/>
  </r>
  <r>
    <s v="Ord-2"/>
    <x v="0"/>
    <x v="1"/>
    <x v="1"/>
    <n v="14"/>
    <n v="40"/>
    <n v="560"/>
    <n v="0.06"/>
    <n v="33.6"/>
    <x v="1"/>
  </r>
  <r>
    <s v="Ord-3"/>
    <x v="0"/>
    <x v="2"/>
    <x v="1"/>
    <n v="22"/>
    <n v="230"/>
    <n v="5060"/>
    <n v="0.11"/>
    <n v="556.6"/>
    <x v="2"/>
  </r>
  <r>
    <s v="Ord-4"/>
    <x v="0"/>
    <x v="2"/>
    <x v="0"/>
    <n v="8"/>
    <n v="230"/>
    <n v="1840"/>
    <n v="0.03"/>
    <n v="55.199999999999996"/>
    <x v="3"/>
  </r>
  <r>
    <s v="Ord-5"/>
    <x v="0"/>
    <x v="2"/>
    <x v="2"/>
    <n v="12"/>
    <n v="230"/>
    <n v="2760"/>
    <n v="0.03"/>
    <n v="82.8"/>
    <x v="4"/>
  </r>
  <r>
    <s v="Ord-6"/>
    <x v="0"/>
    <x v="0"/>
    <x v="3"/>
    <n v="19"/>
    <n v="80"/>
    <n v="1520"/>
    <n v="0.02"/>
    <n v="30.400000000000002"/>
    <x v="5"/>
  </r>
  <r>
    <s v="Ord-7"/>
    <x v="0"/>
    <x v="3"/>
    <x v="4"/>
    <n v="17"/>
    <n v="16"/>
    <n v="272"/>
    <n v="0.08"/>
    <n v="21.76"/>
    <x v="6"/>
  </r>
  <r>
    <s v="Ord-8"/>
    <x v="0"/>
    <x v="4"/>
    <x v="3"/>
    <n v="7"/>
    <n v="150"/>
    <n v="1050"/>
    <n v="0.05"/>
    <n v="52.5"/>
    <x v="7"/>
  </r>
  <r>
    <s v="Ord-9"/>
    <x v="0"/>
    <x v="4"/>
    <x v="3"/>
    <n v="20"/>
    <n v="150"/>
    <n v="3000"/>
    <n v="0.1"/>
    <n v="300"/>
    <x v="8"/>
  </r>
  <r>
    <s v="Ord-10"/>
    <x v="0"/>
    <x v="3"/>
    <x v="0"/>
    <n v="21"/>
    <n v="16"/>
    <n v="336"/>
    <n v="0.09"/>
    <n v="30.24"/>
    <x v="9"/>
  </r>
  <r>
    <s v="Ord-11"/>
    <x v="0"/>
    <x v="2"/>
    <x v="1"/>
    <n v="7"/>
    <n v="230"/>
    <n v="1610"/>
    <n v="0.01"/>
    <n v="16.100000000000001"/>
    <x v="10"/>
  </r>
  <r>
    <s v="Ord-12"/>
    <x v="1"/>
    <x v="0"/>
    <x v="3"/>
    <n v="7"/>
    <n v="80"/>
    <n v="560"/>
    <n v="7.0000000000000007E-2"/>
    <n v="39.200000000000003"/>
    <x v="11"/>
  </r>
  <r>
    <s v="Ord-13"/>
    <x v="1"/>
    <x v="0"/>
    <x v="4"/>
    <n v="9"/>
    <n v="80"/>
    <n v="720"/>
    <n v="0.02"/>
    <n v="14.4"/>
    <x v="0"/>
  </r>
  <r>
    <s v="Ord-14"/>
    <x v="1"/>
    <x v="1"/>
    <x v="4"/>
    <n v="16"/>
    <n v="40"/>
    <n v="640"/>
    <n v="0.09"/>
    <n v="57.599999999999994"/>
    <x v="1"/>
  </r>
  <r>
    <s v="Ord-15"/>
    <x v="1"/>
    <x v="4"/>
    <x v="1"/>
    <n v="23"/>
    <n v="150"/>
    <n v="3450"/>
    <n v="0.11"/>
    <n v="379.5"/>
    <x v="2"/>
  </r>
  <r>
    <s v="Ord-16"/>
    <x v="1"/>
    <x v="3"/>
    <x v="3"/>
    <n v="22"/>
    <n v="16"/>
    <n v="352"/>
    <n v="0.03"/>
    <n v="10.559999999999999"/>
    <x v="3"/>
  </r>
  <r>
    <s v="Ord-17"/>
    <x v="1"/>
    <x v="1"/>
    <x v="3"/>
    <n v="23"/>
    <n v="40"/>
    <n v="920"/>
    <n v="0.06"/>
    <n v="55.199999999999996"/>
    <x v="4"/>
  </r>
  <r>
    <s v="Ord-18"/>
    <x v="1"/>
    <x v="0"/>
    <x v="0"/>
    <n v="20"/>
    <n v="80"/>
    <n v="1600"/>
    <n v="0.01"/>
    <n v="16"/>
    <x v="5"/>
  </r>
  <r>
    <s v="Ord-19"/>
    <x v="2"/>
    <x v="0"/>
    <x v="3"/>
    <n v="11"/>
    <n v="80"/>
    <n v="880"/>
    <n v="0.01"/>
    <n v="8.8000000000000007"/>
    <x v="6"/>
  </r>
  <r>
    <s v="Ord-20"/>
    <x v="2"/>
    <x v="1"/>
    <x v="3"/>
    <n v="9"/>
    <n v="40"/>
    <n v="360"/>
    <n v="0.06"/>
    <n v="21.599999999999998"/>
    <x v="7"/>
  </r>
  <r>
    <s v="Ord-21"/>
    <x v="2"/>
    <x v="0"/>
    <x v="4"/>
    <n v="16"/>
    <n v="80"/>
    <n v="1280"/>
    <n v="0.09"/>
    <n v="115.19999999999999"/>
    <x v="8"/>
  </r>
  <r>
    <s v="Ord-22"/>
    <x v="2"/>
    <x v="0"/>
    <x v="2"/>
    <n v="10"/>
    <n v="80"/>
    <n v="800"/>
    <n v="0.08"/>
    <n v="64"/>
    <x v="9"/>
  </r>
  <r>
    <s v="Ord-23"/>
    <x v="2"/>
    <x v="3"/>
    <x v="2"/>
    <n v="12"/>
    <n v="16"/>
    <n v="192"/>
    <n v="0.11"/>
    <n v="21.12"/>
    <x v="10"/>
  </r>
  <r>
    <s v="Ord-24"/>
    <x v="2"/>
    <x v="4"/>
    <x v="3"/>
    <n v="6"/>
    <n v="150"/>
    <n v="900"/>
    <n v="0.03"/>
    <n v="27"/>
    <x v="11"/>
  </r>
  <r>
    <s v="Ord-25"/>
    <x v="2"/>
    <x v="3"/>
    <x v="2"/>
    <n v="11"/>
    <n v="16"/>
    <n v="176"/>
    <n v="0.04"/>
    <n v="7.04"/>
    <x v="0"/>
  </r>
  <r>
    <s v="Ord-26"/>
    <x v="2"/>
    <x v="0"/>
    <x v="3"/>
    <n v="22"/>
    <n v="80"/>
    <n v="1760"/>
    <n v="0.03"/>
    <n v="52.8"/>
    <x v="1"/>
  </r>
  <r>
    <s v="Ord-27"/>
    <x v="2"/>
    <x v="3"/>
    <x v="1"/>
    <n v="7"/>
    <n v="16"/>
    <n v="112"/>
    <n v="0.08"/>
    <n v="8.9600000000000009"/>
    <x v="2"/>
  </r>
  <r>
    <s v="Ord-28"/>
    <x v="2"/>
    <x v="1"/>
    <x v="3"/>
    <n v="13"/>
    <n v="40"/>
    <n v="520"/>
    <n v="0.09"/>
    <n v="46.8"/>
    <x v="3"/>
  </r>
  <r>
    <s v="Ord-29"/>
    <x v="2"/>
    <x v="2"/>
    <x v="3"/>
    <n v="8"/>
    <n v="230"/>
    <n v="1840"/>
    <n v="0.05"/>
    <n v="92"/>
    <x v="4"/>
  </r>
  <r>
    <s v="Ord-30"/>
    <x v="2"/>
    <x v="3"/>
    <x v="3"/>
    <n v="14"/>
    <n v="16"/>
    <n v="224"/>
    <n v="0.12"/>
    <n v="26.88"/>
    <x v="5"/>
  </r>
  <r>
    <s v="Ord-31"/>
    <x v="2"/>
    <x v="1"/>
    <x v="4"/>
    <n v="16"/>
    <n v="40"/>
    <n v="640"/>
    <n v="0.09"/>
    <n v="57.599999999999994"/>
    <x v="6"/>
  </r>
  <r>
    <s v="Ord-32"/>
    <x v="3"/>
    <x v="4"/>
    <x v="1"/>
    <n v="16"/>
    <n v="150"/>
    <n v="2400"/>
    <n v="0.05"/>
    <n v="120"/>
    <x v="7"/>
  </r>
  <r>
    <s v="Ord-33"/>
    <x v="3"/>
    <x v="1"/>
    <x v="1"/>
    <n v="12"/>
    <n v="40"/>
    <n v="480"/>
    <n v="0.1"/>
    <n v="48"/>
    <x v="8"/>
  </r>
  <r>
    <s v="Ord-34"/>
    <x v="3"/>
    <x v="0"/>
    <x v="4"/>
    <n v="17"/>
    <n v="80"/>
    <n v="1360"/>
    <n v="7.0000000000000007E-2"/>
    <n v="95.2"/>
    <x v="9"/>
  </r>
  <r>
    <s v="Ord-35"/>
    <x v="3"/>
    <x v="2"/>
    <x v="3"/>
    <n v="19"/>
    <n v="230"/>
    <n v="4370"/>
    <n v="0.06"/>
    <n v="262.2"/>
    <x v="10"/>
  </r>
  <r>
    <s v="Ord-36"/>
    <x v="3"/>
    <x v="2"/>
    <x v="4"/>
    <n v="22"/>
    <n v="230"/>
    <n v="5060"/>
    <n v="0.1"/>
    <n v="506"/>
    <x v="11"/>
  </r>
  <r>
    <s v="Ord-37"/>
    <x v="3"/>
    <x v="1"/>
    <x v="3"/>
    <n v="22"/>
    <n v="40"/>
    <n v="880"/>
    <n v="0.01"/>
    <n v="8.8000000000000007"/>
    <x v="0"/>
  </r>
  <r>
    <s v="Ord-38"/>
    <x v="3"/>
    <x v="3"/>
    <x v="3"/>
    <n v="10"/>
    <n v="16"/>
    <n v="160"/>
    <n v="0.04"/>
    <n v="6.4"/>
    <x v="1"/>
  </r>
  <r>
    <s v="Ord-39"/>
    <x v="3"/>
    <x v="1"/>
    <x v="1"/>
    <n v="4"/>
    <n v="40"/>
    <n v="160"/>
    <n v="0.12"/>
    <n v="19.2"/>
    <x v="2"/>
  </r>
  <r>
    <s v="Ord-40"/>
    <x v="3"/>
    <x v="1"/>
    <x v="4"/>
    <n v="20"/>
    <n v="40"/>
    <n v="800"/>
    <n v="0.05"/>
    <n v="40"/>
    <x v="3"/>
  </r>
  <r>
    <s v="Ord-41"/>
    <x v="4"/>
    <x v="2"/>
    <x v="3"/>
    <n v="23"/>
    <n v="230"/>
    <n v="5290"/>
    <n v="0.06"/>
    <n v="317.39999999999998"/>
    <x v="4"/>
  </r>
  <r>
    <s v="Ord-42"/>
    <x v="4"/>
    <x v="1"/>
    <x v="2"/>
    <n v="20"/>
    <n v="40"/>
    <n v="800"/>
    <n v="0.01"/>
    <n v="8"/>
    <x v="5"/>
  </r>
  <r>
    <s v="Ord-43"/>
    <x v="4"/>
    <x v="4"/>
    <x v="2"/>
    <n v="20"/>
    <n v="150"/>
    <n v="3000"/>
    <n v="0.04"/>
    <n v="120"/>
    <x v="6"/>
  </r>
  <r>
    <s v="Ord-44"/>
    <x v="4"/>
    <x v="0"/>
    <x v="1"/>
    <n v="9"/>
    <n v="80"/>
    <n v="720"/>
    <n v="0.03"/>
    <n v="21.599999999999998"/>
    <x v="7"/>
  </r>
  <r>
    <s v="Ord-45"/>
    <x v="4"/>
    <x v="2"/>
    <x v="0"/>
    <n v="7"/>
    <n v="230"/>
    <n v="1610"/>
    <n v="0.02"/>
    <n v="32.200000000000003"/>
    <x v="8"/>
  </r>
  <r>
    <s v="Ord-46"/>
    <x v="4"/>
    <x v="2"/>
    <x v="0"/>
    <n v="3"/>
    <n v="230"/>
    <n v="690"/>
    <n v="0.06"/>
    <n v="41.4"/>
    <x v="9"/>
  </r>
  <r>
    <s v="Ord-47"/>
    <x v="4"/>
    <x v="4"/>
    <x v="0"/>
    <n v="13"/>
    <n v="150"/>
    <n v="1950"/>
    <n v="0.05"/>
    <n v="97.5"/>
    <x v="10"/>
  </r>
  <r>
    <s v="Ord-48"/>
    <x v="4"/>
    <x v="0"/>
    <x v="0"/>
    <n v="17"/>
    <n v="80"/>
    <n v="1360"/>
    <n v="0.09"/>
    <n v="122.39999999999999"/>
    <x v="11"/>
  </r>
  <r>
    <s v="Ord-49"/>
    <x v="5"/>
    <x v="1"/>
    <x v="3"/>
    <n v="18"/>
    <n v="40"/>
    <n v="720"/>
    <n v="0.06"/>
    <n v="43.199999999999996"/>
    <x v="0"/>
  </r>
  <r>
    <s v="Ord-50"/>
    <x v="5"/>
    <x v="3"/>
    <x v="2"/>
    <n v="23"/>
    <n v="16"/>
    <n v="368"/>
    <n v="0.11"/>
    <n v="40.479999999999997"/>
    <x v="1"/>
  </r>
  <r>
    <s v="Ord-51"/>
    <x v="5"/>
    <x v="2"/>
    <x v="2"/>
    <n v="20"/>
    <n v="230"/>
    <n v="4600"/>
    <n v="0.06"/>
    <n v="276"/>
    <x v="2"/>
  </r>
  <r>
    <s v="Ord-52"/>
    <x v="5"/>
    <x v="3"/>
    <x v="0"/>
    <n v="11"/>
    <n v="16"/>
    <n v="176"/>
    <n v="0.09"/>
    <n v="15.84"/>
    <x v="3"/>
  </r>
  <r>
    <s v="Ord-53"/>
    <x v="5"/>
    <x v="4"/>
    <x v="4"/>
    <n v="15"/>
    <n v="150"/>
    <n v="2250"/>
    <n v="7.0000000000000007E-2"/>
    <n v="157.50000000000003"/>
    <x v="4"/>
  </r>
  <r>
    <s v="Ord-54"/>
    <x v="5"/>
    <x v="2"/>
    <x v="1"/>
    <n v="6"/>
    <n v="230"/>
    <n v="1380"/>
    <n v="0.1"/>
    <n v="138"/>
    <x v="5"/>
  </r>
  <r>
    <s v="Ord-55"/>
    <x v="5"/>
    <x v="1"/>
    <x v="0"/>
    <n v="22"/>
    <n v="40"/>
    <n v="880"/>
    <n v="0.02"/>
    <n v="17.600000000000001"/>
    <x v="6"/>
  </r>
  <r>
    <s v="Ord-56"/>
    <x v="5"/>
    <x v="1"/>
    <x v="0"/>
    <n v="15"/>
    <n v="40"/>
    <n v="600"/>
    <n v="0.06"/>
    <n v="36"/>
    <x v="7"/>
  </r>
  <r>
    <s v="Ord-57"/>
    <x v="5"/>
    <x v="3"/>
    <x v="2"/>
    <n v="12"/>
    <n v="16"/>
    <n v="192"/>
    <n v="0.03"/>
    <n v="5.76"/>
    <x v="8"/>
  </r>
  <r>
    <s v="Ord-58"/>
    <x v="5"/>
    <x v="3"/>
    <x v="4"/>
    <n v="22"/>
    <n v="16"/>
    <n v="352"/>
    <n v="0.12"/>
    <n v="42.239999999999995"/>
    <x v="9"/>
  </r>
  <r>
    <s v="Ord-59"/>
    <x v="5"/>
    <x v="0"/>
    <x v="0"/>
    <n v="21"/>
    <n v="80"/>
    <n v="1680"/>
    <n v="0.04"/>
    <n v="67.2"/>
    <x v="10"/>
  </r>
  <r>
    <s v="Ord-60"/>
    <x v="5"/>
    <x v="4"/>
    <x v="0"/>
    <n v="22"/>
    <n v="150"/>
    <n v="3300"/>
    <n v="0.05"/>
    <n v="165"/>
    <x v="11"/>
  </r>
  <r>
    <s v="Ord-61"/>
    <x v="5"/>
    <x v="0"/>
    <x v="4"/>
    <n v="21"/>
    <n v="80"/>
    <n v="1680"/>
    <n v="0.09"/>
    <n v="151.19999999999999"/>
    <x v="0"/>
  </r>
  <r>
    <s v="Ord-62"/>
    <x v="5"/>
    <x v="0"/>
    <x v="3"/>
    <n v="10"/>
    <n v="80"/>
    <n v="800"/>
    <n v="0.1"/>
    <n v="80"/>
    <x v="1"/>
  </r>
  <r>
    <s v="Ord-63"/>
    <x v="5"/>
    <x v="2"/>
    <x v="1"/>
    <n v="15"/>
    <n v="230"/>
    <n v="3450"/>
    <n v="0.09"/>
    <n v="310.5"/>
    <x v="2"/>
  </r>
  <r>
    <s v="Ord-64"/>
    <x v="6"/>
    <x v="0"/>
    <x v="0"/>
    <n v="14"/>
    <n v="80"/>
    <n v="1120"/>
    <n v="0.08"/>
    <n v="89.600000000000009"/>
    <x v="3"/>
  </r>
  <r>
    <s v="Ord-65"/>
    <x v="6"/>
    <x v="0"/>
    <x v="4"/>
    <n v="10"/>
    <n v="80"/>
    <n v="800"/>
    <n v="0.06"/>
    <n v="48"/>
    <x v="4"/>
  </r>
  <r>
    <s v="Ord-66"/>
    <x v="6"/>
    <x v="4"/>
    <x v="0"/>
    <n v="5"/>
    <n v="150"/>
    <n v="750"/>
    <n v="0.11"/>
    <n v="82.5"/>
    <x v="5"/>
  </r>
  <r>
    <s v="Ord-67"/>
    <x v="6"/>
    <x v="2"/>
    <x v="3"/>
    <n v="3"/>
    <n v="230"/>
    <n v="690"/>
    <n v="0.01"/>
    <n v="6.9"/>
    <x v="6"/>
  </r>
  <r>
    <s v="Ord-68"/>
    <x v="6"/>
    <x v="1"/>
    <x v="3"/>
    <n v="4"/>
    <n v="40"/>
    <n v="160"/>
    <n v="0.05"/>
    <n v="8"/>
    <x v="7"/>
  </r>
  <r>
    <s v="Ord-69"/>
    <x v="6"/>
    <x v="4"/>
    <x v="2"/>
    <n v="18"/>
    <n v="150"/>
    <n v="2700"/>
    <n v="0.06"/>
    <n v="162"/>
    <x v="8"/>
  </r>
  <r>
    <s v="Ord-70"/>
    <x v="6"/>
    <x v="1"/>
    <x v="4"/>
    <n v="20"/>
    <n v="40"/>
    <n v="800"/>
    <n v="0.1"/>
    <n v="80"/>
    <x v="9"/>
  </r>
  <r>
    <s v="Ord-71"/>
    <x v="6"/>
    <x v="0"/>
    <x v="3"/>
    <n v="16"/>
    <n v="80"/>
    <n v="1280"/>
    <n v="0.05"/>
    <n v="64"/>
    <x v="0"/>
  </r>
  <r>
    <s v="Ord-72"/>
    <x v="6"/>
    <x v="1"/>
    <x v="2"/>
    <n v="4"/>
    <n v="40"/>
    <n v="160"/>
    <n v="0.06"/>
    <n v="9.6"/>
    <x v="1"/>
  </r>
  <r>
    <s v="Ord-73"/>
    <x v="6"/>
    <x v="1"/>
    <x v="1"/>
    <n v="4"/>
    <n v="40"/>
    <n v="160"/>
    <n v="0.03"/>
    <n v="4.8"/>
    <x v="2"/>
  </r>
  <r>
    <s v="Ord-74"/>
    <x v="6"/>
    <x v="1"/>
    <x v="1"/>
    <n v="15"/>
    <n v="40"/>
    <n v="600"/>
    <n v="0.02"/>
    <n v="12"/>
    <x v="3"/>
  </r>
  <r>
    <s v="Ord-75"/>
    <x v="6"/>
    <x v="1"/>
    <x v="2"/>
    <n v="20"/>
    <n v="40"/>
    <n v="800"/>
    <n v="0.01"/>
    <n v="8"/>
    <x v="4"/>
  </r>
  <r>
    <s v="Ord-76"/>
    <x v="6"/>
    <x v="3"/>
    <x v="4"/>
    <n v="14"/>
    <n v="16"/>
    <n v="224"/>
    <n v="0.06"/>
    <n v="13.44"/>
    <x v="5"/>
  </r>
  <r>
    <s v="Ord-77"/>
    <x v="7"/>
    <x v="4"/>
    <x v="2"/>
    <n v="11"/>
    <n v="150"/>
    <n v="1650"/>
    <n v="0.11"/>
    <n v="181.5"/>
    <x v="6"/>
  </r>
  <r>
    <s v="Ord-78"/>
    <x v="7"/>
    <x v="4"/>
    <x v="2"/>
    <n v="9"/>
    <n v="150"/>
    <n v="1350"/>
    <n v="0.02"/>
    <n v="27"/>
    <x v="7"/>
  </r>
  <r>
    <s v="Ord-79"/>
    <x v="7"/>
    <x v="3"/>
    <x v="4"/>
    <n v="11"/>
    <n v="16"/>
    <n v="176"/>
    <n v="0.12"/>
    <n v="21.119999999999997"/>
    <x v="8"/>
  </r>
  <r>
    <s v="Ord-80"/>
    <x v="7"/>
    <x v="1"/>
    <x v="2"/>
    <n v="13"/>
    <n v="40"/>
    <n v="520"/>
    <n v="0.02"/>
    <n v="10.4"/>
    <x v="9"/>
  </r>
  <r>
    <s v="Ord-81"/>
    <x v="7"/>
    <x v="1"/>
    <x v="2"/>
    <n v="4"/>
    <n v="40"/>
    <n v="160"/>
    <n v="0.1"/>
    <n v="16"/>
    <x v="10"/>
  </r>
  <r>
    <s v="Ord-82"/>
    <x v="7"/>
    <x v="2"/>
    <x v="0"/>
    <n v="3"/>
    <n v="230"/>
    <n v="690"/>
    <n v="0.11"/>
    <n v="75.900000000000006"/>
    <x v="11"/>
  </r>
  <r>
    <s v="Ord-83"/>
    <x v="7"/>
    <x v="0"/>
    <x v="2"/>
    <n v="6"/>
    <n v="80"/>
    <n v="480"/>
    <n v="0.09"/>
    <n v="43.199999999999996"/>
    <x v="0"/>
  </r>
  <r>
    <s v="Ord-84"/>
    <x v="7"/>
    <x v="4"/>
    <x v="0"/>
    <n v="9"/>
    <n v="150"/>
    <n v="1350"/>
    <n v="0.1"/>
    <n v="135"/>
    <x v="1"/>
  </r>
  <r>
    <s v="Ord-85"/>
    <x v="7"/>
    <x v="0"/>
    <x v="1"/>
    <n v="14"/>
    <n v="80"/>
    <n v="1120"/>
    <n v="0.11"/>
    <n v="123.2"/>
    <x v="2"/>
  </r>
  <r>
    <s v="Ord-86"/>
    <x v="7"/>
    <x v="0"/>
    <x v="0"/>
    <n v="18"/>
    <n v="80"/>
    <n v="1440"/>
    <n v="0.02"/>
    <n v="28.8"/>
    <x v="3"/>
  </r>
  <r>
    <s v="Ord-87"/>
    <x v="7"/>
    <x v="1"/>
    <x v="0"/>
    <n v="20"/>
    <n v="40"/>
    <n v="800"/>
    <n v="0.04"/>
    <n v="32"/>
    <x v="4"/>
  </r>
  <r>
    <s v="Ord-88"/>
    <x v="8"/>
    <x v="3"/>
    <x v="2"/>
    <n v="8"/>
    <n v="16"/>
    <n v="128"/>
    <n v="0.03"/>
    <n v="3.84"/>
    <x v="5"/>
  </r>
  <r>
    <s v="Ord-89"/>
    <x v="8"/>
    <x v="0"/>
    <x v="1"/>
    <n v="14"/>
    <n v="80"/>
    <n v="1120"/>
    <n v="0.06"/>
    <n v="67.2"/>
    <x v="6"/>
  </r>
  <r>
    <s v="Ord-90"/>
    <x v="8"/>
    <x v="4"/>
    <x v="0"/>
    <n v="20"/>
    <n v="150"/>
    <n v="3000"/>
    <n v="0.01"/>
    <n v="30"/>
    <x v="7"/>
  </r>
  <r>
    <s v="Ord-91"/>
    <x v="8"/>
    <x v="1"/>
    <x v="3"/>
    <n v="15"/>
    <n v="40"/>
    <n v="600"/>
    <n v="0.03"/>
    <n v="18"/>
    <x v="8"/>
  </r>
  <r>
    <s v="Ord-92"/>
    <x v="8"/>
    <x v="1"/>
    <x v="1"/>
    <n v="18"/>
    <n v="40"/>
    <n v="720"/>
    <n v="0.08"/>
    <n v="57.6"/>
    <x v="9"/>
  </r>
  <r>
    <s v="Ord-93"/>
    <x v="8"/>
    <x v="1"/>
    <x v="4"/>
    <n v="11"/>
    <n v="40"/>
    <n v="440"/>
    <n v="0.05"/>
    <n v="22"/>
    <x v="10"/>
  </r>
  <r>
    <s v="Ord-94"/>
    <x v="9"/>
    <x v="1"/>
    <x v="4"/>
    <n v="23"/>
    <n v="40"/>
    <n v="920"/>
    <n v="0.04"/>
    <n v="36.800000000000004"/>
    <x v="11"/>
  </r>
  <r>
    <s v="Ord-95"/>
    <x v="9"/>
    <x v="3"/>
    <x v="4"/>
    <n v="17"/>
    <n v="16"/>
    <n v="272"/>
    <n v="0.1"/>
    <n v="27.200000000000003"/>
    <x v="0"/>
  </r>
  <r>
    <s v="Ord-96"/>
    <x v="9"/>
    <x v="3"/>
    <x v="1"/>
    <n v="4"/>
    <n v="16"/>
    <n v="64"/>
    <n v="7.0000000000000007E-2"/>
    <n v="4.4800000000000004"/>
    <x v="1"/>
  </r>
  <r>
    <s v="Ord-97"/>
    <x v="9"/>
    <x v="0"/>
    <x v="2"/>
    <n v="23"/>
    <n v="80"/>
    <n v="1840"/>
    <n v="0.05"/>
    <n v="92"/>
    <x v="2"/>
  </r>
  <r>
    <s v="Ord-98"/>
    <x v="9"/>
    <x v="2"/>
    <x v="2"/>
    <n v="10"/>
    <n v="230"/>
    <n v="2300"/>
    <n v="0.02"/>
    <n v="46"/>
    <x v="3"/>
  </r>
  <r>
    <s v="Ord-99"/>
    <x v="9"/>
    <x v="3"/>
    <x v="2"/>
    <n v="14"/>
    <n v="16"/>
    <n v="224"/>
    <n v="0.01"/>
    <n v="2.2400000000000002"/>
    <x v="4"/>
  </r>
  <r>
    <s v="Ord-100"/>
    <x v="9"/>
    <x v="1"/>
    <x v="1"/>
    <n v="19"/>
    <n v="40"/>
    <n v="760"/>
    <n v="0.1"/>
    <n v="76"/>
    <x v="5"/>
  </r>
  <r>
    <s v="Ord-101"/>
    <x v="9"/>
    <x v="0"/>
    <x v="4"/>
    <n v="22"/>
    <n v="80"/>
    <n v="1760"/>
    <n v="0.09"/>
    <n v="158.4"/>
    <x v="6"/>
  </r>
  <r>
    <s v="Ord-102"/>
    <x v="9"/>
    <x v="3"/>
    <x v="0"/>
    <n v="18"/>
    <n v="16"/>
    <n v="288"/>
    <n v="0.05"/>
    <n v="14.4"/>
    <x v="7"/>
  </r>
  <r>
    <s v="Ord-103"/>
    <x v="9"/>
    <x v="1"/>
    <x v="0"/>
    <n v="18"/>
    <n v="40"/>
    <n v="720"/>
    <n v="0.11"/>
    <n v="79.2"/>
    <x v="8"/>
  </r>
  <r>
    <s v="Ord-104"/>
    <x v="9"/>
    <x v="1"/>
    <x v="4"/>
    <n v="21"/>
    <n v="40"/>
    <n v="840"/>
    <n v="0.01"/>
    <n v="8.4"/>
    <x v="9"/>
  </r>
  <r>
    <s v="Ord-105"/>
    <x v="9"/>
    <x v="0"/>
    <x v="0"/>
    <n v="6"/>
    <n v="80"/>
    <n v="480"/>
    <n v="7.0000000000000007E-2"/>
    <n v="33.6"/>
    <x v="10"/>
  </r>
  <r>
    <s v="Ord-106"/>
    <x v="9"/>
    <x v="4"/>
    <x v="4"/>
    <n v="17"/>
    <n v="150"/>
    <n v="2550"/>
    <n v="0.02"/>
    <n v="51"/>
    <x v="11"/>
  </r>
  <r>
    <s v="Ord-107"/>
    <x v="9"/>
    <x v="0"/>
    <x v="2"/>
    <n v="16"/>
    <n v="80"/>
    <n v="1280"/>
    <n v="0.02"/>
    <n v="25.6"/>
    <x v="0"/>
  </r>
  <r>
    <s v="Ord-108"/>
    <x v="9"/>
    <x v="1"/>
    <x v="1"/>
    <n v="15"/>
    <n v="40"/>
    <n v="600"/>
    <n v="0.04"/>
    <n v="24"/>
    <x v="1"/>
  </r>
  <r>
    <s v="Ord-109"/>
    <x v="9"/>
    <x v="2"/>
    <x v="3"/>
    <n v="2"/>
    <n v="230"/>
    <n v="460"/>
    <n v="0.08"/>
    <n v="36.800000000000004"/>
    <x v="2"/>
  </r>
  <r>
    <s v="Ord-110"/>
    <x v="9"/>
    <x v="1"/>
    <x v="4"/>
    <n v="3"/>
    <n v="40"/>
    <n v="120"/>
    <n v="0.03"/>
    <n v="3.5999999999999996"/>
    <x v="3"/>
  </r>
  <r>
    <s v="Ord-111"/>
    <x v="9"/>
    <x v="2"/>
    <x v="4"/>
    <n v="21"/>
    <n v="230"/>
    <n v="4830"/>
    <n v="0.05"/>
    <n v="241.5"/>
    <x v="4"/>
  </r>
  <r>
    <s v="Ord-112"/>
    <x v="9"/>
    <x v="4"/>
    <x v="0"/>
    <n v="11"/>
    <n v="150"/>
    <n v="1650"/>
    <n v="0.05"/>
    <n v="82.5"/>
    <x v="5"/>
  </r>
  <r>
    <s v="Ord-113"/>
    <x v="10"/>
    <x v="4"/>
    <x v="1"/>
    <n v="15"/>
    <n v="150"/>
    <n v="2250"/>
    <n v="0.02"/>
    <n v="45"/>
    <x v="6"/>
  </r>
  <r>
    <s v="Ord-114"/>
    <x v="10"/>
    <x v="0"/>
    <x v="3"/>
    <n v="16"/>
    <n v="80"/>
    <n v="1280"/>
    <n v="0.1"/>
    <n v="128"/>
    <x v="7"/>
  </r>
  <r>
    <s v="Ord-115"/>
    <x v="10"/>
    <x v="2"/>
    <x v="4"/>
    <n v="17"/>
    <n v="230"/>
    <n v="3910"/>
    <n v="0.11"/>
    <n v="430.1"/>
    <x v="8"/>
  </r>
  <r>
    <s v="Ord-116"/>
    <x v="10"/>
    <x v="1"/>
    <x v="4"/>
    <n v="16"/>
    <n v="40"/>
    <n v="640"/>
    <n v="0.11"/>
    <n v="70.400000000000006"/>
    <x v="9"/>
  </r>
  <r>
    <s v="Ord-117"/>
    <x v="10"/>
    <x v="0"/>
    <x v="3"/>
    <n v="2"/>
    <n v="80"/>
    <n v="160"/>
    <n v="0.08"/>
    <n v="12.8"/>
    <x v="10"/>
  </r>
  <r>
    <s v="Ord-118"/>
    <x v="10"/>
    <x v="4"/>
    <x v="1"/>
    <n v="22"/>
    <n v="150"/>
    <n v="3300"/>
    <n v="0.02"/>
    <n v="66"/>
    <x v="11"/>
  </r>
  <r>
    <s v="Ord-119"/>
    <x v="10"/>
    <x v="0"/>
    <x v="0"/>
    <n v="16"/>
    <n v="80"/>
    <n v="1280"/>
    <n v="0.03"/>
    <n v="38.4"/>
    <x v="0"/>
  </r>
  <r>
    <s v="Ord-120"/>
    <x v="11"/>
    <x v="3"/>
    <x v="0"/>
    <n v="20"/>
    <n v="16"/>
    <n v="320"/>
    <n v="0.11"/>
    <n v="35.200000000000003"/>
    <x v="1"/>
  </r>
  <r>
    <s v="Ord-121"/>
    <x v="11"/>
    <x v="0"/>
    <x v="4"/>
    <n v="9"/>
    <n v="80"/>
    <n v="720"/>
    <n v="7.0000000000000007E-2"/>
    <n v="50.400000000000006"/>
    <x v="2"/>
  </r>
  <r>
    <s v="Ord-122"/>
    <x v="11"/>
    <x v="2"/>
    <x v="4"/>
    <n v="5"/>
    <n v="230"/>
    <n v="1150"/>
    <n v="0.12"/>
    <n v="138"/>
    <x v="3"/>
  </r>
  <r>
    <s v="Ord-123"/>
    <x v="11"/>
    <x v="3"/>
    <x v="0"/>
    <n v="20"/>
    <n v="16"/>
    <n v="320"/>
    <n v="0.01"/>
    <n v="3.2"/>
    <x v="4"/>
  </r>
  <r>
    <s v="Ord-124"/>
    <x v="11"/>
    <x v="3"/>
    <x v="0"/>
    <n v="16"/>
    <n v="16"/>
    <n v="256"/>
    <n v="0.03"/>
    <n v="7.68"/>
    <x v="5"/>
  </r>
  <r>
    <s v="Ord-125"/>
    <x v="11"/>
    <x v="4"/>
    <x v="3"/>
    <n v="15"/>
    <n v="150"/>
    <n v="2250"/>
    <n v="0.05"/>
    <n v="112.5"/>
    <x v="6"/>
  </r>
  <r>
    <s v="Ord-126"/>
    <x v="11"/>
    <x v="2"/>
    <x v="1"/>
    <n v="19"/>
    <n v="230"/>
    <n v="4370"/>
    <n v="0.11"/>
    <n v="480.7"/>
    <x v="7"/>
  </r>
  <r>
    <s v="Ord-127"/>
    <x v="12"/>
    <x v="4"/>
    <x v="2"/>
    <n v="2"/>
    <n v="150"/>
    <n v="300"/>
    <n v="0.02"/>
    <n v="6"/>
    <x v="8"/>
  </r>
  <r>
    <s v="Ord-128"/>
    <x v="12"/>
    <x v="0"/>
    <x v="4"/>
    <n v="16"/>
    <n v="80"/>
    <n v="1280"/>
    <n v="0.05"/>
    <n v="64"/>
    <x v="9"/>
  </r>
  <r>
    <s v="Ord-129"/>
    <x v="12"/>
    <x v="1"/>
    <x v="2"/>
    <n v="2"/>
    <n v="40"/>
    <n v="80"/>
    <n v="0.03"/>
    <n v="2.4"/>
    <x v="10"/>
  </r>
  <r>
    <s v="Ord-130"/>
    <x v="12"/>
    <x v="0"/>
    <x v="1"/>
    <n v="5"/>
    <n v="80"/>
    <n v="400"/>
    <n v="0.04"/>
    <n v="16"/>
    <x v="11"/>
  </r>
  <r>
    <s v="Ord-131"/>
    <x v="12"/>
    <x v="2"/>
    <x v="3"/>
    <n v="17"/>
    <n v="230"/>
    <n v="3910"/>
    <n v="0.12"/>
    <n v="469.2"/>
    <x v="0"/>
  </r>
  <r>
    <s v="Ord-132"/>
    <x v="12"/>
    <x v="0"/>
    <x v="0"/>
    <n v="8"/>
    <n v="80"/>
    <n v="640"/>
    <n v="0.08"/>
    <n v="51.2"/>
    <x v="1"/>
  </r>
  <r>
    <s v="Ord-133"/>
    <x v="12"/>
    <x v="1"/>
    <x v="1"/>
    <n v="4"/>
    <n v="40"/>
    <n v="160"/>
    <n v="0.06"/>
    <n v="9.6"/>
    <x v="2"/>
  </r>
  <r>
    <s v="Ord-134"/>
    <x v="12"/>
    <x v="3"/>
    <x v="2"/>
    <n v="17"/>
    <n v="16"/>
    <n v="272"/>
    <n v="0.05"/>
    <n v="13.600000000000001"/>
    <x v="3"/>
  </r>
  <r>
    <s v="Ord-135"/>
    <x v="12"/>
    <x v="2"/>
    <x v="3"/>
    <n v="8"/>
    <n v="230"/>
    <n v="1840"/>
    <n v="0.01"/>
    <n v="18.400000000000002"/>
    <x v="4"/>
  </r>
  <r>
    <s v="Ord-136"/>
    <x v="12"/>
    <x v="3"/>
    <x v="4"/>
    <n v="19"/>
    <n v="16"/>
    <n v="304"/>
    <n v="0.02"/>
    <n v="6.08"/>
    <x v="5"/>
  </r>
  <r>
    <s v="Ord-137"/>
    <x v="13"/>
    <x v="1"/>
    <x v="0"/>
    <n v="18"/>
    <n v="40"/>
    <n v="720"/>
    <n v="0.06"/>
    <n v="43.199999999999996"/>
    <x v="6"/>
  </r>
  <r>
    <s v="Ord-138"/>
    <x v="13"/>
    <x v="4"/>
    <x v="4"/>
    <n v="23"/>
    <n v="150"/>
    <n v="3450"/>
    <n v="0.08"/>
    <n v="276"/>
    <x v="7"/>
  </r>
  <r>
    <s v="Ord-139"/>
    <x v="13"/>
    <x v="2"/>
    <x v="0"/>
    <n v="5"/>
    <n v="230"/>
    <n v="1150"/>
    <n v="0.1"/>
    <n v="115"/>
    <x v="8"/>
  </r>
  <r>
    <s v="Ord-140"/>
    <x v="13"/>
    <x v="0"/>
    <x v="3"/>
    <n v="21"/>
    <n v="80"/>
    <n v="1680"/>
    <n v="0.02"/>
    <n v="33.6"/>
    <x v="9"/>
  </r>
  <r>
    <s v="Ord-141"/>
    <x v="13"/>
    <x v="3"/>
    <x v="2"/>
    <n v="6"/>
    <n v="16"/>
    <n v="96"/>
    <n v="7.0000000000000007E-2"/>
    <n v="6.7200000000000006"/>
    <x v="0"/>
  </r>
  <r>
    <s v="Ord-142"/>
    <x v="13"/>
    <x v="1"/>
    <x v="0"/>
    <n v="9"/>
    <n v="40"/>
    <n v="360"/>
    <n v="0.01"/>
    <n v="3.6"/>
    <x v="1"/>
  </r>
  <r>
    <s v="Ord-143"/>
    <x v="13"/>
    <x v="2"/>
    <x v="1"/>
    <n v="9"/>
    <n v="230"/>
    <n v="2070"/>
    <n v="0.03"/>
    <n v="62.099999999999994"/>
    <x v="2"/>
  </r>
  <r>
    <s v="Ord-144"/>
    <x v="13"/>
    <x v="2"/>
    <x v="2"/>
    <n v="5"/>
    <n v="230"/>
    <n v="1150"/>
    <n v="0.1"/>
    <n v="115"/>
    <x v="3"/>
  </r>
  <r>
    <s v="Ord-145"/>
    <x v="13"/>
    <x v="1"/>
    <x v="3"/>
    <n v="7"/>
    <n v="40"/>
    <n v="280"/>
    <n v="0.11"/>
    <n v="30.8"/>
    <x v="4"/>
  </r>
  <r>
    <s v="Ord-146"/>
    <x v="13"/>
    <x v="2"/>
    <x v="0"/>
    <n v="20"/>
    <n v="230"/>
    <n v="4600"/>
    <n v="0.04"/>
    <n v="184"/>
    <x v="5"/>
  </r>
  <r>
    <s v="Ord-147"/>
    <x v="13"/>
    <x v="4"/>
    <x v="0"/>
    <n v="22"/>
    <n v="150"/>
    <n v="3300"/>
    <n v="7.0000000000000007E-2"/>
    <n v="231.00000000000003"/>
    <x v="6"/>
  </r>
  <r>
    <s v="Ord-148"/>
    <x v="14"/>
    <x v="2"/>
    <x v="2"/>
    <n v="6"/>
    <n v="230"/>
    <n v="1380"/>
    <n v="0.05"/>
    <n v="69"/>
    <x v="7"/>
  </r>
  <r>
    <s v="Ord-149"/>
    <x v="14"/>
    <x v="2"/>
    <x v="2"/>
    <n v="15"/>
    <n v="230"/>
    <n v="3450"/>
    <n v="0.11"/>
    <n v="379.5"/>
    <x v="8"/>
  </r>
  <r>
    <s v="Ord-150"/>
    <x v="14"/>
    <x v="1"/>
    <x v="1"/>
    <n v="8"/>
    <n v="40"/>
    <n v="320"/>
    <n v="0.09"/>
    <n v="28.799999999999997"/>
    <x v="9"/>
  </r>
  <r>
    <s v="Ord-151"/>
    <x v="14"/>
    <x v="1"/>
    <x v="0"/>
    <n v="5"/>
    <n v="40"/>
    <n v="200"/>
    <n v="0.06"/>
    <n v="12"/>
    <x v="10"/>
  </r>
  <r>
    <s v="Ord-152"/>
    <x v="14"/>
    <x v="0"/>
    <x v="4"/>
    <n v="6"/>
    <n v="80"/>
    <n v="480"/>
    <n v="0.09"/>
    <n v="43.199999999999996"/>
    <x v="11"/>
  </r>
  <r>
    <s v="Ord-153"/>
    <x v="14"/>
    <x v="1"/>
    <x v="3"/>
    <n v="22"/>
    <n v="40"/>
    <n v="880"/>
    <n v="0.01"/>
    <n v="8.8000000000000007"/>
    <x v="0"/>
  </r>
  <r>
    <s v="Ord-154"/>
    <x v="14"/>
    <x v="3"/>
    <x v="0"/>
    <n v="7"/>
    <n v="16"/>
    <n v="112"/>
    <n v="0.08"/>
    <n v="8.9600000000000009"/>
    <x v="1"/>
  </r>
  <r>
    <s v="Ord-155"/>
    <x v="14"/>
    <x v="4"/>
    <x v="2"/>
    <n v="22"/>
    <n v="150"/>
    <n v="3300"/>
    <n v="0.04"/>
    <n v="132"/>
    <x v="2"/>
  </r>
  <r>
    <s v="Ord-156"/>
    <x v="14"/>
    <x v="3"/>
    <x v="3"/>
    <n v="15"/>
    <n v="16"/>
    <n v="240"/>
    <n v="0.12"/>
    <n v="28.799999999999997"/>
    <x v="3"/>
  </r>
  <r>
    <s v="Ord-157"/>
    <x v="14"/>
    <x v="0"/>
    <x v="2"/>
    <n v="20"/>
    <n v="80"/>
    <n v="1600"/>
    <n v="7.0000000000000007E-2"/>
    <n v="112.00000000000001"/>
    <x v="4"/>
  </r>
  <r>
    <s v="Ord-158"/>
    <x v="14"/>
    <x v="0"/>
    <x v="2"/>
    <n v="7"/>
    <n v="80"/>
    <n v="560"/>
    <n v="0.05"/>
    <n v="28"/>
    <x v="5"/>
  </r>
  <r>
    <s v="Ord-159"/>
    <x v="14"/>
    <x v="0"/>
    <x v="1"/>
    <n v="10"/>
    <n v="80"/>
    <n v="800"/>
    <n v="0.11"/>
    <n v="88"/>
    <x v="6"/>
  </r>
  <r>
    <s v="Ord-160"/>
    <x v="14"/>
    <x v="0"/>
    <x v="1"/>
    <n v="2"/>
    <n v="80"/>
    <n v="160"/>
    <n v="7.0000000000000007E-2"/>
    <n v="11.200000000000001"/>
    <x v="7"/>
  </r>
  <r>
    <s v="Ord-161"/>
    <x v="14"/>
    <x v="3"/>
    <x v="4"/>
    <n v="23"/>
    <n v="16"/>
    <n v="368"/>
    <n v="0.01"/>
    <n v="3.68"/>
    <x v="8"/>
  </r>
  <r>
    <s v="Ord-162"/>
    <x v="14"/>
    <x v="2"/>
    <x v="1"/>
    <n v="12"/>
    <n v="230"/>
    <n v="2760"/>
    <n v="0.03"/>
    <n v="82.8"/>
    <x v="9"/>
  </r>
  <r>
    <s v="Ord-163"/>
    <x v="15"/>
    <x v="2"/>
    <x v="0"/>
    <n v="7"/>
    <n v="230"/>
    <n v="1610"/>
    <n v="0.08"/>
    <n v="128.80000000000001"/>
    <x v="10"/>
  </r>
  <r>
    <s v="Ord-164"/>
    <x v="15"/>
    <x v="1"/>
    <x v="3"/>
    <n v="11"/>
    <n v="40"/>
    <n v="440"/>
    <n v="0.06"/>
    <n v="26.4"/>
    <x v="11"/>
  </r>
  <r>
    <s v="Ord-165"/>
    <x v="15"/>
    <x v="2"/>
    <x v="1"/>
    <n v="7"/>
    <n v="230"/>
    <n v="1610"/>
    <n v="0.08"/>
    <n v="128.80000000000001"/>
    <x v="0"/>
  </r>
  <r>
    <s v="Ord-166"/>
    <x v="15"/>
    <x v="0"/>
    <x v="0"/>
    <n v="8"/>
    <n v="80"/>
    <n v="640"/>
    <n v="0.09"/>
    <n v="57.599999999999994"/>
    <x v="1"/>
  </r>
  <r>
    <s v="Ord-167"/>
    <x v="15"/>
    <x v="0"/>
    <x v="3"/>
    <n v="16"/>
    <n v="80"/>
    <n v="1280"/>
    <n v="7.0000000000000007E-2"/>
    <n v="89.600000000000009"/>
    <x v="2"/>
  </r>
  <r>
    <s v="Ord-168"/>
    <x v="15"/>
    <x v="0"/>
    <x v="2"/>
    <n v="16"/>
    <n v="80"/>
    <n v="1280"/>
    <n v="0.04"/>
    <n v="51.2"/>
    <x v="3"/>
  </r>
  <r>
    <s v="Ord-169"/>
    <x v="15"/>
    <x v="3"/>
    <x v="2"/>
    <n v="9"/>
    <n v="16"/>
    <n v="144"/>
    <n v="0.05"/>
    <n v="7.2"/>
    <x v="4"/>
  </r>
  <r>
    <s v="Ord-170"/>
    <x v="15"/>
    <x v="4"/>
    <x v="4"/>
    <n v="11"/>
    <n v="150"/>
    <n v="1650"/>
    <n v="0.09"/>
    <n v="148.5"/>
    <x v="5"/>
  </r>
  <r>
    <s v="Ord-171"/>
    <x v="15"/>
    <x v="3"/>
    <x v="0"/>
    <n v="4"/>
    <n v="16"/>
    <n v="64"/>
    <n v="0.12"/>
    <n v="7.68"/>
    <x v="6"/>
  </r>
  <r>
    <s v="Ord-172"/>
    <x v="15"/>
    <x v="1"/>
    <x v="3"/>
    <n v="15"/>
    <n v="40"/>
    <n v="600"/>
    <n v="0.03"/>
    <n v="18"/>
    <x v="7"/>
  </r>
  <r>
    <s v="Ord-173"/>
    <x v="15"/>
    <x v="1"/>
    <x v="4"/>
    <n v="20"/>
    <n v="40"/>
    <n v="800"/>
    <n v="0.03"/>
    <n v="24"/>
    <x v="8"/>
  </r>
  <r>
    <s v="Ord-174"/>
    <x v="16"/>
    <x v="4"/>
    <x v="2"/>
    <n v="9"/>
    <n v="150"/>
    <n v="1350"/>
    <n v="0.06"/>
    <n v="81"/>
    <x v="9"/>
  </r>
  <r>
    <s v="Ord-175"/>
    <x v="16"/>
    <x v="1"/>
    <x v="1"/>
    <n v="23"/>
    <n v="40"/>
    <n v="920"/>
    <n v="0.06"/>
    <n v="55.199999999999996"/>
    <x v="10"/>
  </r>
  <r>
    <s v="Ord-176"/>
    <x v="16"/>
    <x v="0"/>
    <x v="4"/>
    <n v="13"/>
    <n v="80"/>
    <n v="1040"/>
    <n v="0.05"/>
    <n v="52"/>
    <x v="11"/>
  </r>
  <r>
    <s v="Ord-177"/>
    <x v="16"/>
    <x v="3"/>
    <x v="0"/>
    <n v="22"/>
    <n v="16"/>
    <n v="352"/>
    <n v="0.01"/>
    <n v="3.52"/>
    <x v="0"/>
  </r>
  <r>
    <s v="Ord-178"/>
    <x v="16"/>
    <x v="1"/>
    <x v="0"/>
    <n v="19"/>
    <n v="40"/>
    <n v="760"/>
    <n v="0.04"/>
    <n v="30.400000000000002"/>
    <x v="1"/>
  </r>
  <r>
    <s v="Ord-179"/>
    <x v="16"/>
    <x v="0"/>
    <x v="3"/>
    <n v="4"/>
    <n v="80"/>
    <n v="320"/>
    <n v="0.11"/>
    <n v="35.200000000000003"/>
    <x v="2"/>
  </r>
  <r>
    <s v="Ord-180"/>
    <x v="16"/>
    <x v="3"/>
    <x v="0"/>
    <n v="12"/>
    <n v="16"/>
    <n v="192"/>
    <n v="0.11"/>
    <n v="21.12"/>
    <x v="3"/>
  </r>
  <r>
    <s v="Ord-181"/>
    <x v="16"/>
    <x v="4"/>
    <x v="1"/>
    <n v="16"/>
    <n v="150"/>
    <n v="2400"/>
    <n v="0.08"/>
    <n v="192"/>
    <x v="4"/>
  </r>
  <r>
    <s v="Ord-182"/>
    <x v="16"/>
    <x v="0"/>
    <x v="0"/>
    <n v="7"/>
    <n v="80"/>
    <n v="560"/>
    <n v="0.02"/>
    <n v="11.200000000000001"/>
    <x v="5"/>
  </r>
  <r>
    <s v="Ord-183"/>
    <x v="16"/>
    <x v="1"/>
    <x v="4"/>
    <n v="20"/>
    <n v="40"/>
    <n v="800"/>
    <n v="7.0000000000000007E-2"/>
    <n v="56.000000000000007"/>
    <x v="6"/>
  </r>
  <r>
    <s v="Ord-184"/>
    <x v="16"/>
    <x v="0"/>
    <x v="1"/>
    <n v="15"/>
    <n v="80"/>
    <n v="1200"/>
    <n v="0.12"/>
    <n v="144"/>
    <x v="7"/>
  </r>
  <r>
    <s v="Ord-185"/>
    <x v="16"/>
    <x v="1"/>
    <x v="0"/>
    <n v="5"/>
    <n v="40"/>
    <n v="200"/>
    <n v="0.09"/>
    <n v="18"/>
    <x v="8"/>
  </r>
  <r>
    <s v="Ord-186"/>
    <x v="16"/>
    <x v="3"/>
    <x v="4"/>
    <n v="12"/>
    <n v="16"/>
    <n v="192"/>
    <n v="0.04"/>
    <n v="7.68"/>
    <x v="9"/>
  </r>
  <r>
    <s v="Ord-187"/>
    <x v="17"/>
    <x v="4"/>
    <x v="3"/>
    <n v="3"/>
    <n v="150"/>
    <n v="450"/>
    <n v="0.01"/>
    <n v="4.5"/>
    <x v="10"/>
  </r>
  <r>
    <s v="Ord-188"/>
    <x v="17"/>
    <x v="1"/>
    <x v="4"/>
    <n v="7"/>
    <n v="40"/>
    <n v="280"/>
    <n v="0.12"/>
    <n v="33.6"/>
    <x v="11"/>
  </r>
  <r>
    <s v="Ord-189"/>
    <x v="17"/>
    <x v="0"/>
    <x v="1"/>
    <n v="2"/>
    <n v="80"/>
    <n v="160"/>
    <n v="0.04"/>
    <n v="6.4"/>
    <x v="0"/>
  </r>
  <r>
    <s v="Ord-190"/>
    <x v="17"/>
    <x v="1"/>
    <x v="3"/>
    <n v="6"/>
    <n v="40"/>
    <n v="240"/>
    <n v="7.0000000000000007E-2"/>
    <n v="16.8"/>
    <x v="1"/>
  </r>
  <r>
    <s v="Ord-191"/>
    <x v="17"/>
    <x v="3"/>
    <x v="2"/>
    <n v="6"/>
    <n v="16"/>
    <n v="96"/>
    <n v="0.06"/>
    <n v="5.76"/>
    <x v="2"/>
  </r>
  <r>
    <s v="Ord-192"/>
    <x v="17"/>
    <x v="3"/>
    <x v="0"/>
    <n v="7"/>
    <n v="16"/>
    <n v="112"/>
    <n v="0.02"/>
    <n v="2.2400000000000002"/>
    <x v="3"/>
  </r>
  <r>
    <s v="Ord-193"/>
    <x v="17"/>
    <x v="3"/>
    <x v="1"/>
    <n v="20"/>
    <n v="16"/>
    <n v="320"/>
    <n v="0.06"/>
    <n v="19.2"/>
    <x v="4"/>
  </r>
  <r>
    <s v="Ord-194"/>
    <x v="17"/>
    <x v="3"/>
    <x v="1"/>
    <n v="21"/>
    <n v="16"/>
    <n v="336"/>
    <n v="0.02"/>
    <n v="6.72"/>
    <x v="5"/>
  </r>
  <r>
    <s v="Ord-195"/>
    <x v="17"/>
    <x v="0"/>
    <x v="3"/>
    <n v="21"/>
    <n v="80"/>
    <n v="1680"/>
    <n v="0.05"/>
    <n v="84"/>
    <x v="6"/>
  </r>
  <r>
    <s v="Ord-196"/>
    <x v="17"/>
    <x v="3"/>
    <x v="3"/>
    <n v="10"/>
    <n v="16"/>
    <n v="160"/>
    <n v="0.01"/>
    <n v="1.6"/>
    <x v="7"/>
  </r>
  <r>
    <s v="Ord-197"/>
    <x v="18"/>
    <x v="2"/>
    <x v="3"/>
    <n v="2"/>
    <n v="230"/>
    <n v="460"/>
    <n v="0.09"/>
    <n v="41.4"/>
    <x v="8"/>
  </r>
  <r>
    <s v="Ord-198"/>
    <x v="18"/>
    <x v="4"/>
    <x v="0"/>
    <n v="20"/>
    <n v="150"/>
    <n v="3000"/>
    <n v="0.03"/>
    <n v="90"/>
    <x v="9"/>
  </r>
  <r>
    <s v="Ord-199"/>
    <x v="18"/>
    <x v="1"/>
    <x v="0"/>
    <n v="23"/>
    <n v="40"/>
    <n v="920"/>
    <n v="0.03"/>
    <n v="27.599999999999998"/>
    <x v="10"/>
  </r>
  <r>
    <s v="Ord-200"/>
    <x v="18"/>
    <x v="0"/>
    <x v="3"/>
    <n v="17"/>
    <n v="80"/>
    <n v="1360"/>
    <n v="0.05"/>
    <n v="68"/>
    <x v="11"/>
  </r>
  <r>
    <s v="Ord-201"/>
    <x v="18"/>
    <x v="2"/>
    <x v="3"/>
    <n v="11"/>
    <n v="230"/>
    <n v="2530"/>
    <n v="0.12"/>
    <n v="303.59999999999997"/>
    <x v="0"/>
  </r>
  <r>
    <s v="Ord-202"/>
    <x v="18"/>
    <x v="4"/>
    <x v="1"/>
    <n v="10"/>
    <n v="150"/>
    <n v="1500"/>
    <n v="0.01"/>
    <n v="15"/>
    <x v="1"/>
  </r>
  <r>
    <s v="Ord-203"/>
    <x v="18"/>
    <x v="0"/>
    <x v="1"/>
    <n v="17"/>
    <n v="80"/>
    <n v="1360"/>
    <n v="0.03"/>
    <n v="40.799999999999997"/>
    <x v="2"/>
  </r>
  <r>
    <s v="Ord-204"/>
    <x v="19"/>
    <x v="2"/>
    <x v="0"/>
    <n v="9"/>
    <n v="230"/>
    <n v="2070"/>
    <n v="7.0000000000000007E-2"/>
    <n v="144.9"/>
    <x v="3"/>
  </r>
  <r>
    <s v="Ord-205"/>
    <x v="19"/>
    <x v="2"/>
    <x v="0"/>
    <n v="11"/>
    <n v="230"/>
    <n v="2530"/>
    <n v="0.02"/>
    <n v="50.6"/>
    <x v="4"/>
  </r>
  <r>
    <s v="Ord-206"/>
    <x v="19"/>
    <x v="1"/>
    <x v="2"/>
    <n v="2"/>
    <n v="40"/>
    <n v="80"/>
    <n v="0.02"/>
    <n v="1.6"/>
    <x v="5"/>
  </r>
  <r>
    <s v="Ord-207"/>
    <x v="19"/>
    <x v="2"/>
    <x v="4"/>
    <n v="3"/>
    <n v="230"/>
    <n v="690"/>
    <n v="0.1"/>
    <n v="69"/>
    <x v="6"/>
  </r>
  <r>
    <s v="Ord-208"/>
    <x v="19"/>
    <x v="1"/>
    <x v="4"/>
    <n v="7"/>
    <n v="40"/>
    <n v="280"/>
    <n v="0.05"/>
    <n v="14"/>
    <x v="7"/>
  </r>
  <r>
    <s v="Ord-209"/>
    <x v="19"/>
    <x v="4"/>
    <x v="1"/>
    <n v="20"/>
    <n v="150"/>
    <n v="3000"/>
    <n v="0.09"/>
    <n v="270"/>
    <x v="8"/>
  </r>
  <r>
    <s v="Ord-210"/>
    <x v="19"/>
    <x v="1"/>
    <x v="2"/>
    <n v="4"/>
    <n v="40"/>
    <n v="160"/>
    <n v="0.11"/>
    <n v="17.600000000000001"/>
    <x v="9"/>
  </r>
  <r>
    <s v="Ord-211"/>
    <x v="20"/>
    <x v="2"/>
    <x v="2"/>
    <n v="2"/>
    <n v="230"/>
    <n v="460"/>
    <n v="0.09"/>
    <n v="41.4"/>
    <x v="0"/>
  </r>
  <r>
    <s v="Ord-212"/>
    <x v="20"/>
    <x v="1"/>
    <x v="1"/>
    <n v="7"/>
    <n v="40"/>
    <n v="280"/>
    <n v="0.01"/>
    <n v="2.8000000000000003"/>
    <x v="1"/>
  </r>
  <r>
    <s v="Ord-213"/>
    <x v="20"/>
    <x v="1"/>
    <x v="0"/>
    <n v="2"/>
    <n v="40"/>
    <n v="80"/>
    <n v="0.12"/>
    <n v="9.6"/>
    <x v="2"/>
  </r>
  <r>
    <s v="Ord-214"/>
    <x v="20"/>
    <x v="0"/>
    <x v="1"/>
    <n v="3"/>
    <n v="80"/>
    <n v="240"/>
    <n v="0.02"/>
    <n v="4.8"/>
    <x v="3"/>
  </r>
  <r>
    <s v="Ord-215"/>
    <x v="20"/>
    <x v="3"/>
    <x v="0"/>
    <n v="18"/>
    <n v="16"/>
    <n v="288"/>
    <n v="0.11"/>
    <n v="31.68"/>
    <x v="4"/>
  </r>
  <r>
    <s v="Ord-216"/>
    <x v="20"/>
    <x v="0"/>
    <x v="1"/>
    <n v="5"/>
    <n v="80"/>
    <n v="400"/>
    <n v="7.0000000000000007E-2"/>
    <n v="28.000000000000004"/>
    <x v="5"/>
  </r>
  <r>
    <s v="Ord-217"/>
    <x v="20"/>
    <x v="3"/>
    <x v="2"/>
    <n v="3"/>
    <n v="16"/>
    <n v="48"/>
    <n v="0.05"/>
    <n v="2.4000000000000004"/>
    <x v="6"/>
  </r>
  <r>
    <s v="Ord-218"/>
    <x v="20"/>
    <x v="0"/>
    <x v="3"/>
    <n v="7"/>
    <n v="80"/>
    <n v="560"/>
    <n v="0.02"/>
    <n v="11.200000000000001"/>
    <x v="7"/>
  </r>
  <r>
    <s v="Ord-219"/>
    <x v="20"/>
    <x v="4"/>
    <x v="3"/>
    <n v="15"/>
    <n v="150"/>
    <n v="2250"/>
    <n v="0.08"/>
    <n v="180"/>
    <x v="8"/>
  </r>
  <r>
    <s v="Ord-220"/>
    <x v="20"/>
    <x v="0"/>
    <x v="2"/>
    <n v="10"/>
    <n v="80"/>
    <n v="800"/>
    <n v="0.11"/>
    <n v="88"/>
    <x v="9"/>
  </r>
  <r>
    <s v="Ord-221"/>
    <x v="20"/>
    <x v="2"/>
    <x v="4"/>
    <n v="13"/>
    <n v="230"/>
    <n v="2990"/>
    <n v="0.06"/>
    <n v="179.4"/>
    <x v="10"/>
  </r>
  <r>
    <s v="Ord-222"/>
    <x v="20"/>
    <x v="1"/>
    <x v="0"/>
    <n v="7"/>
    <n v="40"/>
    <n v="280"/>
    <n v="0.1"/>
    <n v="28"/>
    <x v="11"/>
  </r>
  <r>
    <s v="Ord-223"/>
    <x v="20"/>
    <x v="3"/>
    <x v="2"/>
    <n v="6"/>
    <n v="16"/>
    <n v="96"/>
    <n v="0.01"/>
    <n v="0.96"/>
    <x v="0"/>
  </r>
  <r>
    <s v="Ord-224"/>
    <x v="21"/>
    <x v="1"/>
    <x v="2"/>
    <n v="11"/>
    <n v="40"/>
    <n v="440"/>
    <n v="0.05"/>
    <n v="22"/>
    <x v="1"/>
  </r>
  <r>
    <s v="Ord-225"/>
    <x v="21"/>
    <x v="0"/>
    <x v="3"/>
    <n v="8"/>
    <n v="80"/>
    <n v="640"/>
    <n v="0.06"/>
    <n v="38.4"/>
    <x v="2"/>
  </r>
  <r>
    <s v="Ord-226"/>
    <x v="21"/>
    <x v="0"/>
    <x v="0"/>
    <n v="9"/>
    <n v="80"/>
    <n v="720"/>
    <n v="0.04"/>
    <n v="28.8"/>
    <x v="3"/>
  </r>
  <r>
    <s v="Ord-227"/>
    <x v="21"/>
    <x v="1"/>
    <x v="4"/>
    <n v="4"/>
    <n v="40"/>
    <n v="160"/>
    <n v="0.09"/>
    <n v="14.399999999999999"/>
    <x v="4"/>
  </r>
  <r>
    <s v="Ord-228"/>
    <x v="21"/>
    <x v="0"/>
    <x v="1"/>
    <n v="13"/>
    <n v="80"/>
    <n v="1040"/>
    <n v="0.06"/>
    <n v="62.4"/>
    <x v="5"/>
  </r>
  <r>
    <s v="Ord-229"/>
    <x v="21"/>
    <x v="4"/>
    <x v="4"/>
    <n v="4"/>
    <n v="150"/>
    <n v="600"/>
    <n v="0.05"/>
    <n v="30"/>
    <x v="6"/>
  </r>
  <r>
    <s v="Ord-230"/>
    <x v="21"/>
    <x v="2"/>
    <x v="2"/>
    <n v="14"/>
    <n v="230"/>
    <n v="3220"/>
    <n v="0.12"/>
    <n v="386.4"/>
    <x v="7"/>
  </r>
  <r>
    <s v="Ord-231"/>
    <x v="21"/>
    <x v="4"/>
    <x v="4"/>
    <n v="13"/>
    <n v="150"/>
    <n v="1950"/>
    <n v="0.11"/>
    <n v="214.5"/>
    <x v="8"/>
  </r>
  <r>
    <s v="Ord-232"/>
    <x v="21"/>
    <x v="4"/>
    <x v="1"/>
    <n v="16"/>
    <n v="150"/>
    <n v="2400"/>
    <n v="0.03"/>
    <n v="72"/>
    <x v="9"/>
  </r>
  <r>
    <s v="Ord-233"/>
    <x v="21"/>
    <x v="3"/>
    <x v="0"/>
    <n v="7"/>
    <n v="16"/>
    <n v="112"/>
    <n v="0.12"/>
    <n v="13.44"/>
    <x v="10"/>
  </r>
  <r>
    <s v="Ord-234"/>
    <x v="21"/>
    <x v="4"/>
    <x v="3"/>
    <n v="9"/>
    <n v="150"/>
    <n v="1350"/>
    <n v="0.02"/>
    <n v="27"/>
    <x v="11"/>
  </r>
  <r>
    <s v="Ord-235"/>
    <x v="21"/>
    <x v="3"/>
    <x v="0"/>
    <n v="10"/>
    <n v="16"/>
    <n v="160"/>
    <n v="0.08"/>
    <n v="12.8"/>
    <x v="0"/>
  </r>
  <r>
    <s v="Ord-236"/>
    <x v="21"/>
    <x v="0"/>
    <x v="3"/>
    <n v="15"/>
    <n v="80"/>
    <n v="1200"/>
    <n v="0.08"/>
    <n v="96"/>
    <x v="1"/>
  </r>
  <r>
    <s v="Ord-237"/>
    <x v="21"/>
    <x v="0"/>
    <x v="4"/>
    <n v="9"/>
    <n v="80"/>
    <n v="720"/>
    <n v="0.06"/>
    <n v="43.199999999999996"/>
    <x v="2"/>
  </r>
  <r>
    <s v="Ord-238"/>
    <x v="22"/>
    <x v="3"/>
    <x v="3"/>
    <n v="7"/>
    <n v="16"/>
    <n v="112"/>
    <n v="0.08"/>
    <n v="8.9600000000000009"/>
    <x v="3"/>
  </r>
  <r>
    <s v="Ord-239"/>
    <x v="22"/>
    <x v="4"/>
    <x v="4"/>
    <n v="7"/>
    <n v="150"/>
    <n v="1050"/>
    <n v="0.03"/>
    <n v="31.5"/>
    <x v="4"/>
  </r>
  <r>
    <s v="Ord-240"/>
    <x v="22"/>
    <x v="2"/>
    <x v="3"/>
    <n v="16"/>
    <n v="230"/>
    <n v="3680"/>
    <n v="0.11"/>
    <n v="404.8"/>
    <x v="5"/>
  </r>
  <r>
    <s v="Ord-241"/>
    <x v="22"/>
    <x v="3"/>
    <x v="3"/>
    <n v="18"/>
    <n v="16"/>
    <n v="288"/>
    <n v="0.04"/>
    <n v="11.52"/>
    <x v="6"/>
  </r>
  <r>
    <s v="Ord-242"/>
    <x v="22"/>
    <x v="2"/>
    <x v="4"/>
    <n v="20"/>
    <n v="230"/>
    <n v="4600"/>
    <n v="0.11"/>
    <n v="506"/>
    <x v="7"/>
  </r>
  <r>
    <s v="Ord-243"/>
    <x v="22"/>
    <x v="4"/>
    <x v="0"/>
    <n v="7"/>
    <n v="150"/>
    <n v="1050"/>
    <n v="0.02"/>
    <n v="21"/>
    <x v="8"/>
  </r>
  <r>
    <s v="Ord-244"/>
    <x v="22"/>
    <x v="3"/>
    <x v="2"/>
    <n v="11"/>
    <n v="16"/>
    <n v="176"/>
    <n v="0.12"/>
    <n v="21.119999999999997"/>
    <x v="9"/>
  </r>
  <r>
    <s v="Ord-245"/>
    <x v="22"/>
    <x v="1"/>
    <x v="2"/>
    <n v="12"/>
    <n v="40"/>
    <n v="480"/>
    <n v="0.02"/>
    <n v="9.6"/>
    <x v="10"/>
  </r>
  <r>
    <s v="Ord-246"/>
    <x v="22"/>
    <x v="4"/>
    <x v="4"/>
    <n v="7"/>
    <n v="150"/>
    <n v="1050"/>
    <n v="0.02"/>
    <n v="21"/>
    <x v="11"/>
  </r>
  <r>
    <s v="Ord-247"/>
    <x v="22"/>
    <x v="0"/>
    <x v="2"/>
    <n v="14"/>
    <n v="80"/>
    <n v="1120"/>
    <n v="0.1"/>
    <n v="112"/>
    <x v="0"/>
  </r>
  <r>
    <s v="Ord-248"/>
    <x v="22"/>
    <x v="2"/>
    <x v="2"/>
    <n v="12"/>
    <n v="230"/>
    <n v="2760"/>
    <n v="0.06"/>
    <n v="165.6"/>
    <x v="1"/>
  </r>
  <r>
    <s v="Ord-249"/>
    <x v="23"/>
    <x v="0"/>
    <x v="1"/>
    <n v="21"/>
    <n v="80"/>
    <n v="1680"/>
    <n v="0.04"/>
    <n v="67.2"/>
    <x v="2"/>
  </r>
  <r>
    <s v="Ord-250"/>
    <x v="23"/>
    <x v="4"/>
    <x v="0"/>
    <n v="8"/>
    <n v="150"/>
    <n v="1200"/>
    <n v="0.09"/>
    <n v="108"/>
    <x v="3"/>
  </r>
  <r>
    <s v="Ord-251"/>
    <x v="23"/>
    <x v="0"/>
    <x v="1"/>
    <n v="16"/>
    <n v="80"/>
    <n v="1280"/>
    <n v="0.04"/>
    <n v="51.2"/>
    <x v="4"/>
  </r>
  <r>
    <s v="Ord-252"/>
    <x v="23"/>
    <x v="2"/>
    <x v="1"/>
    <n v="14"/>
    <n v="230"/>
    <n v="3220"/>
    <n v="0.05"/>
    <n v="161"/>
    <x v="5"/>
  </r>
  <r>
    <s v="Ord-253"/>
    <x v="23"/>
    <x v="1"/>
    <x v="2"/>
    <n v="2"/>
    <n v="40"/>
    <n v="80"/>
    <n v="0.03"/>
    <n v="2.4"/>
    <x v="6"/>
  </r>
  <r>
    <s v="Ord-254"/>
    <x v="23"/>
    <x v="4"/>
    <x v="0"/>
    <n v="4"/>
    <n v="150"/>
    <n v="600"/>
    <n v="0.1"/>
    <n v="60"/>
    <x v="7"/>
  </r>
  <r>
    <s v="Ord-255"/>
    <x v="23"/>
    <x v="0"/>
    <x v="2"/>
    <n v="6"/>
    <n v="80"/>
    <n v="480"/>
    <n v="0.01"/>
    <n v="4.8"/>
    <x v="8"/>
  </r>
  <r>
    <s v="Ord-256"/>
    <x v="23"/>
    <x v="1"/>
    <x v="2"/>
    <n v="6"/>
    <n v="40"/>
    <n v="240"/>
    <n v="0.06"/>
    <n v="14.399999999999999"/>
    <x v="9"/>
  </r>
  <r>
    <s v="Ord-257"/>
    <x v="23"/>
    <x v="4"/>
    <x v="0"/>
    <n v="20"/>
    <n v="150"/>
    <n v="3000"/>
    <n v="0.04"/>
    <n v="120"/>
    <x v="10"/>
  </r>
  <r>
    <s v="Ord-258"/>
    <x v="23"/>
    <x v="1"/>
    <x v="2"/>
    <n v="18"/>
    <n v="40"/>
    <n v="720"/>
    <n v="0.03"/>
    <n v="21.599999999999998"/>
    <x v="11"/>
  </r>
  <r>
    <s v="Ord-259"/>
    <x v="23"/>
    <x v="2"/>
    <x v="3"/>
    <n v="18"/>
    <n v="230"/>
    <n v="4140"/>
    <n v="0.01"/>
    <n v="41.4"/>
    <x v="0"/>
  </r>
  <r>
    <s v="Ord-260"/>
    <x v="23"/>
    <x v="2"/>
    <x v="2"/>
    <n v="15"/>
    <n v="230"/>
    <n v="3450"/>
    <n v="0.04"/>
    <n v="138"/>
    <x v="1"/>
  </r>
  <r>
    <s v="Ord-261"/>
    <x v="23"/>
    <x v="3"/>
    <x v="1"/>
    <n v="22"/>
    <n v="16"/>
    <n v="352"/>
    <n v="0.01"/>
    <n v="3.52"/>
    <x v="2"/>
  </r>
  <r>
    <s v="Ord-262"/>
    <x v="23"/>
    <x v="4"/>
    <x v="0"/>
    <n v="17"/>
    <n v="150"/>
    <n v="2550"/>
    <n v="0.12"/>
    <n v="306"/>
    <x v="3"/>
  </r>
  <r>
    <s v="Ord-263"/>
    <x v="24"/>
    <x v="3"/>
    <x v="1"/>
    <n v="5"/>
    <n v="16"/>
    <n v="80"/>
    <n v="0.11"/>
    <n v="8.8000000000000007"/>
    <x v="4"/>
  </r>
  <r>
    <s v="Ord-264"/>
    <x v="24"/>
    <x v="4"/>
    <x v="0"/>
    <n v="23"/>
    <n v="150"/>
    <n v="3450"/>
    <n v="0.1"/>
    <n v="345"/>
    <x v="5"/>
  </r>
  <r>
    <s v="Ord-265"/>
    <x v="24"/>
    <x v="4"/>
    <x v="3"/>
    <n v="22"/>
    <n v="150"/>
    <n v="3300"/>
    <n v="0.05"/>
    <n v="165"/>
    <x v="6"/>
  </r>
  <r>
    <s v="Ord-266"/>
    <x v="24"/>
    <x v="3"/>
    <x v="4"/>
    <n v="15"/>
    <n v="16"/>
    <n v="240"/>
    <n v="0.01"/>
    <n v="2.4"/>
    <x v="7"/>
  </r>
  <r>
    <s v="Ord-267"/>
    <x v="24"/>
    <x v="1"/>
    <x v="3"/>
    <n v="7"/>
    <n v="40"/>
    <n v="280"/>
    <n v="7.0000000000000007E-2"/>
    <n v="19.600000000000001"/>
    <x v="8"/>
  </r>
  <r>
    <s v="Ord-268"/>
    <x v="24"/>
    <x v="0"/>
    <x v="4"/>
    <n v="22"/>
    <n v="80"/>
    <n v="1760"/>
    <n v="0.11"/>
    <n v="193.6"/>
    <x v="9"/>
  </r>
  <r>
    <s v="Ord-269"/>
    <x v="24"/>
    <x v="4"/>
    <x v="2"/>
    <n v="11"/>
    <n v="150"/>
    <n v="1650"/>
    <n v="0.05"/>
    <n v="82.5"/>
    <x v="10"/>
  </r>
  <r>
    <s v="Ord-270"/>
    <x v="24"/>
    <x v="1"/>
    <x v="1"/>
    <n v="21"/>
    <n v="40"/>
    <n v="840"/>
    <n v="0.03"/>
    <n v="25.2"/>
    <x v="11"/>
  </r>
  <r>
    <s v="Ord-271"/>
    <x v="24"/>
    <x v="0"/>
    <x v="3"/>
    <n v="23"/>
    <n v="80"/>
    <n v="1840"/>
    <n v="0.11"/>
    <n v="202.4"/>
    <x v="0"/>
  </r>
  <r>
    <s v="Ord-272"/>
    <x v="24"/>
    <x v="2"/>
    <x v="2"/>
    <n v="7"/>
    <n v="230"/>
    <n v="1610"/>
    <n v="0.01"/>
    <n v="16.100000000000001"/>
    <x v="1"/>
  </r>
  <r>
    <s v="Ord-273"/>
    <x v="24"/>
    <x v="2"/>
    <x v="0"/>
    <n v="16"/>
    <n v="230"/>
    <n v="3680"/>
    <n v="7.0000000000000007E-2"/>
    <n v="257.60000000000002"/>
    <x v="2"/>
  </r>
  <r>
    <s v="Ord-274"/>
    <x v="24"/>
    <x v="0"/>
    <x v="1"/>
    <n v="14"/>
    <n v="80"/>
    <n v="1120"/>
    <n v="0.11"/>
    <n v="123.2"/>
    <x v="3"/>
  </r>
  <r>
    <s v="Ord-275"/>
    <x v="24"/>
    <x v="4"/>
    <x v="2"/>
    <n v="22"/>
    <n v="150"/>
    <n v="3300"/>
    <n v="0.09"/>
    <n v="297"/>
    <x v="4"/>
  </r>
  <r>
    <s v="Ord-276"/>
    <x v="24"/>
    <x v="4"/>
    <x v="3"/>
    <n v="4"/>
    <n v="150"/>
    <n v="600"/>
    <n v="0.12"/>
    <n v="72"/>
    <x v="5"/>
  </r>
  <r>
    <s v="Ord-277"/>
    <x v="24"/>
    <x v="4"/>
    <x v="0"/>
    <n v="3"/>
    <n v="150"/>
    <n v="450"/>
    <n v="0.03"/>
    <n v="13.5"/>
    <x v="6"/>
  </r>
  <r>
    <s v="Ord-278"/>
    <x v="24"/>
    <x v="1"/>
    <x v="4"/>
    <n v="17"/>
    <n v="40"/>
    <n v="680"/>
    <n v="0.02"/>
    <n v="13.6"/>
    <x v="7"/>
  </r>
  <r>
    <s v="Ord-279"/>
    <x v="24"/>
    <x v="0"/>
    <x v="4"/>
    <n v="22"/>
    <n v="80"/>
    <n v="1760"/>
    <n v="0.1"/>
    <n v="176"/>
    <x v="8"/>
  </r>
  <r>
    <s v="Ord-280"/>
    <x v="24"/>
    <x v="4"/>
    <x v="4"/>
    <n v="18"/>
    <n v="150"/>
    <n v="2700"/>
    <n v="0.12"/>
    <n v="324"/>
    <x v="9"/>
  </r>
  <r>
    <s v="Ord-281"/>
    <x v="25"/>
    <x v="4"/>
    <x v="0"/>
    <n v="4"/>
    <n v="150"/>
    <n v="600"/>
    <n v="0.06"/>
    <n v="36"/>
    <x v="0"/>
  </r>
  <r>
    <s v="Ord-282"/>
    <x v="25"/>
    <x v="2"/>
    <x v="1"/>
    <n v="22"/>
    <n v="230"/>
    <n v="5060"/>
    <n v="0.04"/>
    <n v="202.4"/>
    <x v="1"/>
  </r>
  <r>
    <s v="Ord-283"/>
    <x v="25"/>
    <x v="4"/>
    <x v="1"/>
    <n v="15"/>
    <n v="150"/>
    <n v="2250"/>
    <n v="0.12"/>
    <n v="270"/>
    <x v="2"/>
  </r>
  <r>
    <s v="Ord-284"/>
    <x v="25"/>
    <x v="0"/>
    <x v="0"/>
    <n v="17"/>
    <n v="80"/>
    <n v="1360"/>
    <n v="7.0000000000000007E-2"/>
    <n v="95.2"/>
    <x v="3"/>
  </r>
  <r>
    <s v="Ord-285"/>
    <x v="25"/>
    <x v="1"/>
    <x v="4"/>
    <n v="10"/>
    <n v="40"/>
    <n v="400"/>
    <n v="0.03"/>
    <n v="12"/>
    <x v="4"/>
  </r>
  <r>
    <s v="Ord-286"/>
    <x v="25"/>
    <x v="1"/>
    <x v="0"/>
    <n v="23"/>
    <n v="40"/>
    <n v="920"/>
    <n v="7.0000000000000007E-2"/>
    <n v="64.400000000000006"/>
    <x v="5"/>
  </r>
  <r>
    <s v="Ord-287"/>
    <x v="25"/>
    <x v="3"/>
    <x v="1"/>
    <n v="22"/>
    <n v="16"/>
    <n v="352"/>
    <n v="0.04"/>
    <n v="14.08"/>
    <x v="6"/>
  </r>
  <r>
    <s v="Ord-288"/>
    <x v="25"/>
    <x v="0"/>
    <x v="2"/>
    <n v="8"/>
    <n v="80"/>
    <n v="640"/>
    <n v="0.02"/>
    <n v="12.8"/>
    <x v="7"/>
  </r>
  <r>
    <s v="Ord-289"/>
    <x v="25"/>
    <x v="3"/>
    <x v="1"/>
    <n v="4"/>
    <n v="16"/>
    <n v="64"/>
    <n v="0.09"/>
    <n v="5.76"/>
    <x v="8"/>
  </r>
  <r>
    <s v="Ord-290"/>
    <x v="25"/>
    <x v="1"/>
    <x v="3"/>
    <n v="11"/>
    <n v="40"/>
    <n v="440"/>
    <n v="0.09"/>
    <n v="39.6"/>
    <x v="9"/>
  </r>
  <r>
    <s v="Ord-291"/>
    <x v="25"/>
    <x v="2"/>
    <x v="2"/>
    <n v="18"/>
    <n v="230"/>
    <n v="4140"/>
    <n v="0.01"/>
    <n v="41.4"/>
    <x v="10"/>
  </r>
  <r>
    <s v="Ord-292"/>
    <x v="26"/>
    <x v="2"/>
    <x v="1"/>
    <n v="11"/>
    <n v="230"/>
    <n v="2530"/>
    <n v="0.1"/>
    <n v="253"/>
    <x v="11"/>
  </r>
  <r>
    <s v="Ord-293"/>
    <x v="26"/>
    <x v="2"/>
    <x v="0"/>
    <n v="15"/>
    <n v="230"/>
    <n v="3450"/>
    <n v="0.05"/>
    <n v="172.5"/>
    <x v="0"/>
  </r>
  <r>
    <s v="Ord-294"/>
    <x v="26"/>
    <x v="1"/>
    <x v="4"/>
    <n v="7"/>
    <n v="40"/>
    <n v="280"/>
    <n v="0.04"/>
    <n v="11.200000000000001"/>
    <x v="1"/>
  </r>
  <r>
    <s v="Ord-295"/>
    <x v="26"/>
    <x v="4"/>
    <x v="2"/>
    <n v="20"/>
    <n v="150"/>
    <n v="3000"/>
    <n v="0.12"/>
    <n v="360"/>
    <x v="2"/>
  </r>
  <r>
    <s v="Ord-296"/>
    <x v="26"/>
    <x v="0"/>
    <x v="2"/>
    <n v="5"/>
    <n v="80"/>
    <n v="400"/>
    <n v="0.09"/>
    <n v="36"/>
    <x v="3"/>
  </r>
  <r>
    <s v="Ord-297"/>
    <x v="26"/>
    <x v="0"/>
    <x v="3"/>
    <n v="14"/>
    <n v="80"/>
    <n v="1120"/>
    <n v="0.05"/>
    <n v="56"/>
    <x v="4"/>
  </r>
  <r>
    <s v="Ord-298"/>
    <x v="26"/>
    <x v="2"/>
    <x v="3"/>
    <n v="7"/>
    <n v="230"/>
    <n v="1610"/>
    <n v="0.06"/>
    <n v="96.6"/>
    <x v="5"/>
  </r>
  <r>
    <s v="Ord-299"/>
    <x v="26"/>
    <x v="1"/>
    <x v="3"/>
    <n v="13"/>
    <n v="40"/>
    <n v="520"/>
    <n v="0.06"/>
    <n v="31.2"/>
    <x v="6"/>
  </r>
  <r>
    <s v="Ord-300"/>
    <x v="27"/>
    <x v="3"/>
    <x v="1"/>
    <n v="15"/>
    <n v="16"/>
    <n v="240"/>
    <n v="0.02"/>
    <n v="4.8"/>
    <x v="7"/>
  </r>
  <r>
    <s v="Ord-301"/>
    <x v="27"/>
    <x v="3"/>
    <x v="3"/>
    <n v="5"/>
    <n v="16"/>
    <n v="80"/>
    <n v="0.09"/>
    <n v="7.1999999999999993"/>
    <x v="8"/>
  </r>
  <r>
    <s v="Ord-302"/>
    <x v="27"/>
    <x v="3"/>
    <x v="0"/>
    <n v="22"/>
    <n v="16"/>
    <n v="352"/>
    <n v="0.06"/>
    <n v="21.119999999999997"/>
    <x v="9"/>
  </r>
  <r>
    <s v="Ord-303"/>
    <x v="27"/>
    <x v="4"/>
    <x v="2"/>
    <n v="15"/>
    <n v="150"/>
    <n v="2250"/>
    <n v="0.05"/>
    <n v="112.5"/>
    <x v="10"/>
  </r>
  <r>
    <s v="Ord-304"/>
    <x v="27"/>
    <x v="2"/>
    <x v="2"/>
    <n v="5"/>
    <n v="230"/>
    <n v="1150"/>
    <n v="0.01"/>
    <n v="11.5"/>
    <x v="11"/>
  </r>
  <r>
    <s v="Ord-305"/>
    <x v="27"/>
    <x v="1"/>
    <x v="0"/>
    <n v="11"/>
    <n v="40"/>
    <n v="440"/>
    <n v="0.04"/>
    <n v="17.600000000000001"/>
    <x v="0"/>
  </r>
  <r>
    <s v="Ord-306"/>
    <x v="27"/>
    <x v="4"/>
    <x v="1"/>
    <n v="13"/>
    <n v="150"/>
    <n v="1950"/>
    <n v="0.08"/>
    <n v="156"/>
    <x v="1"/>
  </r>
  <r>
    <s v="Ord-307"/>
    <x v="27"/>
    <x v="3"/>
    <x v="4"/>
    <n v="13"/>
    <n v="16"/>
    <n v="208"/>
    <n v="7.0000000000000007E-2"/>
    <n v="14.560000000000002"/>
    <x v="2"/>
  </r>
  <r>
    <s v="Ord-308"/>
    <x v="27"/>
    <x v="3"/>
    <x v="4"/>
    <n v="3"/>
    <n v="16"/>
    <n v="48"/>
    <n v="0.03"/>
    <n v="1.44"/>
    <x v="3"/>
  </r>
  <r>
    <s v="Ord-309"/>
    <x v="28"/>
    <x v="4"/>
    <x v="1"/>
    <n v="2"/>
    <n v="150"/>
    <n v="300"/>
    <n v="0.09"/>
    <n v="27"/>
    <x v="4"/>
  </r>
  <r>
    <s v="Ord-310"/>
    <x v="28"/>
    <x v="2"/>
    <x v="2"/>
    <n v="14"/>
    <n v="230"/>
    <n v="3220"/>
    <n v="0.03"/>
    <n v="96.6"/>
    <x v="5"/>
  </r>
  <r>
    <s v="Ord-311"/>
    <x v="28"/>
    <x v="1"/>
    <x v="2"/>
    <n v="11"/>
    <n v="40"/>
    <n v="440"/>
    <n v="0.12"/>
    <n v="52.8"/>
    <x v="6"/>
  </r>
  <r>
    <s v="Ord-312"/>
    <x v="28"/>
    <x v="3"/>
    <x v="4"/>
    <n v="3"/>
    <n v="16"/>
    <n v="48"/>
    <n v="0.06"/>
    <n v="2.88"/>
    <x v="7"/>
  </r>
  <r>
    <s v="Ord-313"/>
    <x v="28"/>
    <x v="1"/>
    <x v="4"/>
    <n v="18"/>
    <n v="40"/>
    <n v="720"/>
    <n v="0.06"/>
    <n v="43.199999999999996"/>
    <x v="8"/>
  </r>
  <r>
    <s v="Ord-314"/>
    <x v="28"/>
    <x v="2"/>
    <x v="4"/>
    <n v="7"/>
    <n v="230"/>
    <n v="1610"/>
    <n v="0.05"/>
    <n v="80.5"/>
    <x v="9"/>
  </r>
  <r>
    <s v="Ord-315"/>
    <x v="28"/>
    <x v="1"/>
    <x v="4"/>
    <n v="23"/>
    <n v="40"/>
    <n v="920"/>
    <n v="0.05"/>
    <n v="46"/>
    <x v="10"/>
  </r>
  <r>
    <s v="Ord-316"/>
    <x v="29"/>
    <x v="2"/>
    <x v="4"/>
    <n v="2"/>
    <n v="230"/>
    <n v="460"/>
    <n v="0.08"/>
    <n v="36.800000000000004"/>
    <x v="11"/>
  </r>
  <r>
    <s v="Ord-317"/>
    <x v="29"/>
    <x v="1"/>
    <x v="3"/>
    <n v="18"/>
    <n v="40"/>
    <n v="720"/>
    <n v="0.04"/>
    <n v="28.8"/>
    <x v="0"/>
  </r>
  <r>
    <s v="Ord-318"/>
    <x v="29"/>
    <x v="2"/>
    <x v="1"/>
    <n v="7"/>
    <n v="230"/>
    <n v="1610"/>
    <n v="0.05"/>
    <n v="80.5"/>
    <x v="1"/>
  </r>
  <r>
    <s v="Ord-319"/>
    <x v="29"/>
    <x v="1"/>
    <x v="4"/>
    <n v="14"/>
    <n v="40"/>
    <n v="560"/>
    <n v="0.11"/>
    <n v="61.6"/>
    <x v="2"/>
  </r>
  <r>
    <s v="Ord-320"/>
    <x v="29"/>
    <x v="4"/>
    <x v="1"/>
    <n v="13"/>
    <n v="150"/>
    <n v="1950"/>
    <n v="0.02"/>
    <n v="39"/>
    <x v="3"/>
  </r>
  <r>
    <s v="Ord-321"/>
    <x v="29"/>
    <x v="0"/>
    <x v="0"/>
    <n v="12"/>
    <n v="80"/>
    <n v="960"/>
    <n v="0.04"/>
    <n v="38.4"/>
    <x v="4"/>
  </r>
  <r>
    <s v="Ord-322"/>
    <x v="29"/>
    <x v="2"/>
    <x v="4"/>
    <n v="20"/>
    <n v="230"/>
    <n v="4600"/>
    <n v="0.09"/>
    <n v="414"/>
    <x v="5"/>
  </r>
  <r>
    <s v="Ord-323"/>
    <x v="29"/>
    <x v="1"/>
    <x v="4"/>
    <n v="5"/>
    <n v="40"/>
    <n v="200"/>
    <n v="0.03"/>
    <n v="6"/>
    <x v="6"/>
  </r>
  <r>
    <s v="Ord-324"/>
    <x v="29"/>
    <x v="3"/>
    <x v="4"/>
    <n v="2"/>
    <n v="16"/>
    <n v="32"/>
    <n v="0.04"/>
    <n v="1.28"/>
    <x v="7"/>
  </r>
  <r>
    <s v="Ord-325"/>
    <x v="0"/>
    <x v="0"/>
    <x v="2"/>
    <n v="10"/>
    <n v="80"/>
    <n v="800"/>
    <n v="0.08"/>
    <n v="64"/>
    <x v="8"/>
  </r>
  <r>
    <s v="Ord-326"/>
    <x v="0"/>
    <x v="1"/>
    <x v="3"/>
    <n v="18"/>
    <n v="40"/>
    <n v="720"/>
    <n v="0.06"/>
    <n v="43.199999999999996"/>
    <x v="9"/>
  </r>
  <r>
    <s v="Ord-327"/>
    <x v="0"/>
    <x v="2"/>
    <x v="1"/>
    <n v="7"/>
    <n v="230"/>
    <n v="1610"/>
    <n v="0.08"/>
    <n v="128.80000000000001"/>
    <x v="10"/>
  </r>
  <r>
    <s v="Ord-328"/>
    <x v="0"/>
    <x v="1"/>
    <x v="3"/>
    <n v="15"/>
    <n v="40"/>
    <n v="600"/>
    <n v="0.03"/>
    <n v="18"/>
    <x v="11"/>
  </r>
  <r>
    <s v="Ord-329"/>
    <x v="0"/>
    <x v="3"/>
    <x v="2"/>
    <n v="6"/>
    <n v="16"/>
    <n v="96"/>
    <n v="0.01"/>
    <n v="0.96"/>
    <x v="0"/>
  </r>
  <r>
    <s v="Ord-330"/>
    <x v="0"/>
    <x v="4"/>
    <x v="3"/>
    <n v="9"/>
    <n v="150"/>
    <n v="1350"/>
    <n v="0.02"/>
    <n v="27"/>
    <x v="1"/>
  </r>
  <r>
    <s v="Ord-331"/>
    <x v="0"/>
    <x v="3"/>
    <x v="4"/>
    <n v="15"/>
    <n v="16"/>
    <n v="240"/>
    <n v="0.01"/>
    <n v="2.4"/>
    <x v="2"/>
  </r>
  <r>
    <s v="Ord-332"/>
    <x v="0"/>
    <x v="0"/>
    <x v="4"/>
    <n v="22"/>
    <n v="80"/>
    <n v="1760"/>
    <n v="0.11"/>
    <n v="193.6"/>
    <x v="3"/>
  </r>
  <r>
    <s v="Ord-333"/>
    <x v="0"/>
    <x v="4"/>
    <x v="1"/>
    <n v="13"/>
    <n v="150"/>
    <n v="1950"/>
    <n v="0.02"/>
    <n v="39"/>
    <x v="4"/>
  </r>
  <r>
    <s v="Ord-334"/>
    <x v="1"/>
    <x v="3"/>
    <x v="2"/>
    <n v="12"/>
    <n v="16"/>
    <n v="192"/>
    <n v="0.03"/>
    <n v="5.76"/>
    <x v="5"/>
  </r>
  <r>
    <s v="Ord-335"/>
    <x v="1"/>
    <x v="1"/>
    <x v="3"/>
    <n v="4"/>
    <n v="40"/>
    <n v="160"/>
    <n v="0.05"/>
    <n v="8"/>
    <x v="6"/>
  </r>
  <r>
    <s v="Ord-336"/>
    <x v="1"/>
    <x v="2"/>
    <x v="1"/>
    <n v="19"/>
    <n v="230"/>
    <n v="4370"/>
    <n v="0.11"/>
    <n v="480.7"/>
    <x v="7"/>
  </r>
  <r>
    <s v="Ord-337"/>
    <x v="1"/>
    <x v="1"/>
    <x v="1"/>
    <n v="4"/>
    <n v="40"/>
    <n v="160"/>
    <n v="0.06"/>
    <n v="9.6"/>
    <x v="8"/>
  </r>
  <r>
    <s v="Ord-338"/>
    <x v="1"/>
    <x v="3"/>
    <x v="2"/>
    <n v="6"/>
    <n v="16"/>
    <n v="96"/>
    <n v="7.0000000000000007E-2"/>
    <n v="6.7200000000000006"/>
    <x v="9"/>
  </r>
  <r>
    <s v="Ord-339"/>
    <x v="1"/>
    <x v="2"/>
    <x v="2"/>
    <n v="15"/>
    <n v="230"/>
    <n v="3450"/>
    <n v="0.11"/>
    <n v="379.5"/>
    <x v="10"/>
  </r>
  <r>
    <s v="Ord-340"/>
    <x v="1"/>
    <x v="0"/>
    <x v="2"/>
    <n v="16"/>
    <n v="80"/>
    <n v="1280"/>
    <n v="0.04"/>
    <n v="51.2"/>
    <x v="11"/>
  </r>
  <r>
    <s v="Ord-341"/>
    <x v="1"/>
    <x v="1"/>
    <x v="0"/>
    <n v="7"/>
    <n v="40"/>
    <n v="280"/>
    <n v="0.1"/>
    <n v="28"/>
    <x v="0"/>
  </r>
  <r>
    <s v="Ord-342"/>
    <x v="1"/>
    <x v="1"/>
    <x v="2"/>
    <n v="11"/>
    <n v="40"/>
    <n v="440"/>
    <n v="0.05"/>
    <n v="22"/>
    <x v="1"/>
  </r>
  <r>
    <s v="Ord-343"/>
    <x v="1"/>
    <x v="0"/>
    <x v="4"/>
    <n v="9"/>
    <n v="80"/>
    <n v="720"/>
    <n v="0.06"/>
    <n v="43.199999999999996"/>
    <x v="2"/>
  </r>
  <r>
    <s v="Ord-344"/>
    <x v="1"/>
    <x v="0"/>
    <x v="1"/>
    <n v="21"/>
    <n v="80"/>
    <n v="1680"/>
    <n v="0.04"/>
    <n v="67.2"/>
    <x v="3"/>
  </r>
  <r>
    <s v="Ord-345"/>
    <x v="1"/>
    <x v="1"/>
    <x v="2"/>
    <n v="2"/>
    <n v="40"/>
    <n v="80"/>
    <n v="0.03"/>
    <n v="2.4"/>
    <x v="4"/>
  </r>
  <r>
    <s v="Ord-346"/>
    <x v="2"/>
    <x v="3"/>
    <x v="2"/>
    <n v="17"/>
    <n v="16"/>
    <n v="272"/>
    <n v="0.05"/>
    <n v="13.600000000000001"/>
    <x v="5"/>
  </r>
  <r>
    <s v="Ord-347"/>
    <x v="2"/>
    <x v="1"/>
    <x v="0"/>
    <n v="18"/>
    <n v="40"/>
    <n v="720"/>
    <n v="0.06"/>
    <n v="43.199999999999996"/>
    <x v="6"/>
  </r>
  <r>
    <s v="Ord-348"/>
    <x v="2"/>
    <x v="1"/>
    <x v="0"/>
    <n v="9"/>
    <n v="40"/>
    <n v="360"/>
    <n v="0.01"/>
    <n v="3.6"/>
    <x v="7"/>
  </r>
  <r>
    <s v="Ord-349"/>
    <x v="2"/>
    <x v="1"/>
    <x v="1"/>
    <n v="7"/>
    <n v="40"/>
    <n v="280"/>
    <n v="0.01"/>
    <n v="2.8000000000000003"/>
    <x v="8"/>
  </r>
  <r>
    <s v="Ord-350"/>
    <x v="2"/>
    <x v="2"/>
    <x v="2"/>
    <n v="12"/>
    <n v="230"/>
    <n v="2760"/>
    <n v="0.06"/>
    <n v="165.6"/>
    <x v="9"/>
  </r>
  <r>
    <s v="Ord-351"/>
    <x v="2"/>
    <x v="3"/>
    <x v="1"/>
    <n v="22"/>
    <n v="16"/>
    <n v="352"/>
    <n v="0.04"/>
    <n v="14.08"/>
    <x v="0"/>
  </r>
  <r>
    <s v="Ord-352"/>
    <x v="3"/>
    <x v="4"/>
    <x v="0"/>
    <n v="5"/>
    <n v="150"/>
    <n v="750"/>
    <n v="0.11"/>
    <n v="82.5"/>
    <x v="1"/>
  </r>
  <r>
    <s v="Ord-353"/>
    <x v="3"/>
    <x v="0"/>
    <x v="1"/>
    <n v="14"/>
    <n v="80"/>
    <n v="1120"/>
    <n v="0.11"/>
    <n v="123.2"/>
    <x v="2"/>
  </r>
  <r>
    <s v="Ord-354"/>
    <x v="3"/>
    <x v="3"/>
    <x v="2"/>
    <n v="8"/>
    <n v="16"/>
    <n v="128"/>
    <n v="0.03"/>
    <n v="3.84"/>
    <x v="3"/>
  </r>
  <r>
    <s v="Ord-355"/>
    <x v="3"/>
    <x v="2"/>
    <x v="2"/>
    <n v="6"/>
    <n v="230"/>
    <n v="1380"/>
    <n v="0.05"/>
    <n v="69"/>
    <x v="4"/>
  </r>
  <r>
    <s v="Ord-356"/>
    <x v="3"/>
    <x v="3"/>
    <x v="3"/>
    <n v="7"/>
    <n v="16"/>
    <n v="112"/>
    <n v="0.08"/>
    <n v="8.9600000000000009"/>
    <x v="5"/>
  </r>
  <r>
    <s v="Ord-357"/>
    <x v="3"/>
    <x v="0"/>
    <x v="1"/>
    <n v="16"/>
    <n v="80"/>
    <n v="1280"/>
    <n v="0.04"/>
    <n v="51.2"/>
    <x v="6"/>
  </r>
  <r>
    <s v="Ord-358"/>
    <x v="3"/>
    <x v="4"/>
    <x v="0"/>
    <n v="17"/>
    <n v="150"/>
    <n v="2550"/>
    <n v="0.12"/>
    <n v="306"/>
    <x v="7"/>
  </r>
  <r>
    <s v="Ord-359"/>
    <x v="3"/>
    <x v="3"/>
    <x v="1"/>
    <n v="7"/>
    <n v="16"/>
    <n v="112"/>
    <n v="0.08"/>
    <n v="8.9600000000000009"/>
    <x v="8"/>
  </r>
  <r>
    <s v="Ord-360"/>
    <x v="4"/>
    <x v="3"/>
    <x v="0"/>
    <n v="21"/>
    <n v="16"/>
    <n v="336"/>
    <n v="0.09"/>
    <n v="30.24"/>
    <x v="9"/>
  </r>
  <r>
    <s v="Ord-361"/>
    <x v="4"/>
    <x v="3"/>
    <x v="2"/>
    <n v="23"/>
    <n v="16"/>
    <n v="368"/>
    <n v="0.11"/>
    <n v="40.479999999999997"/>
    <x v="10"/>
  </r>
  <r>
    <s v="Ord-362"/>
    <x v="4"/>
    <x v="4"/>
    <x v="2"/>
    <n v="2"/>
    <n v="150"/>
    <n v="300"/>
    <n v="0.02"/>
    <n v="6"/>
    <x v="11"/>
  </r>
  <r>
    <s v="Ord-363"/>
    <x v="4"/>
    <x v="4"/>
    <x v="0"/>
    <n v="22"/>
    <n v="150"/>
    <n v="3300"/>
    <n v="7.0000000000000007E-2"/>
    <n v="231.00000000000003"/>
    <x v="0"/>
  </r>
  <r>
    <s v="Ord-364"/>
    <x v="4"/>
    <x v="1"/>
    <x v="3"/>
    <n v="22"/>
    <n v="40"/>
    <n v="880"/>
    <n v="0.01"/>
    <n v="8.8000000000000007"/>
    <x v="1"/>
  </r>
  <r>
    <s v="Ord-365"/>
    <x v="4"/>
    <x v="0"/>
    <x v="1"/>
    <n v="10"/>
    <n v="80"/>
    <n v="800"/>
    <n v="0.11"/>
    <n v="88"/>
    <x v="2"/>
  </r>
  <r>
    <s v="Ord-366"/>
    <x v="4"/>
    <x v="0"/>
    <x v="4"/>
    <n v="13"/>
    <n v="80"/>
    <n v="1040"/>
    <n v="0.05"/>
    <n v="52"/>
    <x v="3"/>
  </r>
  <r>
    <s v="Ord-367"/>
    <x v="4"/>
    <x v="2"/>
    <x v="3"/>
    <n v="11"/>
    <n v="230"/>
    <n v="2530"/>
    <n v="0.12"/>
    <n v="303.59999999999997"/>
    <x v="4"/>
  </r>
  <r>
    <s v="Ord-368"/>
    <x v="4"/>
    <x v="2"/>
    <x v="0"/>
    <n v="9"/>
    <n v="230"/>
    <n v="2070"/>
    <n v="7.0000000000000007E-2"/>
    <n v="144.9"/>
    <x v="5"/>
  </r>
  <r>
    <s v="Ord-369"/>
    <x v="4"/>
    <x v="2"/>
    <x v="3"/>
    <n v="16"/>
    <n v="230"/>
    <n v="3680"/>
    <n v="0.11"/>
    <n v="404.8"/>
    <x v="6"/>
  </r>
  <r>
    <s v="Ord-370"/>
    <x v="4"/>
    <x v="2"/>
    <x v="3"/>
    <n v="18"/>
    <n v="230"/>
    <n v="4140"/>
    <n v="0.01"/>
    <n v="41.4"/>
    <x v="7"/>
  </r>
  <r>
    <s v="Ord-371"/>
    <x v="4"/>
    <x v="3"/>
    <x v="1"/>
    <n v="15"/>
    <n v="16"/>
    <n v="240"/>
    <n v="0.02"/>
    <n v="4.8"/>
    <x v="8"/>
  </r>
  <r>
    <s v="Ord-372"/>
    <x v="4"/>
    <x v="1"/>
    <x v="4"/>
    <n v="18"/>
    <n v="40"/>
    <n v="720"/>
    <n v="0.06"/>
    <n v="43.199999999999996"/>
    <x v="9"/>
  </r>
  <r>
    <s v="Ord-373"/>
    <x v="4"/>
    <x v="1"/>
    <x v="3"/>
    <n v="18"/>
    <n v="40"/>
    <n v="720"/>
    <n v="0.04"/>
    <n v="28.8"/>
    <x v="10"/>
  </r>
  <r>
    <s v="Ord-374"/>
    <x v="4"/>
    <x v="3"/>
    <x v="3"/>
    <n v="22"/>
    <n v="16"/>
    <n v="352"/>
    <n v="0.03"/>
    <n v="10.559999999999999"/>
    <x v="11"/>
  </r>
  <r>
    <s v="Ord-375"/>
    <x v="4"/>
    <x v="3"/>
    <x v="2"/>
    <n v="12"/>
    <n v="16"/>
    <n v="192"/>
    <n v="0.11"/>
    <n v="21.12"/>
    <x v="0"/>
  </r>
  <r>
    <s v="Ord-376"/>
    <x v="5"/>
    <x v="0"/>
    <x v="0"/>
    <n v="20"/>
    <n v="80"/>
    <n v="1600"/>
    <n v="0.01"/>
    <n v="16"/>
    <x v="1"/>
  </r>
  <r>
    <s v="Ord-377"/>
    <x v="5"/>
    <x v="2"/>
    <x v="2"/>
    <n v="10"/>
    <n v="230"/>
    <n v="2300"/>
    <n v="0.02"/>
    <n v="46"/>
    <x v="2"/>
  </r>
  <r>
    <s v="Ord-378"/>
    <x v="5"/>
    <x v="2"/>
    <x v="1"/>
    <n v="9"/>
    <n v="230"/>
    <n v="2070"/>
    <n v="0.03"/>
    <n v="62.099999999999994"/>
    <x v="3"/>
  </r>
  <r>
    <s v="Ord-379"/>
    <x v="5"/>
    <x v="0"/>
    <x v="1"/>
    <n v="17"/>
    <n v="80"/>
    <n v="1360"/>
    <n v="0.03"/>
    <n v="40.799999999999997"/>
    <x v="4"/>
  </r>
  <r>
    <s v="Ord-380"/>
    <x v="5"/>
    <x v="1"/>
    <x v="4"/>
    <n v="4"/>
    <n v="40"/>
    <n v="160"/>
    <n v="0.09"/>
    <n v="14.399999999999999"/>
    <x v="5"/>
  </r>
  <r>
    <s v="Ord-381"/>
    <x v="5"/>
    <x v="4"/>
    <x v="1"/>
    <n v="16"/>
    <n v="150"/>
    <n v="2400"/>
    <n v="0.03"/>
    <n v="72"/>
    <x v="6"/>
  </r>
  <r>
    <s v="Ord-382"/>
    <x v="5"/>
    <x v="0"/>
    <x v="2"/>
    <n v="8"/>
    <n v="80"/>
    <n v="640"/>
    <n v="0.02"/>
    <n v="12.8"/>
    <x v="7"/>
  </r>
  <r>
    <s v="Ord-383"/>
    <x v="5"/>
    <x v="1"/>
    <x v="3"/>
    <n v="23"/>
    <n v="40"/>
    <n v="920"/>
    <n v="0.06"/>
    <n v="55.199999999999996"/>
    <x v="8"/>
  </r>
  <r>
    <s v="Ord-384"/>
    <x v="6"/>
    <x v="4"/>
    <x v="3"/>
    <n v="20"/>
    <n v="150"/>
    <n v="3000"/>
    <n v="0.1"/>
    <n v="300"/>
    <x v="9"/>
  </r>
  <r>
    <s v="Ord-385"/>
    <x v="6"/>
    <x v="2"/>
    <x v="4"/>
    <n v="22"/>
    <n v="230"/>
    <n v="5060"/>
    <n v="0.1"/>
    <n v="506"/>
    <x v="10"/>
  </r>
  <r>
    <s v="Ord-386"/>
    <x v="6"/>
    <x v="2"/>
    <x v="1"/>
    <n v="6"/>
    <n v="230"/>
    <n v="1380"/>
    <n v="0.1"/>
    <n v="138"/>
    <x v="11"/>
  </r>
  <r>
    <s v="Ord-387"/>
    <x v="6"/>
    <x v="0"/>
    <x v="3"/>
    <n v="10"/>
    <n v="80"/>
    <n v="800"/>
    <n v="0.1"/>
    <n v="80"/>
    <x v="0"/>
  </r>
  <r>
    <s v="Ord-388"/>
    <x v="6"/>
    <x v="2"/>
    <x v="4"/>
    <n v="21"/>
    <n v="230"/>
    <n v="4830"/>
    <n v="0.05"/>
    <n v="241.5"/>
    <x v="1"/>
  </r>
  <r>
    <s v="Ord-389"/>
    <x v="6"/>
    <x v="2"/>
    <x v="0"/>
    <n v="20"/>
    <n v="230"/>
    <n v="4600"/>
    <n v="0.04"/>
    <n v="184"/>
    <x v="2"/>
  </r>
  <r>
    <s v="Ord-390"/>
    <x v="6"/>
    <x v="0"/>
    <x v="2"/>
    <n v="20"/>
    <n v="80"/>
    <n v="1600"/>
    <n v="7.0000000000000007E-2"/>
    <n v="112.00000000000001"/>
    <x v="3"/>
  </r>
  <r>
    <s v="Ord-391"/>
    <x v="6"/>
    <x v="0"/>
    <x v="2"/>
    <n v="7"/>
    <n v="80"/>
    <n v="560"/>
    <n v="0.05"/>
    <n v="28"/>
    <x v="4"/>
  </r>
  <r>
    <s v="Ord-392"/>
    <x v="6"/>
    <x v="0"/>
    <x v="0"/>
    <n v="8"/>
    <n v="80"/>
    <n v="640"/>
    <n v="0.09"/>
    <n v="57.599999999999994"/>
    <x v="5"/>
  </r>
  <r>
    <s v="Ord-393"/>
    <x v="6"/>
    <x v="0"/>
    <x v="1"/>
    <n v="3"/>
    <n v="80"/>
    <n v="240"/>
    <n v="0.02"/>
    <n v="4.8"/>
    <x v="6"/>
  </r>
  <r>
    <s v="Ord-394"/>
    <x v="6"/>
    <x v="0"/>
    <x v="3"/>
    <n v="8"/>
    <n v="80"/>
    <n v="640"/>
    <n v="0.06"/>
    <n v="38.4"/>
    <x v="7"/>
  </r>
  <r>
    <s v="Ord-395"/>
    <x v="6"/>
    <x v="4"/>
    <x v="4"/>
    <n v="13"/>
    <n v="150"/>
    <n v="1950"/>
    <n v="0.11"/>
    <n v="214.5"/>
    <x v="8"/>
  </r>
  <r>
    <s v="Ord-396"/>
    <x v="6"/>
    <x v="0"/>
    <x v="3"/>
    <n v="15"/>
    <n v="80"/>
    <n v="1200"/>
    <n v="0.08"/>
    <n v="96"/>
    <x v="9"/>
  </r>
  <r>
    <s v="Ord-397"/>
    <x v="6"/>
    <x v="4"/>
    <x v="4"/>
    <n v="7"/>
    <n v="150"/>
    <n v="1050"/>
    <n v="0.02"/>
    <n v="21"/>
    <x v="10"/>
  </r>
  <r>
    <s v="Ord-398"/>
    <x v="6"/>
    <x v="1"/>
    <x v="2"/>
    <n v="6"/>
    <n v="40"/>
    <n v="240"/>
    <n v="0.06"/>
    <n v="14.399999999999999"/>
    <x v="11"/>
  </r>
  <r>
    <s v="Ord-399"/>
    <x v="6"/>
    <x v="0"/>
    <x v="3"/>
    <n v="23"/>
    <n v="80"/>
    <n v="1840"/>
    <n v="0.11"/>
    <n v="202.4"/>
    <x v="0"/>
  </r>
  <r>
    <s v="Ord-400"/>
    <x v="6"/>
    <x v="2"/>
    <x v="2"/>
    <n v="18"/>
    <n v="230"/>
    <n v="4140"/>
    <n v="0.01"/>
    <n v="41.4"/>
    <x v="1"/>
  </r>
  <r>
    <s v="Ord-401"/>
    <x v="7"/>
    <x v="0"/>
    <x v="4"/>
    <n v="21"/>
    <n v="80"/>
    <n v="1680"/>
    <n v="0.09"/>
    <n v="151.19999999999999"/>
    <x v="2"/>
  </r>
  <r>
    <s v="Ord-402"/>
    <x v="7"/>
    <x v="1"/>
    <x v="2"/>
    <n v="13"/>
    <n v="40"/>
    <n v="520"/>
    <n v="0.02"/>
    <n v="10.4"/>
    <x v="3"/>
  </r>
  <r>
    <s v="Ord-403"/>
    <x v="7"/>
    <x v="0"/>
    <x v="2"/>
    <n v="23"/>
    <n v="80"/>
    <n v="1840"/>
    <n v="0.05"/>
    <n v="92"/>
    <x v="4"/>
  </r>
  <r>
    <s v="Ord-404"/>
    <x v="7"/>
    <x v="4"/>
    <x v="3"/>
    <n v="15"/>
    <n v="150"/>
    <n v="2250"/>
    <n v="0.05"/>
    <n v="112.5"/>
    <x v="5"/>
  </r>
  <r>
    <s v="Ord-405"/>
    <x v="7"/>
    <x v="1"/>
    <x v="0"/>
    <n v="5"/>
    <n v="40"/>
    <n v="200"/>
    <n v="0.09"/>
    <n v="18"/>
    <x v="6"/>
  </r>
  <r>
    <s v="Ord-406"/>
    <x v="7"/>
    <x v="3"/>
    <x v="3"/>
    <n v="10"/>
    <n v="16"/>
    <n v="160"/>
    <n v="0.01"/>
    <n v="1.6"/>
    <x v="7"/>
  </r>
  <r>
    <s v="Ord-407"/>
    <x v="7"/>
    <x v="2"/>
    <x v="2"/>
    <n v="2"/>
    <n v="230"/>
    <n v="460"/>
    <n v="0.09"/>
    <n v="41.4"/>
    <x v="8"/>
  </r>
  <r>
    <s v="Ord-408"/>
    <x v="7"/>
    <x v="0"/>
    <x v="3"/>
    <n v="7"/>
    <n v="80"/>
    <n v="560"/>
    <n v="0.02"/>
    <n v="11.200000000000001"/>
    <x v="9"/>
  </r>
  <r>
    <s v="Ord-409"/>
    <x v="7"/>
    <x v="4"/>
    <x v="3"/>
    <n v="22"/>
    <n v="150"/>
    <n v="3300"/>
    <n v="0.05"/>
    <n v="165"/>
    <x v="10"/>
  </r>
  <r>
    <s v="Ord-410"/>
    <x v="7"/>
    <x v="1"/>
    <x v="4"/>
    <n v="17"/>
    <n v="40"/>
    <n v="680"/>
    <n v="0.02"/>
    <n v="13.6"/>
    <x v="11"/>
  </r>
  <r>
    <s v="Ord-411"/>
    <x v="7"/>
    <x v="3"/>
    <x v="0"/>
    <n v="22"/>
    <n v="16"/>
    <n v="352"/>
    <n v="0.06"/>
    <n v="21.119999999999997"/>
    <x v="0"/>
  </r>
  <r>
    <s v="Ord-412"/>
    <x v="7"/>
    <x v="3"/>
    <x v="4"/>
    <n v="3"/>
    <n v="16"/>
    <n v="48"/>
    <n v="0.03"/>
    <n v="1.44"/>
    <x v="1"/>
  </r>
  <r>
    <s v="Ord-413"/>
    <x v="7"/>
    <x v="2"/>
    <x v="4"/>
    <n v="2"/>
    <n v="230"/>
    <n v="460"/>
    <n v="0.08"/>
    <n v="36.800000000000004"/>
    <x v="2"/>
  </r>
  <r>
    <s v="Ord-414"/>
    <x v="7"/>
    <x v="3"/>
    <x v="0"/>
    <n v="21"/>
    <n v="16"/>
    <n v="336"/>
    <n v="0.09"/>
    <n v="30.24"/>
    <x v="3"/>
  </r>
  <r>
    <s v="Ord-415"/>
    <x v="7"/>
    <x v="0"/>
    <x v="3"/>
    <n v="7"/>
    <n v="80"/>
    <n v="560"/>
    <n v="7.0000000000000007E-2"/>
    <n v="39.200000000000003"/>
    <x v="4"/>
  </r>
  <r>
    <s v="Ord-416"/>
    <x v="7"/>
    <x v="4"/>
    <x v="1"/>
    <n v="23"/>
    <n v="150"/>
    <n v="3450"/>
    <n v="0.11"/>
    <n v="379.5"/>
    <x v="5"/>
  </r>
  <r>
    <s v="Ord-417"/>
    <x v="8"/>
    <x v="4"/>
    <x v="0"/>
    <n v="11"/>
    <n v="150"/>
    <n v="1650"/>
    <n v="0.05"/>
    <n v="82.5"/>
    <x v="6"/>
  </r>
  <r>
    <s v="Ord-418"/>
    <x v="8"/>
    <x v="0"/>
    <x v="4"/>
    <n v="16"/>
    <n v="80"/>
    <n v="1280"/>
    <n v="0.05"/>
    <n v="64"/>
    <x v="7"/>
  </r>
  <r>
    <s v="Ord-419"/>
    <x v="8"/>
    <x v="2"/>
    <x v="2"/>
    <n v="5"/>
    <n v="230"/>
    <n v="1150"/>
    <n v="0.1"/>
    <n v="115"/>
    <x v="8"/>
  </r>
  <r>
    <s v="Ord-420"/>
    <x v="8"/>
    <x v="3"/>
    <x v="0"/>
    <n v="22"/>
    <n v="16"/>
    <n v="352"/>
    <n v="0.01"/>
    <n v="3.52"/>
    <x v="9"/>
  </r>
  <r>
    <s v="Ord-421"/>
    <x v="8"/>
    <x v="1"/>
    <x v="4"/>
    <n v="7"/>
    <n v="40"/>
    <n v="280"/>
    <n v="0.12"/>
    <n v="33.6"/>
    <x v="0"/>
  </r>
  <r>
    <s v="Ord-422"/>
    <x v="8"/>
    <x v="0"/>
    <x v="1"/>
    <n v="2"/>
    <n v="80"/>
    <n v="160"/>
    <n v="0.04"/>
    <n v="6.4"/>
    <x v="1"/>
  </r>
  <r>
    <s v="Ord-423"/>
    <x v="8"/>
    <x v="1"/>
    <x v="3"/>
    <n v="6"/>
    <n v="40"/>
    <n v="240"/>
    <n v="7.0000000000000007E-2"/>
    <n v="16.8"/>
    <x v="2"/>
  </r>
  <r>
    <s v="Ord-424"/>
    <x v="8"/>
    <x v="0"/>
    <x v="2"/>
    <n v="6"/>
    <n v="80"/>
    <n v="480"/>
    <n v="0.01"/>
    <n v="4.8"/>
    <x v="3"/>
  </r>
  <r>
    <s v="Ord-425"/>
    <x v="8"/>
    <x v="3"/>
    <x v="1"/>
    <n v="22"/>
    <n v="16"/>
    <n v="352"/>
    <n v="0.01"/>
    <n v="3.52"/>
    <x v="4"/>
  </r>
  <r>
    <s v="Ord-426"/>
    <x v="8"/>
    <x v="2"/>
    <x v="3"/>
    <n v="7"/>
    <n v="230"/>
    <n v="1610"/>
    <n v="0.06"/>
    <n v="96.6"/>
    <x v="5"/>
  </r>
  <r>
    <s v="Ord-427"/>
    <x v="9"/>
    <x v="3"/>
    <x v="3"/>
    <n v="22"/>
    <n v="16"/>
    <n v="352"/>
    <n v="0.03"/>
    <n v="10.559999999999999"/>
    <x v="6"/>
  </r>
  <r>
    <s v="Ord-428"/>
    <x v="9"/>
    <x v="1"/>
    <x v="4"/>
    <n v="20"/>
    <n v="40"/>
    <n v="800"/>
    <n v="0.05"/>
    <n v="40"/>
    <x v="7"/>
  </r>
  <r>
    <s v="Ord-429"/>
    <x v="9"/>
    <x v="1"/>
    <x v="1"/>
    <n v="19"/>
    <n v="40"/>
    <n v="760"/>
    <n v="0.1"/>
    <n v="76"/>
    <x v="8"/>
  </r>
  <r>
    <s v="Ord-430"/>
    <x v="9"/>
    <x v="3"/>
    <x v="0"/>
    <n v="18"/>
    <n v="16"/>
    <n v="288"/>
    <n v="0.05"/>
    <n v="14.4"/>
    <x v="9"/>
  </r>
  <r>
    <s v="Ord-431"/>
    <x v="9"/>
    <x v="1"/>
    <x v="2"/>
    <n v="2"/>
    <n v="40"/>
    <n v="80"/>
    <n v="0.02"/>
    <n v="1.6"/>
    <x v="10"/>
  </r>
  <r>
    <s v="Ord-432"/>
    <x v="9"/>
    <x v="1"/>
    <x v="3"/>
    <n v="7"/>
    <n v="40"/>
    <n v="280"/>
    <n v="7.0000000000000007E-2"/>
    <n v="19.600000000000001"/>
    <x v="11"/>
  </r>
  <r>
    <s v="Ord-433"/>
    <x v="9"/>
    <x v="4"/>
    <x v="2"/>
    <n v="11"/>
    <n v="150"/>
    <n v="1650"/>
    <n v="0.05"/>
    <n v="82.5"/>
    <x v="0"/>
  </r>
  <r>
    <s v="Ord-434"/>
    <x v="9"/>
    <x v="0"/>
    <x v="1"/>
    <n v="14"/>
    <n v="80"/>
    <n v="1120"/>
    <n v="0.11"/>
    <n v="123.2"/>
    <x v="1"/>
  </r>
  <r>
    <s v="Ord-435"/>
    <x v="9"/>
    <x v="1"/>
    <x v="4"/>
    <n v="7"/>
    <n v="40"/>
    <n v="280"/>
    <n v="0.04"/>
    <n v="11.200000000000001"/>
    <x v="2"/>
  </r>
  <r>
    <s v="Ord-436"/>
    <x v="9"/>
    <x v="0"/>
    <x v="3"/>
    <n v="14"/>
    <n v="80"/>
    <n v="1120"/>
    <n v="0.05"/>
    <n v="56"/>
    <x v="3"/>
  </r>
  <r>
    <s v="Ord-437"/>
    <x v="10"/>
    <x v="3"/>
    <x v="2"/>
    <n v="12"/>
    <n v="16"/>
    <n v="192"/>
    <n v="0.11"/>
    <n v="21.12"/>
    <x v="4"/>
  </r>
  <r>
    <s v="Ord-438"/>
    <x v="10"/>
    <x v="1"/>
    <x v="4"/>
    <n v="11"/>
    <n v="40"/>
    <n v="440"/>
    <n v="0.05"/>
    <n v="22"/>
    <x v="5"/>
  </r>
  <r>
    <s v="Ord-439"/>
    <x v="10"/>
    <x v="3"/>
    <x v="2"/>
    <n v="14"/>
    <n v="16"/>
    <n v="224"/>
    <n v="0.01"/>
    <n v="2.2400000000000002"/>
    <x v="6"/>
  </r>
  <r>
    <s v="Ord-440"/>
    <x v="10"/>
    <x v="2"/>
    <x v="3"/>
    <n v="2"/>
    <n v="230"/>
    <n v="460"/>
    <n v="0.08"/>
    <n v="36.800000000000004"/>
    <x v="7"/>
  </r>
  <r>
    <s v="Ord-441"/>
    <x v="10"/>
    <x v="3"/>
    <x v="0"/>
    <n v="20"/>
    <n v="16"/>
    <n v="320"/>
    <n v="0.11"/>
    <n v="35.200000000000003"/>
    <x v="8"/>
  </r>
  <r>
    <s v="Ord-442"/>
    <x v="10"/>
    <x v="3"/>
    <x v="2"/>
    <n v="6"/>
    <n v="16"/>
    <n v="96"/>
    <n v="0.06"/>
    <n v="5.76"/>
    <x v="9"/>
  </r>
  <r>
    <s v="Ord-443"/>
    <x v="10"/>
    <x v="0"/>
    <x v="3"/>
    <n v="17"/>
    <n v="80"/>
    <n v="1360"/>
    <n v="0.05"/>
    <n v="68"/>
    <x v="10"/>
  </r>
  <r>
    <s v="Ord-444"/>
    <x v="10"/>
    <x v="1"/>
    <x v="0"/>
    <n v="2"/>
    <n v="40"/>
    <n v="80"/>
    <n v="0.12"/>
    <n v="9.6"/>
    <x v="11"/>
  </r>
  <r>
    <s v="Ord-445"/>
    <x v="10"/>
    <x v="3"/>
    <x v="0"/>
    <n v="7"/>
    <n v="16"/>
    <n v="112"/>
    <n v="0.12"/>
    <n v="13.44"/>
    <x v="0"/>
  </r>
  <r>
    <s v="Ord-446"/>
    <x v="10"/>
    <x v="4"/>
    <x v="0"/>
    <n v="7"/>
    <n v="150"/>
    <n v="1050"/>
    <n v="0.02"/>
    <n v="21"/>
    <x v="1"/>
  </r>
  <r>
    <s v="Ord-447"/>
    <x v="10"/>
    <x v="0"/>
    <x v="0"/>
    <n v="20"/>
    <n v="80"/>
    <n v="1600"/>
    <n v="0.01"/>
    <n v="16"/>
    <x v="2"/>
  </r>
  <r>
    <s v="Ord-448"/>
    <x v="10"/>
    <x v="0"/>
    <x v="3"/>
    <n v="11"/>
    <n v="80"/>
    <n v="880"/>
    <n v="0.01"/>
    <n v="8.8000000000000007"/>
    <x v="3"/>
  </r>
  <r>
    <s v="Ord-449"/>
    <x v="10"/>
    <x v="0"/>
    <x v="2"/>
    <n v="10"/>
    <n v="80"/>
    <n v="800"/>
    <n v="0.08"/>
    <n v="64"/>
    <x v="4"/>
  </r>
  <r>
    <s v="Ord-450"/>
    <x v="11"/>
    <x v="0"/>
    <x v="1"/>
    <n v="5"/>
    <n v="80"/>
    <n v="400"/>
    <n v="0.04"/>
    <n v="16"/>
    <x v="5"/>
  </r>
  <r>
    <s v="Ord-451"/>
    <x v="11"/>
    <x v="0"/>
    <x v="3"/>
    <n v="4"/>
    <n v="80"/>
    <n v="320"/>
    <n v="0.11"/>
    <n v="35.200000000000003"/>
    <x v="6"/>
  </r>
  <r>
    <s v="Ord-452"/>
    <x v="11"/>
    <x v="3"/>
    <x v="2"/>
    <n v="3"/>
    <n v="16"/>
    <n v="48"/>
    <n v="0.05"/>
    <n v="2.4000000000000004"/>
    <x v="7"/>
  </r>
  <r>
    <s v="Ord-453"/>
    <x v="11"/>
    <x v="0"/>
    <x v="0"/>
    <n v="9"/>
    <n v="80"/>
    <n v="720"/>
    <n v="0.04"/>
    <n v="28.8"/>
    <x v="8"/>
  </r>
  <r>
    <s v="Ord-454"/>
    <x v="11"/>
    <x v="0"/>
    <x v="4"/>
    <n v="16"/>
    <n v="80"/>
    <n v="1280"/>
    <n v="0.09"/>
    <n v="115.19999999999999"/>
    <x v="9"/>
  </r>
  <r>
    <s v="Ord-455"/>
    <x v="12"/>
    <x v="3"/>
    <x v="1"/>
    <n v="7"/>
    <n v="16"/>
    <n v="112"/>
    <n v="0.08"/>
    <n v="8.9600000000000009"/>
    <x v="10"/>
  </r>
  <r>
    <s v="Ord-456"/>
    <x v="12"/>
    <x v="4"/>
    <x v="1"/>
    <n v="16"/>
    <n v="150"/>
    <n v="2400"/>
    <n v="0.05"/>
    <n v="120"/>
    <x v="11"/>
  </r>
  <r>
    <s v="Ord-457"/>
    <x v="12"/>
    <x v="3"/>
    <x v="3"/>
    <n v="10"/>
    <n v="16"/>
    <n v="160"/>
    <n v="0.04"/>
    <n v="6.4"/>
    <x v="0"/>
  </r>
  <r>
    <s v="Ord-458"/>
    <x v="12"/>
    <x v="1"/>
    <x v="1"/>
    <n v="4"/>
    <n v="40"/>
    <n v="160"/>
    <n v="0.03"/>
    <n v="4.8"/>
    <x v="1"/>
  </r>
  <r>
    <s v="Ord-459"/>
    <x v="12"/>
    <x v="1"/>
    <x v="1"/>
    <n v="15"/>
    <n v="40"/>
    <n v="600"/>
    <n v="0.02"/>
    <n v="12"/>
    <x v="2"/>
  </r>
  <r>
    <s v="Ord-460"/>
    <x v="12"/>
    <x v="0"/>
    <x v="2"/>
    <n v="6"/>
    <n v="80"/>
    <n v="480"/>
    <n v="0.09"/>
    <n v="43.199999999999996"/>
    <x v="3"/>
  </r>
  <r>
    <s v="Ord-461"/>
    <x v="12"/>
    <x v="4"/>
    <x v="0"/>
    <n v="20"/>
    <n v="150"/>
    <n v="3000"/>
    <n v="0.01"/>
    <n v="30"/>
    <x v="4"/>
  </r>
  <r>
    <s v="Ord-462"/>
    <x v="12"/>
    <x v="3"/>
    <x v="0"/>
    <n v="7"/>
    <n v="16"/>
    <n v="112"/>
    <n v="0.08"/>
    <n v="8.9600000000000009"/>
    <x v="5"/>
  </r>
  <r>
    <s v="Ord-463"/>
    <x v="12"/>
    <x v="0"/>
    <x v="1"/>
    <n v="2"/>
    <n v="80"/>
    <n v="160"/>
    <n v="7.0000000000000007E-2"/>
    <n v="11.200000000000001"/>
    <x v="6"/>
  </r>
  <r>
    <s v="Ord-464"/>
    <x v="12"/>
    <x v="1"/>
    <x v="1"/>
    <n v="23"/>
    <n v="40"/>
    <n v="920"/>
    <n v="0.06"/>
    <n v="55.199999999999996"/>
    <x v="7"/>
  </r>
  <r>
    <s v="Ord-465"/>
    <x v="12"/>
    <x v="3"/>
    <x v="0"/>
    <n v="12"/>
    <n v="16"/>
    <n v="192"/>
    <n v="0.11"/>
    <n v="21.12"/>
    <x v="8"/>
  </r>
  <r>
    <s v="Ord-466"/>
    <x v="12"/>
    <x v="2"/>
    <x v="3"/>
    <n v="2"/>
    <n v="230"/>
    <n v="460"/>
    <n v="0.09"/>
    <n v="41.4"/>
    <x v="9"/>
  </r>
  <r>
    <s v="Ord-467"/>
    <x v="12"/>
    <x v="4"/>
    <x v="0"/>
    <n v="4"/>
    <n v="150"/>
    <n v="600"/>
    <n v="0.06"/>
    <n v="36"/>
    <x v="10"/>
  </r>
  <r>
    <s v="Ord-468"/>
    <x v="12"/>
    <x v="1"/>
    <x v="0"/>
    <n v="23"/>
    <n v="40"/>
    <n v="920"/>
    <n v="7.0000000000000007E-2"/>
    <n v="64.400000000000006"/>
    <x v="11"/>
  </r>
  <r>
    <s v="Ord-469"/>
    <x v="12"/>
    <x v="3"/>
    <x v="4"/>
    <n v="2"/>
    <n v="16"/>
    <n v="32"/>
    <n v="0.04"/>
    <n v="1.28"/>
    <x v="0"/>
  </r>
  <r>
    <s v="Ord-470"/>
    <x v="12"/>
    <x v="4"/>
    <x v="3"/>
    <n v="7"/>
    <n v="150"/>
    <n v="1050"/>
    <n v="0.05"/>
    <n v="52.5"/>
    <x v="1"/>
  </r>
  <r>
    <s v="Ord-471"/>
    <x v="13"/>
    <x v="1"/>
    <x v="0"/>
    <n v="15"/>
    <n v="40"/>
    <n v="600"/>
    <n v="0.06"/>
    <n v="36"/>
    <x v="2"/>
  </r>
  <r>
    <s v="Ord-472"/>
    <x v="13"/>
    <x v="0"/>
    <x v="3"/>
    <n v="16"/>
    <n v="80"/>
    <n v="1280"/>
    <n v="0.05"/>
    <n v="64"/>
    <x v="3"/>
  </r>
  <r>
    <s v="Ord-473"/>
    <x v="13"/>
    <x v="1"/>
    <x v="4"/>
    <n v="16"/>
    <n v="40"/>
    <n v="640"/>
    <n v="0.11"/>
    <n v="70.400000000000006"/>
    <x v="4"/>
  </r>
  <r>
    <s v="Ord-474"/>
    <x v="13"/>
    <x v="3"/>
    <x v="4"/>
    <n v="23"/>
    <n v="16"/>
    <n v="368"/>
    <n v="0.01"/>
    <n v="3.68"/>
    <x v="5"/>
  </r>
  <r>
    <s v="Ord-475"/>
    <x v="13"/>
    <x v="2"/>
    <x v="1"/>
    <n v="12"/>
    <n v="230"/>
    <n v="2760"/>
    <n v="0.03"/>
    <n v="82.8"/>
    <x v="6"/>
  </r>
  <r>
    <s v="Ord-476"/>
    <x v="13"/>
    <x v="3"/>
    <x v="0"/>
    <n v="4"/>
    <n v="16"/>
    <n v="64"/>
    <n v="0.12"/>
    <n v="7.68"/>
    <x v="7"/>
  </r>
  <r>
    <s v="Ord-477"/>
    <x v="13"/>
    <x v="4"/>
    <x v="3"/>
    <n v="3"/>
    <n v="150"/>
    <n v="450"/>
    <n v="0.01"/>
    <n v="4.5"/>
    <x v="8"/>
  </r>
  <r>
    <s v="Ord-478"/>
    <x v="13"/>
    <x v="4"/>
    <x v="1"/>
    <n v="10"/>
    <n v="150"/>
    <n v="1500"/>
    <n v="0.01"/>
    <n v="15"/>
    <x v="9"/>
  </r>
  <r>
    <s v="Ord-479"/>
    <x v="13"/>
    <x v="0"/>
    <x v="1"/>
    <n v="13"/>
    <n v="80"/>
    <n v="1040"/>
    <n v="0.06"/>
    <n v="62.4"/>
    <x v="10"/>
  </r>
  <r>
    <s v="Ord-480"/>
    <x v="13"/>
    <x v="2"/>
    <x v="2"/>
    <n v="15"/>
    <n v="230"/>
    <n v="3450"/>
    <n v="0.04"/>
    <n v="138"/>
    <x v="11"/>
  </r>
  <r>
    <s v="Ord-481"/>
    <x v="13"/>
    <x v="4"/>
    <x v="0"/>
    <n v="23"/>
    <n v="150"/>
    <n v="3450"/>
    <n v="0.1"/>
    <n v="345"/>
    <x v="0"/>
  </r>
  <r>
    <s v="Ord-482"/>
    <x v="13"/>
    <x v="4"/>
    <x v="1"/>
    <n v="15"/>
    <n v="150"/>
    <n v="2250"/>
    <n v="0.12"/>
    <n v="270"/>
    <x v="1"/>
  </r>
  <r>
    <s v="Ord-483"/>
    <x v="13"/>
    <x v="4"/>
    <x v="2"/>
    <n v="20"/>
    <n v="150"/>
    <n v="3000"/>
    <n v="0.12"/>
    <n v="360"/>
    <x v="2"/>
  </r>
  <r>
    <s v="Ord-484"/>
    <x v="13"/>
    <x v="1"/>
    <x v="3"/>
    <n v="13"/>
    <n v="40"/>
    <n v="520"/>
    <n v="0.09"/>
    <n v="46.8"/>
    <x v="3"/>
  </r>
  <r>
    <s v="Ord-485"/>
    <x v="14"/>
    <x v="3"/>
    <x v="2"/>
    <n v="11"/>
    <n v="16"/>
    <n v="176"/>
    <n v="0.04"/>
    <n v="7.04"/>
    <x v="4"/>
  </r>
  <r>
    <s v="Ord-486"/>
    <x v="14"/>
    <x v="4"/>
    <x v="2"/>
    <n v="20"/>
    <n v="150"/>
    <n v="3000"/>
    <n v="0.04"/>
    <n v="120"/>
    <x v="5"/>
  </r>
  <r>
    <s v="Ord-487"/>
    <x v="14"/>
    <x v="1"/>
    <x v="0"/>
    <n v="18"/>
    <n v="40"/>
    <n v="720"/>
    <n v="0.11"/>
    <n v="79.2"/>
    <x v="6"/>
  </r>
  <r>
    <s v="Ord-488"/>
    <x v="14"/>
    <x v="1"/>
    <x v="2"/>
    <n v="2"/>
    <n v="40"/>
    <n v="80"/>
    <n v="0.03"/>
    <n v="2.4"/>
    <x v="7"/>
  </r>
  <r>
    <s v="Ord-489"/>
    <x v="14"/>
    <x v="3"/>
    <x v="3"/>
    <n v="15"/>
    <n v="16"/>
    <n v="240"/>
    <n v="0.12"/>
    <n v="28.799999999999997"/>
    <x v="8"/>
  </r>
  <r>
    <s v="Ord-490"/>
    <x v="14"/>
    <x v="3"/>
    <x v="2"/>
    <n v="9"/>
    <n v="16"/>
    <n v="144"/>
    <n v="0.05"/>
    <n v="7.2"/>
    <x v="9"/>
  </r>
  <r>
    <s v="Ord-491"/>
    <x v="14"/>
    <x v="1"/>
    <x v="4"/>
    <n v="7"/>
    <n v="40"/>
    <n v="280"/>
    <n v="0.05"/>
    <n v="14"/>
    <x v="0"/>
  </r>
  <r>
    <s v="Ord-492"/>
    <x v="14"/>
    <x v="4"/>
    <x v="4"/>
    <n v="4"/>
    <n v="150"/>
    <n v="600"/>
    <n v="0.05"/>
    <n v="30"/>
    <x v="1"/>
  </r>
  <r>
    <s v="Ord-493"/>
    <x v="14"/>
    <x v="2"/>
    <x v="0"/>
    <n v="15"/>
    <n v="230"/>
    <n v="3450"/>
    <n v="0.05"/>
    <n v="172.5"/>
    <x v="2"/>
  </r>
  <r>
    <s v="Ord-494"/>
    <x v="15"/>
    <x v="1"/>
    <x v="1"/>
    <n v="12"/>
    <n v="40"/>
    <n v="480"/>
    <n v="0.1"/>
    <n v="48"/>
    <x v="3"/>
  </r>
  <r>
    <s v="Ord-495"/>
    <x v="15"/>
    <x v="2"/>
    <x v="3"/>
    <n v="23"/>
    <n v="230"/>
    <n v="5290"/>
    <n v="0.06"/>
    <n v="317.39999999999998"/>
    <x v="4"/>
  </r>
  <r>
    <s v="Ord-496"/>
    <x v="15"/>
    <x v="3"/>
    <x v="0"/>
    <n v="11"/>
    <n v="16"/>
    <n v="176"/>
    <n v="0.09"/>
    <n v="15.84"/>
    <x v="5"/>
  </r>
  <r>
    <s v="Ord-497"/>
    <x v="15"/>
    <x v="4"/>
    <x v="0"/>
    <n v="9"/>
    <n v="150"/>
    <n v="1350"/>
    <n v="0.1"/>
    <n v="135"/>
    <x v="6"/>
  </r>
  <r>
    <s v="Ord-498"/>
    <x v="15"/>
    <x v="0"/>
    <x v="0"/>
    <n v="18"/>
    <n v="80"/>
    <n v="1440"/>
    <n v="0.02"/>
    <n v="28.8"/>
    <x v="7"/>
  </r>
  <r>
    <s v="Ord-499"/>
    <x v="15"/>
    <x v="1"/>
    <x v="4"/>
    <n v="23"/>
    <n v="40"/>
    <n v="920"/>
    <n v="0.04"/>
    <n v="36.800000000000004"/>
    <x v="8"/>
  </r>
  <r>
    <s v="Ord-500"/>
    <x v="15"/>
    <x v="3"/>
    <x v="4"/>
    <n v="17"/>
    <n v="16"/>
    <n v="272"/>
    <n v="0.1"/>
    <n v="27.200000000000003"/>
    <x v="9"/>
  </r>
  <r>
    <s v="Ord-501"/>
    <x v="15"/>
    <x v="4"/>
    <x v="4"/>
    <n v="17"/>
    <n v="150"/>
    <n v="2550"/>
    <n v="0.02"/>
    <n v="51"/>
    <x v="10"/>
  </r>
  <r>
    <s v="Ord-502"/>
    <x v="15"/>
    <x v="0"/>
    <x v="3"/>
    <n v="21"/>
    <n v="80"/>
    <n v="1680"/>
    <n v="0.02"/>
    <n v="33.6"/>
    <x v="11"/>
  </r>
  <r>
    <s v="Ord-503"/>
    <x v="15"/>
    <x v="1"/>
    <x v="3"/>
    <n v="11"/>
    <n v="40"/>
    <n v="440"/>
    <n v="0.06"/>
    <n v="26.4"/>
    <x v="0"/>
  </r>
  <r>
    <s v="Ord-504"/>
    <x v="15"/>
    <x v="1"/>
    <x v="0"/>
    <n v="19"/>
    <n v="40"/>
    <n v="760"/>
    <n v="0.04"/>
    <n v="30.400000000000002"/>
    <x v="1"/>
  </r>
  <r>
    <s v="Ord-505"/>
    <x v="15"/>
    <x v="1"/>
    <x v="0"/>
    <n v="23"/>
    <n v="40"/>
    <n v="920"/>
    <n v="0.03"/>
    <n v="27.599999999999998"/>
    <x v="2"/>
  </r>
  <r>
    <s v="Ord-506"/>
    <x v="15"/>
    <x v="2"/>
    <x v="1"/>
    <n v="14"/>
    <n v="230"/>
    <n v="3220"/>
    <n v="0.05"/>
    <n v="161"/>
    <x v="3"/>
  </r>
  <r>
    <s v="Ord-507"/>
    <x v="15"/>
    <x v="1"/>
    <x v="2"/>
    <n v="18"/>
    <n v="40"/>
    <n v="720"/>
    <n v="0.03"/>
    <n v="21.599999999999998"/>
    <x v="4"/>
  </r>
  <r>
    <s v="Ord-508"/>
    <x v="15"/>
    <x v="4"/>
    <x v="1"/>
    <n v="2"/>
    <n v="150"/>
    <n v="300"/>
    <n v="0.09"/>
    <n v="27"/>
    <x v="5"/>
  </r>
  <r>
    <s v="Ord-509"/>
    <x v="15"/>
    <x v="2"/>
    <x v="1"/>
    <n v="7"/>
    <n v="230"/>
    <n v="1610"/>
    <n v="0.05"/>
    <n v="80.5"/>
    <x v="6"/>
  </r>
  <r>
    <s v="Ord-510"/>
    <x v="16"/>
    <x v="4"/>
    <x v="2"/>
    <n v="9"/>
    <n v="150"/>
    <n v="1350"/>
    <n v="0.02"/>
    <n v="27"/>
    <x v="7"/>
  </r>
  <r>
    <s v="Ord-511"/>
    <x v="16"/>
    <x v="1"/>
    <x v="4"/>
    <n v="3"/>
    <n v="40"/>
    <n v="120"/>
    <n v="0.03"/>
    <n v="3.5999999999999996"/>
    <x v="8"/>
  </r>
  <r>
    <s v="Ord-512"/>
    <x v="16"/>
    <x v="0"/>
    <x v="3"/>
    <n v="2"/>
    <n v="80"/>
    <n v="160"/>
    <n v="0.08"/>
    <n v="12.8"/>
    <x v="9"/>
  </r>
  <r>
    <s v="Ord-513"/>
    <x v="16"/>
    <x v="3"/>
    <x v="4"/>
    <n v="19"/>
    <n v="16"/>
    <n v="304"/>
    <n v="0.02"/>
    <n v="6.08"/>
    <x v="10"/>
  </r>
  <r>
    <s v="Ord-514"/>
    <x v="16"/>
    <x v="3"/>
    <x v="1"/>
    <n v="21"/>
    <n v="16"/>
    <n v="336"/>
    <n v="0.02"/>
    <n v="6.72"/>
    <x v="11"/>
  </r>
  <r>
    <s v="Ord-515"/>
    <x v="16"/>
    <x v="0"/>
    <x v="3"/>
    <n v="21"/>
    <n v="80"/>
    <n v="1680"/>
    <n v="0.05"/>
    <n v="84"/>
    <x v="0"/>
  </r>
  <r>
    <s v="Ord-516"/>
    <x v="16"/>
    <x v="2"/>
    <x v="4"/>
    <n v="3"/>
    <n v="230"/>
    <n v="690"/>
    <n v="0.1"/>
    <n v="69"/>
    <x v="1"/>
  </r>
  <r>
    <s v="Ord-517"/>
    <x v="16"/>
    <x v="1"/>
    <x v="2"/>
    <n v="4"/>
    <n v="40"/>
    <n v="160"/>
    <n v="0.11"/>
    <n v="17.600000000000001"/>
    <x v="2"/>
  </r>
  <r>
    <s v="Ord-518"/>
    <x v="16"/>
    <x v="4"/>
    <x v="4"/>
    <n v="7"/>
    <n v="150"/>
    <n v="1050"/>
    <n v="0.03"/>
    <n v="31.5"/>
    <x v="3"/>
  </r>
  <r>
    <s v="Ord-519"/>
    <x v="16"/>
    <x v="3"/>
    <x v="2"/>
    <n v="11"/>
    <n v="16"/>
    <n v="176"/>
    <n v="0.12"/>
    <n v="21.119999999999997"/>
    <x v="4"/>
  </r>
  <r>
    <s v="Ord-520"/>
    <x v="16"/>
    <x v="0"/>
    <x v="0"/>
    <n v="17"/>
    <n v="80"/>
    <n v="1360"/>
    <n v="7.0000000000000007E-2"/>
    <n v="95.2"/>
    <x v="5"/>
  </r>
  <r>
    <s v="Ord-521"/>
    <x v="16"/>
    <x v="3"/>
    <x v="3"/>
    <n v="5"/>
    <n v="16"/>
    <n v="80"/>
    <n v="0.09"/>
    <n v="7.1999999999999993"/>
    <x v="6"/>
  </r>
  <r>
    <s v="Ord-522"/>
    <x v="16"/>
    <x v="3"/>
    <x v="4"/>
    <n v="13"/>
    <n v="16"/>
    <n v="208"/>
    <n v="7.0000000000000007E-2"/>
    <n v="14.560000000000002"/>
    <x v="7"/>
  </r>
  <r>
    <s v="Ord-523"/>
    <x v="16"/>
    <x v="0"/>
    <x v="4"/>
    <n v="9"/>
    <n v="80"/>
    <n v="720"/>
    <n v="0.02"/>
    <n v="14.4"/>
    <x v="8"/>
  </r>
  <r>
    <s v="Ord-524"/>
    <x v="17"/>
    <x v="0"/>
    <x v="4"/>
    <n v="9"/>
    <n v="80"/>
    <n v="720"/>
    <n v="0.02"/>
    <n v="14.4"/>
    <x v="9"/>
  </r>
  <r>
    <s v="Ord-525"/>
    <x v="17"/>
    <x v="0"/>
    <x v="3"/>
    <n v="22"/>
    <n v="80"/>
    <n v="1760"/>
    <n v="0.03"/>
    <n v="52.8"/>
    <x v="10"/>
  </r>
  <r>
    <s v="Ord-526"/>
    <x v="17"/>
    <x v="4"/>
    <x v="0"/>
    <n v="13"/>
    <n v="150"/>
    <n v="1950"/>
    <n v="0.05"/>
    <n v="97.5"/>
    <x v="11"/>
  </r>
  <r>
    <s v="Ord-527"/>
    <x v="17"/>
    <x v="0"/>
    <x v="0"/>
    <n v="14"/>
    <n v="80"/>
    <n v="1120"/>
    <n v="0.08"/>
    <n v="89.600000000000009"/>
    <x v="0"/>
  </r>
  <r>
    <s v="Ord-528"/>
    <x v="17"/>
    <x v="0"/>
    <x v="0"/>
    <n v="6"/>
    <n v="80"/>
    <n v="480"/>
    <n v="7.0000000000000007E-2"/>
    <n v="33.6"/>
    <x v="1"/>
  </r>
  <r>
    <s v="Ord-529"/>
    <x v="17"/>
    <x v="0"/>
    <x v="0"/>
    <n v="16"/>
    <n v="80"/>
    <n v="1280"/>
    <n v="0.03"/>
    <n v="38.4"/>
    <x v="2"/>
  </r>
  <r>
    <s v="Ord-530"/>
    <x v="17"/>
    <x v="4"/>
    <x v="2"/>
    <n v="22"/>
    <n v="150"/>
    <n v="3300"/>
    <n v="0.09"/>
    <n v="297"/>
    <x v="3"/>
  </r>
  <r>
    <s v="Ord-531"/>
    <x v="17"/>
    <x v="4"/>
    <x v="3"/>
    <n v="4"/>
    <n v="150"/>
    <n v="600"/>
    <n v="0.12"/>
    <n v="72"/>
    <x v="4"/>
  </r>
  <r>
    <s v="Ord-532"/>
    <x v="17"/>
    <x v="2"/>
    <x v="4"/>
    <n v="7"/>
    <n v="230"/>
    <n v="1610"/>
    <n v="0.05"/>
    <n v="80.5"/>
    <x v="5"/>
  </r>
  <r>
    <s v="Ord-533"/>
    <x v="17"/>
    <x v="4"/>
    <x v="3"/>
    <n v="20"/>
    <n v="150"/>
    <n v="3000"/>
    <n v="0.1"/>
    <n v="300"/>
    <x v="6"/>
  </r>
  <r>
    <s v="Ord-534"/>
    <x v="17"/>
    <x v="2"/>
    <x v="3"/>
    <n v="8"/>
    <n v="230"/>
    <n v="1840"/>
    <n v="0.05"/>
    <n v="92"/>
    <x v="7"/>
  </r>
  <r>
    <s v="Ord-535"/>
    <x v="18"/>
    <x v="1"/>
    <x v="3"/>
    <n v="9"/>
    <n v="40"/>
    <n v="360"/>
    <n v="0.06"/>
    <n v="21.599999999999998"/>
    <x v="8"/>
  </r>
  <r>
    <s v="Ord-536"/>
    <x v="18"/>
    <x v="2"/>
    <x v="3"/>
    <n v="19"/>
    <n v="230"/>
    <n v="4370"/>
    <n v="0.06"/>
    <n v="262.2"/>
    <x v="9"/>
  </r>
  <r>
    <s v="Ord-537"/>
    <x v="18"/>
    <x v="1"/>
    <x v="3"/>
    <n v="22"/>
    <n v="40"/>
    <n v="880"/>
    <n v="0.01"/>
    <n v="8.8000000000000007"/>
    <x v="10"/>
  </r>
  <r>
    <s v="Ord-538"/>
    <x v="18"/>
    <x v="1"/>
    <x v="0"/>
    <n v="22"/>
    <n v="40"/>
    <n v="880"/>
    <n v="0.02"/>
    <n v="17.600000000000001"/>
    <x v="11"/>
  </r>
  <r>
    <s v="Ord-539"/>
    <x v="18"/>
    <x v="0"/>
    <x v="4"/>
    <n v="10"/>
    <n v="80"/>
    <n v="800"/>
    <n v="0.06"/>
    <n v="48"/>
    <x v="0"/>
  </r>
  <r>
    <s v="Ord-540"/>
    <x v="18"/>
    <x v="1"/>
    <x v="3"/>
    <n v="7"/>
    <n v="40"/>
    <n v="280"/>
    <n v="0.11"/>
    <n v="30.8"/>
    <x v="1"/>
  </r>
  <r>
    <s v="Ord-541"/>
    <x v="18"/>
    <x v="2"/>
    <x v="0"/>
    <n v="7"/>
    <n v="230"/>
    <n v="1610"/>
    <n v="0.08"/>
    <n v="128.80000000000001"/>
    <x v="2"/>
  </r>
  <r>
    <s v="Ord-542"/>
    <x v="18"/>
    <x v="3"/>
    <x v="0"/>
    <n v="18"/>
    <n v="16"/>
    <n v="288"/>
    <n v="0.11"/>
    <n v="31.68"/>
    <x v="3"/>
  </r>
  <r>
    <s v="Ord-543"/>
    <x v="18"/>
    <x v="2"/>
    <x v="2"/>
    <n v="14"/>
    <n v="230"/>
    <n v="3220"/>
    <n v="0.12"/>
    <n v="386.4"/>
    <x v="4"/>
  </r>
  <r>
    <s v="Ord-544"/>
    <x v="18"/>
    <x v="1"/>
    <x v="1"/>
    <n v="21"/>
    <n v="40"/>
    <n v="840"/>
    <n v="0.03"/>
    <n v="25.2"/>
    <x v="5"/>
  </r>
  <r>
    <s v="Ord-545"/>
    <x v="18"/>
    <x v="4"/>
    <x v="0"/>
    <n v="3"/>
    <n v="150"/>
    <n v="450"/>
    <n v="0.03"/>
    <n v="13.5"/>
    <x v="6"/>
  </r>
  <r>
    <s v="Ord-546"/>
    <x v="18"/>
    <x v="0"/>
    <x v="0"/>
    <n v="12"/>
    <n v="80"/>
    <n v="960"/>
    <n v="0.04"/>
    <n v="38.4"/>
    <x v="7"/>
  </r>
  <r>
    <s v="Ord-547"/>
    <x v="19"/>
    <x v="4"/>
    <x v="3"/>
    <n v="6"/>
    <n v="150"/>
    <n v="900"/>
    <n v="0.03"/>
    <n v="27"/>
    <x v="8"/>
  </r>
  <r>
    <s v="Ord-548"/>
    <x v="19"/>
    <x v="1"/>
    <x v="2"/>
    <n v="20"/>
    <n v="40"/>
    <n v="800"/>
    <n v="0.01"/>
    <n v="8"/>
    <x v="9"/>
  </r>
  <r>
    <s v="Ord-549"/>
    <x v="19"/>
    <x v="2"/>
    <x v="0"/>
    <n v="3"/>
    <n v="230"/>
    <n v="690"/>
    <n v="0.06"/>
    <n v="41.4"/>
    <x v="6"/>
  </r>
  <r>
    <s v="Ord-550"/>
    <x v="19"/>
    <x v="2"/>
    <x v="3"/>
    <n v="3"/>
    <n v="230"/>
    <n v="690"/>
    <n v="0.01"/>
    <n v="6.9"/>
    <x v="7"/>
  </r>
  <r>
    <s v="Ord-551"/>
    <x v="19"/>
    <x v="1"/>
    <x v="0"/>
    <n v="20"/>
    <n v="40"/>
    <n v="800"/>
    <n v="0.04"/>
    <n v="32"/>
    <x v="8"/>
  </r>
  <r>
    <s v="Ord-552"/>
    <x v="19"/>
    <x v="0"/>
    <x v="2"/>
    <n v="16"/>
    <n v="80"/>
    <n v="1280"/>
    <n v="0.02"/>
    <n v="25.6"/>
    <x v="9"/>
  </r>
  <r>
    <s v="Ord-553"/>
    <x v="19"/>
    <x v="4"/>
    <x v="0"/>
    <n v="8"/>
    <n v="150"/>
    <n v="1200"/>
    <n v="0.09"/>
    <n v="108"/>
    <x v="6"/>
  </r>
  <r>
    <s v="Ord-554"/>
    <x v="20"/>
    <x v="2"/>
    <x v="1"/>
    <n v="7"/>
    <n v="230"/>
    <n v="1610"/>
    <n v="0.01"/>
    <n v="16.100000000000001"/>
    <x v="7"/>
  </r>
  <r>
    <s v="Ord-555"/>
    <x v="20"/>
    <x v="4"/>
    <x v="1"/>
    <n v="23"/>
    <n v="150"/>
    <n v="3450"/>
    <n v="0.11"/>
    <n v="379.5"/>
    <x v="8"/>
  </r>
  <r>
    <s v="Ord-556"/>
    <x v="20"/>
    <x v="1"/>
    <x v="4"/>
    <n v="16"/>
    <n v="40"/>
    <n v="640"/>
    <n v="0.09"/>
    <n v="57.599999999999994"/>
    <x v="9"/>
  </r>
  <r>
    <s v="Ord-557"/>
    <x v="20"/>
    <x v="1"/>
    <x v="4"/>
    <n v="20"/>
    <n v="40"/>
    <n v="800"/>
    <n v="0.1"/>
    <n v="80"/>
    <x v="6"/>
  </r>
  <r>
    <s v="Ord-558"/>
    <x v="20"/>
    <x v="1"/>
    <x v="1"/>
    <n v="18"/>
    <n v="40"/>
    <n v="720"/>
    <n v="0.08"/>
    <n v="57.6"/>
    <x v="7"/>
  </r>
  <r>
    <s v="Ord-559"/>
    <x v="20"/>
    <x v="0"/>
    <x v="4"/>
    <n v="22"/>
    <n v="80"/>
    <n v="1760"/>
    <n v="0.09"/>
    <n v="158.4"/>
    <x v="8"/>
  </r>
  <r>
    <s v="Ord-560"/>
    <x v="20"/>
    <x v="4"/>
    <x v="1"/>
    <n v="22"/>
    <n v="150"/>
    <n v="3300"/>
    <n v="0.02"/>
    <n v="66"/>
    <x v="9"/>
  </r>
  <r>
    <s v="Ord-561"/>
    <x v="20"/>
    <x v="4"/>
    <x v="1"/>
    <n v="20"/>
    <n v="150"/>
    <n v="3000"/>
    <n v="0.09"/>
    <n v="270"/>
    <x v="6"/>
  </r>
  <r>
    <s v="Ord-562"/>
    <x v="20"/>
    <x v="3"/>
    <x v="0"/>
    <n v="10"/>
    <n v="16"/>
    <n v="160"/>
    <n v="0.08"/>
    <n v="12.8"/>
    <x v="7"/>
  </r>
  <r>
    <s v="Ord-563"/>
    <x v="20"/>
    <x v="1"/>
    <x v="2"/>
    <n v="12"/>
    <n v="40"/>
    <n v="480"/>
    <n v="0.02"/>
    <n v="9.6"/>
    <x v="8"/>
  </r>
  <r>
    <s v="Ord-564"/>
    <x v="20"/>
    <x v="4"/>
    <x v="0"/>
    <n v="4"/>
    <n v="150"/>
    <n v="600"/>
    <n v="0.1"/>
    <n v="60"/>
    <x v="9"/>
  </r>
  <r>
    <s v="Ord-565"/>
    <x v="20"/>
    <x v="0"/>
    <x v="2"/>
    <n v="5"/>
    <n v="80"/>
    <n v="400"/>
    <n v="0.09"/>
    <n v="36"/>
    <x v="6"/>
  </r>
  <r>
    <s v="Ord-566"/>
    <x v="20"/>
    <x v="1"/>
    <x v="0"/>
    <n v="11"/>
    <n v="40"/>
    <n v="440"/>
    <n v="0.04"/>
    <n v="17.600000000000001"/>
    <x v="7"/>
  </r>
  <r>
    <s v="Ord-567"/>
    <x v="20"/>
    <x v="4"/>
    <x v="1"/>
    <n v="13"/>
    <n v="150"/>
    <n v="1950"/>
    <n v="0.08"/>
    <n v="156"/>
    <x v="8"/>
  </r>
  <r>
    <s v="Ord-568"/>
    <x v="20"/>
    <x v="0"/>
    <x v="3"/>
    <n v="19"/>
    <n v="80"/>
    <n v="1520"/>
    <n v="0.02"/>
    <n v="30.400000000000002"/>
    <x v="9"/>
  </r>
  <r>
    <s v="Ord-569"/>
    <x v="20"/>
    <x v="2"/>
    <x v="1"/>
    <n v="7"/>
    <n v="230"/>
    <n v="1610"/>
    <n v="0.01"/>
    <n v="16.100000000000001"/>
    <x v="6"/>
  </r>
  <r>
    <s v="Ord-570"/>
    <x v="21"/>
    <x v="0"/>
    <x v="4"/>
    <n v="16"/>
    <n v="80"/>
    <n v="1280"/>
    <n v="0.09"/>
    <n v="115.19999999999999"/>
    <x v="7"/>
  </r>
  <r>
    <s v="Ord-571"/>
    <x v="21"/>
    <x v="2"/>
    <x v="0"/>
    <n v="7"/>
    <n v="230"/>
    <n v="1610"/>
    <n v="0.02"/>
    <n v="32.200000000000003"/>
    <x v="8"/>
  </r>
  <r>
    <s v="Ord-572"/>
    <x v="21"/>
    <x v="1"/>
    <x v="0"/>
    <n v="5"/>
    <n v="40"/>
    <n v="200"/>
    <n v="0.06"/>
    <n v="12"/>
    <x v="9"/>
  </r>
  <r>
    <s v="Ord-573"/>
    <x v="21"/>
    <x v="4"/>
    <x v="2"/>
    <n v="9"/>
    <n v="150"/>
    <n v="1350"/>
    <n v="0.06"/>
    <n v="81"/>
    <x v="6"/>
  </r>
  <r>
    <s v="Ord-574"/>
    <x v="21"/>
    <x v="1"/>
    <x v="4"/>
    <n v="20"/>
    <n v="40"/>
    <n v="800"/>
    <n v="7.0000000000000007E-2"/>
    <n v="56.000000000000007"/>
    <x v="7"/>
  </r>
  <r>
    <s v="Ord-575"/>
    <x v="21"/>
    <x v="3"/>
    <x v="1"/>
    <n v="20"/>
    <n v="16"/>
    <n v="320"/>
    <n v="0.06"/>
    <n v="19.2"/>
    <x v="8"/>
  </r>
  <r>
    <s v="Ord-576"/>
    <x v="21"/>
    <x v="1"/>
    <x v="4"/>
    <n v="5"/>
    <n v="40"/>
    <n v="200"/>
    <n v="0.03"/>
    <n v="6"/>
    <x v="9"/>
  </r>
  <r>
    <s v="Ord-577"/>
    <x v="22"/>
    <x v="0"/>
    <x v="3"/>
    <n v="7"/>
    <n v="80"/>
    <n v="560"/>
    <n v="7.0000000000000007E-2"/>
    <n v="39.200000000000003"/>
    <x v="6"/>
  </r>
  <r>
    <s v="Ord-578"/>
    <x v="22"/>
    <x v="3"/>
    <x v="4"/>
    <n v="22"/>
    <n v="16"/>
    <n v="352"/>
    <n v="0.12"/>
    <n v="42.239999999999995"/>
    <x v="7"/>
  </r>
  <r>
    <s v="Ord-579"/>
    <x v="22"/>
    <x v="3"/>
    <x v="4"/>
    <n v="11"/>
    <n v="16"/>
    <n v="176"/>
    <n v="0.12"/>
    <n v="21.119999999999997"/>
    <x v="8"/>
  </r>
  <r>
    <s v="Ord-580"/>
    <x v="22"/>
    <x v="2"/>
    <x v="3"/>
    <n v="17"/>
    <n v="230"/>
    <n v="3910"/>
    <n v="0.12"/>
    <n v="469.2"/>
    <x v="9"/>
  </r>
  <r>
    <s v="Ord-581"/>
    <x v="22"/>
    <x v="0"/>
    <x v="0"/>
    <n v="7"/>
    <n v="80"/>
    <n v="560"/>
    <n v="0.02"/>
    <n v="11.200000000000001"/>
    <x v="6"/>
  </r>
  <r>
    <s v="Ord-582"/>
    <x v="22"/>
    <x v="3"/>
    <x v="1"/>
    <n v="5"/>
    <n v="16"/>
    <n v="80"/>
    <n v="0.11"/>
    <n v="8.8000000000000007"/>
    <x v="7"/>
  </r>
  <r>
    <s v="Ord-583"/>
    <x v="22"/>
    <x v="4"/>
    <x v="4"/>
    <n v="18"/>
    <n v="150"/>
    <n v="2700"/>
    <n v="0.12"/>
    <n v="324"/>
    <x v="8"/>
  </r>
  <r>
    <s v="Ord-584"/>
    <x v="22"/>
    <x v="1"/>
    <x v="4"/>
    <n v="10"/>
    <n v="40"/>
    <n v="400"/>
    <n v="0.03"/>
    <n v="12"/>
    <x v="9"/>
  </r>
  <r>
    <s v="Ord-585"/>
    <x v="22"/>
    <x v="1"/>
    <x v="4"/>
    <n v="14"/>
    <n v="40"/>
    <n v="560"/>
    <n v="0.11"/>
    <n v="61.6"/>
    <x v="6"/>
  </r>
  <r>
    <s v="Ord-586"/>
    <x v="22"/>
    <x v="1"/>
    <x v="4"/>
    <n v="16"/>
    <n v="40"/>
    <n v="640"/>
    <n v="0.09"/>
    <n v="57.599999999999994"/>
    <x v="7"/>
  </r>
  <r>
    <s v="Ord-587"/>
    <x v="23"/>
    <x v="1"/>
    <x v="3"/>
    <n v="23"/>
    <n v="40"/>
    <n v="920"/>
    <n v="0.06"/>
    <n v="55.199999999999996"/>
    <x v="8"/>
  </r>
  <r>
    <s v="Ord-588"/>
    <x v="23"/>
    <x v="2"/>
    <x v="3"/>
    <n v="8"/>
    <n v="230"/>
    <n v="1840"/>
    <n v="0.05"/>
    <n v="92"/>
    <x v="9"/>
  </r>
  <r>
    <s v="Ord-589"/>
    <x v="23"/>
    <x v="3"/>
    <x v="3"/>
    <n v="14"/>
    <n v="16"/>
    <n v="224"/>
    <n v="0.12"/>
    <n v="26.88"/>
    <x v="6"/>
  </r>
  <r>
    <s v="Ord-590"/>
    <x v="23"/>
    <x v="0"/>
    <x v="0"/>
    <n v="17"/>
    <n v="80"/>
    <n v="1360"/>
    <n v="0.09"/>
    <n v="122.39999999999999"/>
    <x v="7"/>
  </r>
  <r>
    <s v="Ord-591"/>
    <x v="23"/>
    <x v="4"/>
    <x v="2"/>
    <n v="11"/>
    <n v="150"/>
    <n v="1650"/>
    <n v="0.11"/>
    <n v="181.5"/>
    <x v="8"/>
  </r>
  <r>
    <s v="Ord-592"/>
    <x v="23"/>
    <x v="1"/>
    <x v="3"/>
    <n v="15"/>
    <n v="40"/>
    <n v="600"/>
    <n v="0.03"/>
    <n v="18"/>
    <x v="9"/>
  </r>
  <r>
    <s v="Ord-593"/>
    <x v="23"/>
    <x v="0"/>
    <x v="4"/>
    <n v="9"/>
    <n v="80"/>
    <n v="720"/>
    <n v="7.0000000000000007E-2"/>
    <n v="50.400000000000006"/>
    <x v="6"/>
  </r>
  <r>
    <s v="Ord-594"/>
    <x v="23"/>
    <x v="2"/>
    <x v="1"/>
    <n v="22"/>
    <n v="230"/>
    <n v="5060"/>
    <n v="0.04"/>
    <n v="202.4"/>
    <x v="7"/>
  </r>
  <r>
    <s v="Ord-595"/>
    <x v="23"/>
    <x v="2"/>
    <x v="1"/>
    <n v="11"/>
    <n v="230"/>
    <n v="2530"/>
    <n v="0.1"/>
    <n v="253"/>
    <x v="8"/>
  </r>
  <r>
    <s v="Ord-596"/>
    <x v="23"/>
    <x v="1"/>
    <x v="2"/>
    <n v="11"/>
    <n v="40"/>
    <n v="440"/>
    <n v="0.12"/>
    <n v="52.8"/>
    <x v="9"/>
  </r>
  <r>
    <s v="Ord-597"/>
    <x v="23"/>
    <x v="1"/>
    <x v="3"/>
    <n v="9"/>
    <n v="40"/>
    <n v="360"/>
    <n v="0.06"/>
    <n v="21.599999999999998"/>
    <x v="6"/>
  </r>
  <r>
    <s v="Ord-598"/>
    <x v="24"/>
    <x v="1"/>
    <x v="3"/>
    <n v="13"/>
    <n v="40"/>
    <n v="520"/>
    <n v="0.09"/>
    <n v="46.8"/>
    <x v="7"/>
  </r>
  <r>
    <s v="Ord-599"/>
    <x v="24"/>
    <x v="1"/>
    <x v="1"/>
    <n v="4"/>
    <n v="40"/>
    <n v="160"/>
    <n v="0.12"/>
    <n v="19.2"/>
    <x v="8"/>
  </r>
  <r>
    <s v="Ord-600"/>
    <x v="24"/>
    <x v="4"/>
    <x v="0"/>
    <n v="22"/>
    <n v="150"/>
    <n v="3300"/>
    <n v="0.05"/>
    <n v="165"/>
    <x v="9"/>
  </r>
  <r>
    <s v="Ord-601"/>
    <x v="24"/>
    <x v="1"/>
    <x v="4"/>
    <n v="21"/>
    <n v="40"/>
    <n v="840"/>
    <n v="0.01"/>
    <n v="8.4"/>
    <x v="6"/>
  </r>
  <r>
    <s v="Ord-602"/>
    <x v="24"/>
    <x v="3"/>
    <x v="0"/>
    <n v="16"/>
    <n v="16"/>
    <n v="256"/>
    <n v="0.03"/>
    <n v="7.68"/>
    <x v="7"/>
  </r>
  <r>
    <s v="Ord-603"/>
    <x v="24"/>
    <x v="0"/>
    <x v="3"/>
    <n v="16"/>
    <n v="80"/>
    <n v="1280"/>
    <n v="7.0000000000000007E-2"/>
    <n v="89.600000000000009"/>
    <x v="8"/>
  </r>
  <r>
    <s v="Ord-604"/>
    <x v="24"/>
    <x v="0"/>
    <x v="1"/>
    <n v="15"/>
    <n v="80"/>
    <n v="1200"/>
    <n v="0.12"/>
    <n v="144"/>
    <x v="9"/>
  </r>
  <r>
    <s v="Ord-605"/>
    <x v="24"/>
    <x v="4"/>
    <x v="0"/>
    <n v="20"/>
    <n v="150"/>
    <n v="3000"/>
    <n v="0.03"/>
    <n v="90"/>
    <x v="6"/>
  </r>
  <r>
    <s v="Ord-606"/>
    <x v="24"/>
    <x v="1"/>
    <x v="3"/>
    <n v="13"/>
    <n v="40"/>
    <n v="520"/>
    <n v="0.06"/>
    <n v="31.2"/>
    <x v="7"/>
  </r>
  <r>
    <s v="Ord-607"/>
    <x v="24"/>
    <x v="3"/>
    <x v="4"/>
    <n v="3"/>
    <n v="16"/>
    <n v="48"/>
    <n v="0.06"/>
    <n v="2.88"/>
    <x v="8"/>
  </r>
  <r>
    <s v="Ord-608"/>
    <x v="24"/>
    <x v="3"/>
    <x v="2"/>
    <n v="11"/>
    <n v="16"/>
    <n v="176"/>
    <n v="0.04"/>
    <n v="7.04"/>
    <x v="9"/>
  </r>
  <r>
    <s v="Ord-609"/>
    <x v="25"/>
    <x v="1"/>
    <x v="4"/>
    <n v="16"/>
    <n v="40"/>
    <n v="640"/>
    <n v="0.09"/>
    <n v="57.599999999999994"/>
    <x v="6"/>
  </r>
  <r>
    <s v="Ord-610"/>
    <x v="25"/>
    <x v="1"/>
    <x v="2"/>
    <n v="4"/>
    <n v="40"/>
    <n v="160"/>
    <n v="0.06"/>
    <n v="9.6"/>
    <x v="7"/>
  </r>
  <r>
    <s v="Ord-611"/>
    <x v="25"/>
    <x v="1"/>
    <x v="2"/>
    <n v="20"/>
    <n v="40"/>
    <n v="800"/>
    <n v="0.01"/>
    <n v="8"/>
    <x v="8"/>
  </r>
  <r>
    <s v="Ord-612"/>
    <x v="25"/>
    <x v="1"/>
    <x v="2"/>
    <n v="4"/>
    <n v="40"/>
    <n v="160"/>
    <n v="0.1"/>
    <n v="16"/>
    <x v="9"/>
  </r>
  <r>
    <s v="Ord-613"/>
    <x v="25"/>
    <x v="0"/>
    <x v="1"/>
    <n v="14"/>
    <n v="80"/>
    <n v="1120"/>
    <n v="0.06"/>
    <n v="67.2"/>
    <x v="6"/>
  </r>
  <r>
    <s v="Ord-614"/>
    <x v="25"/>
    <x v="4"/>
    <x v="1"/>
    <n v="15"/>
    <n v="150"/>
    <n v="2250"/>
    <n v="0.02"/>
    <n v="45"/>
    <x v="7"/>
  </r>
  <r>
    <s v="Ord-615"/>
    <x v="25"/>
    <x v="0"/>
    <x v="2"/>
    <n v="14"/>
    <n v="80"/>
    <n v="1120"/>
    <n v="0.1"/>
    <n v="112"/>
    <x v="8"/>
  </r>
  <r>
    <s v="Ord-616"/>
    <x v="25"/>
    <x v="4"/>
    <x v="0"/>
    <n v="20"/>
    <n v="150"/>
    <n v="3000"/>
    <n v="0.04"/>
    <n v="120"/>
    <x v="9"/>
  </r>
  <r>
    <s v="Ord-617"/>
    <x v="25"/>
    <x v="0"/>
    <x v="4"/>
    <n v="22"/>
    <n v="80"/>
    <n v="1760"/>
    <n v="0.1"/>
    <n v="176"/>
    <x v="6"/>
  </r>
  <r>
    <s v="Ord-618"/>
    <x v="25"/>
    <x v="2"/>
    <x v="4"/>
    <n v="20"/>
    <n v="230"/>
    <n v="4600"/>
    <n v="0.09"/>
    <n v="414"/>
    <x v="7"/>
  </r>
  <r>
    <s v="Ord-619"/>
    <x v="25"/>
    <x v="2"/>
    <x v="2"/>
    <n v="12"/>
    <n v="230"/>
    <n v="2760"/>
    <n v="0.03"/>
    <n v="82.8"/>
    <x v="8"/>
  </r>
  <r>
    <s v="Ord-620"/>
    <x v="26"/>
    <x v="0"/>
    <x v="0"/>
    <n v="21"/>
    <n v="80"/>
    <n v="1680"/>
    <n v="0.04"/>
    <n v="67.2"/>
    <x v="9"/>
  </r>
  <r>
    <s v="Ord-621"/>
    <x v="26"/>
    <x v="1"/>
    <x v="1"/>
    <n v="15"/>
    <n v="40"/>
    <n v="600"/>
    <n v="0.04"/>
    <n v="24"/>
    <x v="6"/>
  </r>
  <r>
    <s v="Ord-622"/>
    <x v="26"/>
    <x v="0"/>
    <x v="3"/>
    <n v="16"/>
    <n v="80"/>
    <n v="1280"/>
    <n v="0.1"/>
    <n v="128"/>
    <x v="7"/>
  </r>
  <r>
    <s v="Ord-623"/>
    <x v="26"/>
    <x v="2"/>
    <x v="4"/>
    <n v="17"/>
    <n v="230"/>
    <n v="3910"/>
    <n v="0.11"/>
    <n v="430.1"/>
    <x v="8"/>
  </r>
  <r>
    <s v="Ord-624"/>
    <x v="26"/>
    <x v="2"/>
    <x v="4"/>
    <n v="5"/>
    <n v="230"/>
    <n v="1150"/>
    <n v="0.12"/>
    <n v="138"/>
    <x v="9"/>
  </r>
  <r>
    <s v="Ord-625"/>
    <x v="26"/>
    <x v="3"/>
    <x v="0"/>
    <n v="20"/>
    <n v="16"/>
    <n v="320"/>
    <n v="0.01"/>
    <n v="3.2"/>
    <x v="6"/>
  </r>
  <r>
    <s v="Ord-626"/>
    <x v="26"/>
    <x v="2"/>
    <x v="0"/>
    <n v="5"/>
    <n v="230"/>
    <n v="1150"/>
    <n v="0.1"/>
    <n v="115"/>
    <x v="7"/>
  </r>
  <r>
    <s v="Ord-627"/>
    <x v="26"/>
    <x v="1"/>
    <x v="1"/>
    <n v="8"/>
    <n v="40"/>
    <n v="320"/>
    <n v="0.09"/>
    <n v="28.799999999999997"/>
    <x v="8"/>
  </r>
  <r>
    <s v="Ord-628"/>
    <x v="26"/>
    <x v="3"/>
    <x v="0"/>
    <n v="7"/>
    <n v="16"/>
    <n v="112"/>
    <n v="0.02"/>
    <n v="2.2400000000000002"/>
    <x v="9"/>
  </r>
  <r>
    <s v="Ord-629"/>
    <x v="26"/>
    <x v="4"/>
    <x v="3"/>
    <n v="15"/>
    <n v="150"/>
    <n v="2250"/>
    <n v="0.08"/>
    <n v="180"/>
    <x v="6"/>
  </r>
  <r>
    <s v="Ord-630"/>
    <x v="26"/>
    <x v="2"/>
    <x v="4"/>
    <n v="20"/>
    <n v="230"/>
    <n v="4600"/>
    <n v="0.11"/>
    <n v="506"/>
    <x v="7"/>
  </r>
  <r>
    <s v="Ord-631"/>
    <x v="26"/>
    <x v="3"/>
    <x v="1"/>
    <n v="4"/>
    <n v="16"/>
    <n v="64"/>
    <n v="0.09"/>
    <n v="5.76"/>
    <x v="8"/>
  </r>
  <r>
    <s v="Ord-632"/>
    <x v="26"/>
    <x v="1"/>
    <x v="3"/>
    <n v="11"/>
    <n v="40"/>
    <n v="440"/>
    <n v="0.09"/>
    <n v="39.6"/>
    <x v="9"/>
  </r>
  <r>
    <s v="Ord-633"/>
    <x v="26"/>
    <x v="4"/>
    <x v="2"/>
    <n v="15"/>
    <n v="150"/>
    <n v="2250"/>
    <n v="0.05"/>
    <n v="112.5"/>
    <x v="6"/>
  </r>
  <r>
    <s v="Ord-634"/>
    <x v="26"/>
    <x v="2"/>
    <x v="2"/>
    <n v="5"/>
    <n v="230"/>
    <n v="1150"/>
    <n v="0.01"/>
    <n v="11.5"/>
    <x v="7"/>
  </r>
  <r>
    <s v="Ord-635"/>
    <x v="26"/>
    <x v="2"/>
    <x v="2"/>
    <n v="14"/>
    <n v="230"/>
    <n v="3220"/>
    <n v="0.03"/>
    <n v="96.6"/>
    <x v="8"/>
  </r>
  <r>
    <s v="Ord-636"/>
    <x v="26"/>
    <x v="1"/>
    <x v="4"/>
    <n v="23"/>
    <n v="40"/>
    <n v="920"/>
    <n v="0.05"/>
    <n v="46"/>
    <x v="9"/>
  </r>
  <r>
    <s v="Ord-637"/>
    <x v="26"/>
    <x v="0"/>
    <x v="3"/>
    <n v="22"/>
    <n v="80"/>
    <n v="1760"/>
    <n v="0.03"/>
    <n v="52.8"/>
    <x v="6"/>
  </r>
  <r>
    <s v="Ord-638"/>
    <x v="27"/>
    <x v="2"/>
    <x v="2"/>
    <n v="20"/>
    <n v="230"/>
    <n v="4600"/>
    <n v="0.06"/>
    <n v="276"/>
    <x v="7"/>
  </r>
  <r>
    <s v="Ord-639"/>
    <x v="27"/>
    <x v="2"/>
    <x v="1"/>
    <n v="15"/>
    <n v="230"/>
    <n v="3450"/>
    <n v="0.09"/>
    <n v="310.5"/>
    <x v="8"/>
  </r>
  <r>
    <s v="Ord-640"/>
    <x v="27"/>
    <x v="4"/>
    <x v="2"/>
    <n v="18"/>
    <n v="150"/>
    <n v="2700"/>
    <n v="0.06"/>
    <n v="162"/>
    <x v="9"/>
  </r>
  <r>
    <s v="Ord-641"/>
    <x v="27"/>
    <x v="2"/>
    <x v="0"/>
    <n v="3"/>
    <n v="230"/>
    <n v="690"/>
    <n v="0.11"/>
    <n v="75.900000000000006"/>
    <x v="6"/>
  </r>
  <r>
    <s v="Ord-642"/>
    <x v="27"/>
    <x v="4"/>
    <x v="4"/>
    <n v="11"/>
    <n v="150"/>
    <n v="1650"/>
    <n v="0.09"/>
    <n v="148.5"/>
    <x v="7"/>
  </r>
  <r>
    <s v="Ord-643"/>
    <x v="27"/>
    <x v="2"/>
    <x v="0"/>
    <n v="11"/>
    <n v="230"/>
    <n v="2530"/>
    <n v="0.02"/>
    <n v="50.6"/>
    <x v="8"/>
  </r>
  <r>
    <s v="Ord-644"/>
    <x v="27"/>
    <x v="2"/>
    <x v="4"/>
    <n v="13"/>
    <n v="230"/>
    <n v="2990"/>
    <n v="0.06"/>
    <n v="179.4"/>
    <x v="9"/>
  </r>
  <r>
    <s v="Ord-645"/>
    <x v="28"/>
    <x v="0"/>
    <x v="3"/>
    <n v="11"/>
    <n v="80"/>
    <n v="880"/>
    <n v="0.01"/>
    <n v="8.8000000000000007"/>
    <x v="6"/>
  </r>
  <r>
    <s v="Ord-646"/>
    <x v="28"/>
    <x v="0"/>
    <x v="4"/>
    <n v="17"/>
    <n v="80"/>
    <n v="1360"/>
    <n v="7.0000000000000007E-2"/>
    <n v="95.2"/>
    <x v="7"/>
  </r>
  <r>
    <s v="Ord-647"/>
    <x v="28"/>
    <x v="4"/>
    <x v="4"/>
    <n v="15"/>
    <n v="150"/>
    <n v="2250"/>
    <n v="7.0000000000000007E-2"/>
    <n v="157.50000000000003"/>
    <x v="8"/>
  </r>
  <r>
    <s v="Ord-648"/>
    <x v="28"/>
    <x v="3"/>
    <x v="4"/>
    <n v="14"/>
    <n v="16"/>
    <n v="224"/>
    <n v="0.06"/>
    <n v="13.44"/>
    <x v="9"/>
  </r>
  <r>
    <s v="Ord-649"/>
    <x v="28"/>
    <x v="3"/>
    <x v="1"/>
    <n v="4"/>
    <n v="16"/>
    <n v="64"/>
    <n v="7.0000000000000007E-2"/>
    <n v="4.4800000000000004"/>
    <x v="6"/>
  </r>
  <r>
    <s v="Ord-650"/>
    <x v="28"/>
    <x v="4"/>
    <x v="4"/>
    <n v="23"/>
    <n v="150"/>
    <n v="3450"/>
    <n v="0.08"/>
    <n v="276"/>
    <x v="7"/>
  </r>
  <r>
    <s v="Ord-651"/>
    <x v="28"/>
    <x v="0"/>
    <x v="2"/>
    <n v="10"/>
    <n v="80"/>
    <n v="800"/>
    <n v="0.11"/>
    <n v="88"/>
    <x v="8"/>
  </r>
  <r>
    <s v="Ord-652"/>
    <x v="28"/>
    <x v="2"/>
    <x v="2"/>
    <n v="7"/>
    <n v="230"/>
    <n v="1610"/>
    <n v="0.01"/>
    <n v="16.100000000000001"/>
    <x v="9"/>
  </r>
  <r>
    <s v="Ord-653"/>
    <x v="28"/>
    <x v="2"/>
    <x v="0"/>
    <n v="16"/>
    <n v="230"/>
    <n v="3680"/>
    <n v="7.0000000000000007E-2"/>
    <n v="257.60000000000002"/>
    <x v="6"/>
  </r>
  <r>
    <s v="Ord-654"/>
    <x v="28"/>
    <x v="3"/>
    <x v="4"/>
    <n v="17"/>
    <n v="16"/>
    <n v="272"/>
    <n v="0.08"/>
    <n v="21.76"/>
    <x v="7"/>
  </r>
  <r>
    <s v="Ord-655"/>
    <x v="29"/>
    <x v="0"/>
    <x v="4"/>
    <n v="6"/>
    <n v="80"/>
    <n v="480"/>
    <n v="0.09"/>
    <n v="43.199999999999996"/>
    <x v="8"/>
  </r>
  <r>
    <s v="Ord-656"/>
    <x v="29"/>
    <x v="4"/>
    <x v="2"/>
    <n v="22"/>
    <n v="150"/>
    <n v="3300"/>
    <n v="0.04"/>
    <n v="132"/>
    <x v="9"/>
  </r>
  <r>
    <s v="Ord-657"/>
    <x v="29"/>
    <x v="1"/>
    <x v="4"/>
    <n v="20"/>
    <n v="40"/>
    <n v="800"/>
    <n v="0.03"/>
    <n v="24"/>
    <x v="6"/>
  </r>
  <r>
    <s v="Ord-658"/>
    <x v="29"/>
    <x v="4"/>
    <x v="1"/>
    <n v="16"/>
    <n v="150"/>
    <n v="2400"/>
    <n v="0.08"/>
    <n v="192"/>
    <x v="7"/>
  </r>
  <r>
    <s v="Ord-659"/>
    <x v="29"/>
    <x v="0"/>
    <x v="1"/>
    <n v="5"/>
    <n v="80"/>
    <n v="400"/>
    <n v="7.0000000000000007E-2"/>
    <n v="28.000000000000004"/>
    <x v="8"/>
  </r>
  <r>
    <s v="Ord-660"/>
    <x v="29"/>
    <x v="4"/>
    <x v="3"/>
    <n v="6"/>
    <n v="150"/>
    <n v="900"/>
    <n v="0.03"/>
    <n v="27"/>
    <x v="9"/>
  </r>
  <r>
    <s v="Ord-661"/>
    <x v="30"/>
    <x v="0"/>
    <x v="1"/>
    <n v="9"/>
    <n v="80"/>
    <n v="720"/>
    <n v="0.03"/>
    <n v="21.599999999999998"/>
    <x v="6"/>
  </r>
  <r>
    <s v="Ord-662"/>
    <x v="30"/>
    <x v="0"/>
    <x v="0"/>
    <n v="8"/>
    <n v="80"/>
    <n v="640"/>
    <n v="0.08"/>
    <n v="51.2"/>
    <x v="7"/>
  </r>
  <r>
    <s v="Ord-663"/>
    <x v="30"/>
    <x v="2"/>
    <x v="3"/>
    <n v="8"/>
    <n v="230"/>
    <n v="1840"/>
    <n v="0.01"/>
    <n v="18.400000000000002"/>
    <x v="8"/>
  </r>
  <r>
    <s v="Ord-664"/>
    <x v="30"/>
    <x v="3"/>
    <x v="4"/>
    <n v="12"/>
    <n v="16"/>
    <n v="192"/>
    <n v="0.04"/>
    <n v="7.68"/>
    <x v="9"/>
  </r>
  <r>
    <s v="Ord-665"/>
    <x v="30"/>
    <x v="3"/>
    <x v="3"/>
    <n v="18"/>
    <n v="16"/>
    <n v="288"/>
    <n v="0.04"/>
    <n v="11.52"/>
    <x v="6"/>
  </r>
  <r>
    <s v="Ord-666"/>
    <x v="0"/>
    <x v="3"/>
    <x v="3"/>
    <n v="10"/>
    <n v="16"/>
    <n v="160"/>
    <n v="0.01"/>
    <n v="1.6"/>
    <x v="7"/>
  </r>
  <r>
    <s v="Ord-667"/>
    <x v="0"/>
    <x v="3"/>
    <x v="3"/>
    <n v="14"/>
    <n v="16"/>
    <n v="224"/>
    <n v="0.12"/>
    <n v="26.88"/>
    <x v="8"/>
  </r>
  <r>
    <s v="Ord-668"/>
    <x v="0"/>
    <x v="1"/>
    <x v="2"/>
    <n v="6"/>
    <n v="40"/>
    <n v="240"/>
    <n v="0.06"/>
    <n v="14.399999999999999"/>
    <x v="9"/>
  </r>
  <r>
    <s v="Ord-669"/>
    <x v="0"/>
    <x v="1"/>
    <x v="3"/>
    <n v="13"/>
    <n v="40"/>
    <n v="520"/>
    <n v="0.09"/>
    <n v="46.8"/>
    <x v="6"/>
  </r>
  <r>
    <s v="Ord-670"/>
    <x v="0"/>
    <x v="3"/>
    <x v="3"/>
    <n v="10"/>
    <n v="16"/>
    <n v="160"/>
    <n v="0.04"/>
    <n v="6.4"/>
    <x v="7"/>
  </r>
  <r>
    <s v="Ord-671"/>
    <x v="0"/>
    <x v="0"/>
    <x v="1"/>
    <n v="14"/>
    <n v="80"/>
    <n v="1120"/>
    <n v="0.11"/>
    <n v="123.2"/>
    <x v="8"/>
  </r>
  <r>
    <s v="Ord-672"/>
    <x v="0"/>
    <x v="1"/>
    <x v="1"/>
    <n v="4"/>
    <n v="40"/>
    <n v="160"/>
    <n v="0.06"/>
    <n v="9.6"/>
    <x v="9"/>
  </r>
  <r>
    <s v="Ord-673"/>
    <x v="0"/>
    <x v="1"/>
    <x v="2"/>
    <n v="11"/>
    <n v="40"/>
    <n v="440"/>
    <n v="0.05"/>
    <n v="22"/>
    <x v="6"/>
  </r>
  <r>
    <s v="Ord-674"/>
    <x v="0"/>
    <x v="3"/>
    <x v="2"/>
    <n v="14"/>
    <n v="16"/>
    <n v="224"/>
    <n v="0.01"/>
    <n v="2.2400000000000002"/>
    <x v="7"/>
  </r>
  <r>
    <s v="Ord-675"/>
    <x v="0"/>
    <x v="4"/>
    <x v="0"/>
    <n v="20"/>
    <n v="150"/>
    <n v="3000"/>
    <n v="0.04"/>
    <n v="120"/>
    <x v="8"/>
  </r>
  <r>
    <s v="Ord-676"/>
    <x v="0"/>
    <x v="1"/>
    <x v="3"/>
    <n v="9"/>
    <n v="40"/>
    <n v="360"/>
    <n v="0.06"/>
    <n v="21.599999999999998"/>
    <x v="9"/>
  </r>
  <r>
    <s v="Ord-677"/>
    <x v="0"/>
    <x v="4"/>
    <x v="2"/>
    <n v="18"/>
    <n v="150"/>
    <n v="2700"/>
    <n v="0.06"/>
    <n v="162"/>
    <x v="6"/>
  </r>
  <r>
    <s v="Ord-678"/>
    <x v="0"/>
    <x v="2"/>
    <x v="4"/>
    <n v="17"/>
    <n v="230"/>
    <n v="3910"/>
    <n v="0.11"/>
    <n v="430.1"/>
    <x v="7"/>
  </r>
  <r>
    <s v="Ord-679"/>
    <x v="1"/>
    <x v="1"/>
    <x v="0"/>
    <n v="20"/>
    <n v="40"/>
    <n v="800"/>
    <n v="0.04"/>
    <n v="32"/>
    <x v="8"/>
  </r>
  <r>
    <s v="Ord-680"/>
    <x v="1"/>
    <x v="1"/>
    <x v="0"/>
    <n v="23"/>
    <n v="40"/>
    <n v="920"/>
    <n v="0.03"/>
    <n v="27.599999999999998"/>
    <x v="9"/>
  </r>
  <r>
    <s v="Ord-681"/>
    <x v="1"/>
    <x v="2"/>
    <x v="4"/>
    <n v="21"/>
    <n v="230"/>
    <n v="4830"/>
    <n v="0.05"/>
    <n v="241.5"/>
    <x v="6"/>
  </r>
  <r>
    <s v="Ord-682"/>
    <x v="1"/>
    <x v="0"/>
    <x v="2"/>
    <n v="6"/>
    <n v="80"/>
    <n v="480"/>
    <n v="0.09"/>
    <n v="43.199999999999996"/>
    <x v="7"/>
  </r>
  <r>
    <s v="Ord-683"/>
    <x v="1"/>
    <x v="3"/>
    <x v="0"/>
    <n v="20"/>
    <n v="16"/>
    <n v="320"/>
    <n v="0.01"/>
    <n v="3.2"/>
    <x v="8"/>
  </r>
  <r>
    <s v="Ord-684"/>
    <x v="1"/>
    <x v="1"/>
    <x v="1"/>
    <n v="8"/>
    <n v="40"/>
    <n v="320"/>
    <n v="0.09"/>
    <n v="28.799999999999997"/>
    <x v="9"/>
  </r>
  <r>
    <s v="Ord-685"/>
    <x v="1"/>
    <x v="2"/>
    <x v="1"/>
    <n v="15"/>
    <n v="230"/>
    <n v="3450"/>
    <n v="0.09"/>
    <n v="310.5"/>
    <x v="6"/>
  </r>
  <r>
    <s v="Ord-686"/>
    <x v="2"/>
    <x v="0"/>
    <x v="3"/>
    <n v="21"/>
    <n v="80"/>
    <n v="1680"/>
    <n v="0.02"/>
    <n v="33.6"/>
    <x v="7"/>
  </r>
  <r>
    <s v="Ord-687"/>
    <x v="2"/>
    <x v="0"/>
    <x v="3"/>
    <n v="19"/>
    <n v="80"/>
    <n v="1520"/>
    <n v="0.02"/>
    <n v="30.400000000000002"/>
    <x v="8"/>
  </r>
  <r>
    <s v="Ord-688"/>
    <x v="2"/>
    <x v="3"/>
    <x v="0"/>
    <n v="7"/>
    <n v="16"/>
    <n v="112"/>
    <n v="0.08"/>
    <n v="8.9600000000000009"/>
    <x v="9"/>
  </r>
  <r>
    <s v="Ord-689"/>
    <x v="2"/>
    <x v="1"/>
    <x v="4"/>
    <n v="11"/>
    <n v="40"/>
    <n v="440"/>
    <n v="0.05"/>
    <n v="22"/>
    <x v="6"/>
  </r>
  <r>
    <s v="Ord-690"/>
    <x v="2"/>
    <x v="2"/>
    <x v="3"/>
    <n v="8"/>
    <n v="230"/>
    <n v="1840"/>
    <n v="0.05"/>
    <n v="92"/>
    <x v="7"/>
  </r>
  <r>
    <s v="Ord-691"/>
    <x v="2"/>
    <x v="0"/>
    <x v="0"/>
    <n v="18"/>
    <n v="80"/>
    <n v="1440"/>
    <n v="0.02"/>
    <n v="28.8"/>
    <x v="8"/>
  </r>
  <r>
    <s v="Ord-692"/>
    <x v="2"/>
    <x v="1"/>
    <x v="0"/>
    <n v="7"/>
    <n v="40"/>
    <n v="280"/>
    <n v="0.1"/>
    <n v="28"/>
    <x v="9"/>
  </r>
  <r>
    <s v="Ord-693"/>
    <x v="3"/>
    <x v="3"/>
    <x v="0"/>
    <n v="16"/>
    <n v="16"/>
    <n v="256"/>
    <n v="0.03"/>
    <n v="7.68"/>
    <x v="6"/>
  </r>
  <r>
    <s v="Ord-694"/>
    <x v="3"/>
    <x v="0"/>
    <x v="0"/>
    <n v="8"/>
    <n v="80"/>
    <n v="640"/>
    <n v="0.08"/>
    <n v="51.2"/>
    <x v="7"/>
  </r>
  <r>
    <s v="Ord-695"/>
    <x v="3"/>
    <x v="2"/>
    <x v="4"/>
    <n v="22"/>
    <n v="230"/>
    <n v="5060"/>
    <n v="0.1"/>
    <n v="506"/>
    <x v="8"/>
  </r>
  <r>
    <s v="Ord-696"/>
    <x v="3"/>
    <x v="2"/>
    <x v="4"/>
    <n v="3"/>
    <n v="230"/>
    <n v="690"/>
    <n v="0.1"/>
    <n v="69"/>
    <x v="9"/>
  </r>
  <r>
    <s v="Ord-697"/>
    <x v="3"/>
    <x v="2"/>
    <x v="4"/>
    <n v="20"/>
    <n v="230"/>
    <n v="4600"/>
    <n v="0.11"/>
    <n v="506"/>
    <x v="6"/>
  </r>
  <r>
    <s v="Ord-698"/>
    <x v="3"/>
    <x v="3"/>
    <x v="2"/>
    <n v="12"/>
    <n v="16"/>
    <n v="192"/>
    <n v="0.03"/>
    <n v="5.76"/>
    <x v="7"/>
  </r>
  <r>
    <s v="Ord-699"/>
    <x v="3"/>
    <x v="1"/>
    <x v="4"/>
    <n v="20"/>
    <n v="40"/>
    <n v="800"/>
    <n v="7.0000000000000007E-2"/>
    <n v="56.000000000000007"/>
    <x v="8"/>
  </r>
  <r>
    <s v="Ord-700"/>
    <x v="3"/>
    <x v="2"/>
    <x v="0"/>
    <n v="3"/>
    <n v="230"/>
    <n v="690"/>
    <n v="0.06"/>
    <n v="41.4"/>
    <x v="9"/>
  </r>
  <r>
    <s v="Ord-701"/>
    <x v="3"/>
    <x v="0"/>
    <x v="3"/>
    <n v="16"/>
    <n v="80"/>
    <n v="1280"/>
    <n v="7.0000000000000007E-2"/>
    <n v="89.600000000000009"/>
    <x v="6"/>
  </r>
  <r>
    <s v="Ord-702"/>
    <x v="4"/>
    <x v="1"/>
    <x v="4"/>
    <n v="3"/>
    <n v="40"/>
    <n v="120"/>
    <n v="0.03"/>
    <n v="3.5999999999999996"/>
    <x v="7"/>
  </r>
  <r>
    <s v="Ord-703"/>
    <x v="4"/>
    <x v="2"/>
    <x v="2"/>
    <n v="12"/>
    <n v="230"/>
    <n v="2760"/>
    <n v="0.03"/>
    <n v="82.8"/>
    <x v="8"/>
  </r>
  <r>
    <s v="Ord-704"/>
    <x v="4"/>
    <x v="1"/>
    <x v="3"/>
    <n v="22"/>
    <n v="40"/>
    <n v="880"/>
    <n v="0.01"/>
    <n v="8.8000000000000007"/>
    <x v="9"/>
  </r>
  <r>
    <s v="Ord-705"/>
    <x v="4"/>
    <x v="1"/>
    <x v="1"/>
    <n v="19"/>
    <n v="40"/>
    <n v="760"/>
    <n v="0.1"/>
    <n v="76"/>
    <x v="6"/>
  </r>
  <r>
    <s v="Ord-706"/>
    <x v="4"/>
    <x v="0"/>
    <x v="1"/>
    <n v="21"/>
    <n v="80"/>
    <n v="1680"/>
    <n v="0.04"/>
    <n v="67.2"/>
    <x v="7"/>
  </r>
  <r>
    <s v="Ord-707"/>
    <x v="4"/>
    <x v="0"/>
    <x v="1"/>
    <n v="2"/>
    <n v="80"/>
    <n v="160"/>
    <n v="0.04"/>
    <n v="6.4"/>
    <x v="8"/>
  </r>
  <r>
    <s v="Ord-708"/>
    <x v="4"/>
    <x v="4"/>
    <x v="1"/>
    <n v="15"/>
    <n v="150"/>
    <n v="2250"/>
    <n v="0.02"/>
    <n v="45"/>
    <x v="9"/>
  </r>
  <r>
    <s v="Ord-709"/>
    <x v="5"/>
    <x v="1"/>
    <x v="1"/>
    <n v="14"/>
    <n v="40"/>
    <n v="560"/>
    <n v="0.06"/>
    <n v="33.6"/>
    <x v="6"/>
  </r>
  <r>
    <s v="Ord-710"/>
    <x v="5"/>
    <x v="0"/>
    <x v="3"/>
    <n v="7"/>
    <n v="80"/>
    <n v="560"/>
    <n v="7.0000000000000007E-2"/>
    <n v="39.200000000000003"/>
    <x v="7"/>
  </r>
  <r>
    <s v="Ord-711"/>
    <x v="5"/>
    <x v="0"/>
    <x v="2"/>
    <n v="7"/>
    <n v="80"/>
    <n v="560"/>
    <n v="0.05"/>
    <n v="28"/>
    <x v="8"/>
  </r>
  <r>
    <s v="Ord-712"/>
    <x v="5"/>
    <x v="4"/>
    <x v="1"/>
    <n v="10"/>
    <n v="150"/>
    <n v="1500"/>
    <n v="0.01"/>
    <n v="15"/>
    <x v="9"/>
  </r>
  <r>
    <s v="Ord-713"/>
    <x v="5"/>
    <x v="0"/>
    <x v="2"/>
    <n v="10"/>
    <n v="80"/>
    <n v="800"/>
    <n v="0.08"/>
    <n v="64"/>
    <x v="6"/>
  </r>
  <r>
    <s v="Ord-714"/>
    <x v="5"/>
    <x v="0"/>
    <x v="3"/>
    <n v="15"/>
    <n v="80"/>
    <n v="1200"/>
    <n v="0.08"/>
    <n v="96"/>
    <x v="7"/>
  </r>
  <r>
    <s v="Ord-715"/>
    <x v="5"/>
    <x v="2"/>
    <x v="3"/>
    <n v="18"/>
    <n v="230"/>
    <n v="4140"/>
    <n v="0.01"/>
    <n v="41.4"/>
    <x v="8"/>
  </r>
  <r>
    <s v="Ord-716"/>
    <x v="5"/>
    <x v="0"/>
    <x v="0"/>
    <n v="8"/>
    <n v="80"/>
    <n v="640"/>
    <n v="0.09"/>
    <n v="57.599999999999994"/>
    <x v="9"/>
  </r>
  <r>
    <s v="Ord-717"/>
    <x v="5"/>
    <x v="3"/>
    <x v="2"/>
    <n v="6"/>
    <n v="16"/>
    <n v="96"/>
    <n v="0.01"/>
    <n v="0.96"/>
    <x v="6"/>
  </r>
  <r>
    <s v="Ord-718"/>
    <x v="5"/>
    <x v="2"/>
    <x v="1"/>
    <n v="9"/>
    <n v="230"/>
    <n v="2070"/>
    <n v="0.03"/>
    <n v="62.099999999999994"/>
    <x v="7"/>
  </r>
  <r>
    <s v="Ord-719"/>
    <x v="6"/>
    <x v="1"/>
    <x v="3"/>
    <n v="15"/>
    <n v="40"/>
    <n v="600"/>
    <n v="0.03"/>
    <n v="18"/>
    <x v="8"/>
  </r>
  <r>
    <s v="Ord-720"/>
    <x v="6"/>
    <x v="1"/>
    <x v="1"/>
    <n v="15"/>
    <n v="40"/>
    <n v="600"/>
    <n v="0.04"/>
    <n v="24"/>
    <x v="9"/>
  </r>
  <r>
    <s v="Ord-721"/>
    <x v="6"/>
    <x v="3"/>
    <x v="4"/>
    <n v="11"/>
    <n v="16"/>
    <n v="176"/>
    <n v="0.12"/>
    <n v="21.119999999999997"/>
    <x v="6"/>
  </r>
  <r>
    <s v="Ord-722"/>
    <x v="6"/>
    <x v="3"/>
    <x v="0"/>
    <n v="12"/>
    <n v="16"/>
    <n v="192"/>
    <n v="0.11"/>
    <n v="21.12"/>
    <x v="2"/>
  </r>
  <r>
    <s v="Ord-723"/>
    <x v="6"/>
    <x v="3"/>
    <x v="3"/>
    <n v="18"/>
    <n v="16"/>
    <n v="288"/>
    <n v="0.04"/>
    <n v="11.52"/>
    <x v="8"/>
  </r>
  <r>
    <s v="Ord-724"/>
    <x v="6"/>
    <x v="1"/>
    <x v="2"/>
    <n v="20"/>
    <n v="40"/>
    <n v="800"/>
    <n v="0.01"/>
    <n v="8"/>
    <x v="2"/>
  </r>
  <r>
    <s v="Ord-725"/>
    <x v="6"/>
    <x v="4"/>
    <x v="4"/>
    <n v="7"/>
    <n v="150"/>
    <n v="1050"/>
    <n v="0.03"/>
    <n v="31.5"/>
    <x v="8"/>
  </r>
  <r>
    <s v="Ord-726"/>
    <x v="6"/>
    <x v="1"/>
    <x v="3"/>
    <n v="23"/>
    <n v="40"/>
    <n v="920"/>
    <n v="0.06"/>
    <n v="55.199999999999996"/>
    <x v="2"/>
  </r>
  <r>
    <s v="Ord-727"/>
    <x v="6"/>
    <x v="0"/>
    <x v="0"/>
    <n v="7"/>
    <n v="80"/>
    <n v="560"/>
    <n v="0.02"/>
    <n v="11.200000000000001"/>
    <x v="8"/>
  </r>
  <r>
    <s v="Ord-728"/>
    <x v="6"/>
    <x v="4"/>
    <x v="1"/>
    <n v="16"/>
    <n v="150"/>
    <n v="2400"/>
    <n v="0.05"/>
    <n v="120"/>
    <x v="2"/>
  </r>
  <r>
    <s v="Ord-729"/>
    <x v="6"/>
    <x v="2"/>
    <x v="1"/>
    <n v="6"/>
    <n v="230"/>
    <n v="1380"/>
    <n v="0.1"/>
    <n v="138"/>
    <x v="8"/>
  </r>
  <r>
    <s v="Ord-730"/>
    <x v="7"/>
    <x v="1"/>
    <x v="4"/>
    <n v="7"/>
    <n v="40"/>
    <n v="280"/>
    <n v="0.12"/>
    <n v="33.6"/>
    <x v="2"/>
  </r>
  <r>
    <s v="Ord-731"/>
    <x v="7"/>
    <x v="0"/>
    <x v="2"/>
    <n v="23"/>
    <n v="80"/>
    <n v="1840"/>
    <n v="0.05"/>
    <n v="92"/>
    <x v="8"/>
  </r>
  <r>
    <s v="Ord-732"/>
    <x v="7"/>
    <x v="0"/>
    <x v="3"/>
    <n v="16"/>
    <n v="80"/>
    <n v="1280"/>
    <n v="0.1"/>
    <n v="128"/>
    <x v="2"/>
  </r>
  <r>
    <s v="Ord-733"/>
    <x v="7"/>
    <x v="0"/>
    <x v="0"/>
    <n v="16"/>
    <n v="80"/>
    <n v="1280"/>
    <n v="0.03"/>
    <n v="38.4"/>
    <x v="8"/>
  </r>
  <r>
    <s v="Ord-734"/>
    <x v="7"/>
    <x v="0"/>
    <x v="4"/>
    <n v="22"/>
    <n v="80"/>
    <n v="1760"/>
    <n v="0.09"/>
    <n v="158.4"/>
    <x v="2"/>
  </r>
  <r>
    <s v="Ord-735"/>
    <x v="7"/>
    <x v="3"/>
    <x v="0"/>
    <n v="18"/>
    <n v="16"/>
    <n v="288"/>
    <n v="0.05"/>
    <n v="14.4"/>
    <x v="8"/>
  </r>
  <r>
    <s v="Ord-736"/>
    <x v="7"/>
    <x v="2"/>
    <x v="4"/>
    <n v="5"/>
    <n v="230"/>
    <n v="1150"/>
    <n v="0.12"/>
    <n v="138"/>
    <x v="2"/>
  </r>
  <r>
    <s v="Ord-737"/>
    <x v="7"/>
    <x v="4"/>
    <x v="4"/>
    <n v="7"/>
    <n v="150"/>
    <n v="1050"/>
    <n v="0.02"/>
    <n v="21"/>
    <x v="8"/>
  </r>
  <r>
    <s v="Ord-738"/>
    <x v="7"/>
    <x v="1"/>
    <x v="2"/>
    <n v="2"/>
    <n v="40"/>
    <n v="80"/>
    <n v="0.03"/>
    <n v="2.4"/>
    <x v="2"/>
  </r>
  <r>
    <s v="Ord-739"/>
    <x v="7"/>
    <x v="1"/>
    <x v="3"/>
    <n v="11"/>
    <n v="40"/>
    <n v="440"/>
    <n v="0.06"/>
    <n v="26.4"/>
    <x v="8"/>
  </r>
  <r>
    <s v="Ord-740"/>
    <x v="7"/>
    <x v="0"/>
    <x v="3"/>
    <n v="7"/>
    <n v="80"/>
    <n v="560"/>
    <n v="0.02"/>
    <n v="11.200000000000001"/>
    <x v="2"/>
  </r>
  <r>
    <s v="Ord-741"/>
    <x v="8"/>
    <x v="1"/>
    <x v="2"/>
    <n v="4"/>
    <n v="40"/>
    <n v="160"/>
    <n v="0.11"/>
    <n v="17.600000000000001"/>
    <x v="8"/>
  </r>
  <r>
    <s v="Ord-742"/>
    <x v="8"/>
    <x v="1"/>
    <x v="2"/>
    <n v="2"/>
    <n v="40"/>
    <n v="80"/>
    <n v="0.02"/>
    <n v="1.6"/>
    <x v="2"/>
  </r>
  <r>
    <s v="Ord-743"/>
    <x v="8"/>
    <x v="2"/>
    <x v="3"/>
    <n v="23"/>
    <n v="230"/>
    <n v="5290"/>
    <n v="0.06"/>
    <n v="317.39999999999998"/>
    <x v="8"/>
  </r>
  <r>
    <s v="Ord-744"/>
    <x v="8"/>
    <x v="0"/>
    <x v="4"/>
    <n v="21"/>
    <n v="80"/>
    <n v="1680"/>
    <n v="0.09"/>
    <n v="151.19999999999999"/>
    <x v="2"/>
  </r>
  <r>
    <s v="Ord-745"/>
    <x v="8"/>
    <x v="0"/>
    <x v="4"/>
    <n v="9"/>
    <n v="80"/>
    <n v="720"/>
    <n v="0.06"/>
    <n v="43.199999999999996"/>
    <x v="8"/>
  </r>
  <r>
    <s v="Ord-746"/>
    <x v="8"/>
    <x v="0"/>
    <x v="4"/>
    <n v="22"/>
    <n v="80"/>
    <n v="1760"/>
    <n v="0.11"/>
    <n v="193.6"/>
    <x v="2"/>
  </r>
  <r>
    <s v="Ord-747"/>
    <x v="9"/>
    <x v="2"/>
    <x v="2"/>
    <n v="15"/>
    <n v="230"/>
    <n v="3450"/>
    <n v="0.11"/>
    <n v="379.5"/>
    <x v="8"/>
  </r>
  <r>
    <s v="Ord-748"/>
    <x v="9"/>
    <x v="1"/>
    <x v="1"/>
    <n v="7"/>
    <n v="40"/>
    <n v="280"/>
    <n v="0.01"/>
    <n v="2.8000000000000003"/>
    <x v="2"/>
  </r>
  <r>
    <s v="Ord-749"/>
    <x v="9"/>
    <x v="4"/>
    <x v="4"/>
    <n v="17"/>
    <n v="150"/>
    <n v="2550"/>
    <n v="0.02"/>
    <n v="51"/>
    <x v="8"/>
  </r>
  <r>
    <s v="Ord-750"/>
    <x v="9"/>
    <x v="4"/>
    <x v="1"/>
    <n v="22"/>
    <n v="150"/>
    <n v="3300"/>
    <n v="0.02"/>
    <n v="66"/>
    <x v="2"/>
  </r>
  <r>
    <s v="Ord-751"/>
    <x v="9"/>
    <x v="2"/>
    <x v="2"/>
    <n v="10"/>
    <n v="230"/>
    <n v="2300"/>
    <n v="0.02"/>
    <n v="46"/>
    <x v="8"/>
  </r>
  <r>
    <s v="Ord-752"/>
    <x v="9"/>
    <x v="1"/>
    <x v="4"/>
    <n v="21"/>
    <n v="40"/>
    <n v="840"/>
    <n v="0.01"/>
    <n v="8.4"/>
    <x v="2"/>
  </r>
  <r>
    <s v="Ord-753"/>
    <x v="9"/>
    <x v="2"/>
    <x v="2"/>
    <n v="5"/>
    <n v="230"/>
    <n v="1150"/>
    <n v="0.1"/>
    <n v="115"/>
    <x v="8"/>
  </r>
  <r>
    <s v="Ord-754"/>
    <x v="9"/>
    <x v="2"/>
    <x v="4"/>
    <n v="13"/>
    <n v="230"/>
    <n v="2990"/>
    <n v="0.06"/>
    <n v="179.4"/>
    <x v="2"/>
  </r>
  <r>
    <s v="Ord-755"/>
    <x v="9"/>
    <x v="4"/>
    <x v="0"/>
    <n v="23"/>
    <n v="150"/>
    <n v="3450"/>
    <n v="0.1"/>
    <n v="345"/>
    <x v="8"/>
  </r>
  <r>
    <s v="Ord-756"/>
    <x v="9"/>
    <x v="4"/>
    <x v="0"/>
    <n v="20"/>
    <n v="150"/>
    <n v="3000"/>
    <n v="0.03"/>
    <n v="90"/>
    <x v="2"/>
  </r>
  <r>
    <s v="Ord-757"/>
    <x v="10"/>
    <x v="2"/>
    <x v="0"/>
    <n v="3"/>
    <n v="230"/>
    <n v="690"/>
    <n v="0.11"/>
    <n v="75.900000000000006"/>
    <x v="8"/>
  </r>
  <r>
    <s v="Ord-758"/>
    <x v="10"/>
    <x v="4"/>
    <x v="1"/>
    <n v="16"/>
    <n v="150"/>
    <n v="2400"/>
    <n v="0.08"/>
    <n v="192"/>
    <x v="2"/>
  </r>
  <r>
    <s v="Ord-759"/>
    <x v="10"/>
    <x v="3"/>
    <x v="4"/>
    <n v="14"/>
    <n v="16"/>
    <n v="224"/>
    <n v="0.06"/>
    <n v="13.44"/>
    <x v="8"/>
  </r>
  <r>
    <s v="Ord-760"/>
    <x v="10"/>
    <x v="4"/>
    <x v="1"/>
    <n v="16"/>
    <n v="150"/>
    <n v="2400"/>
    <n v="0.03"/>
    <n v="72"/>
    <x v="2"/>
  </r>
  <r>
    <s v="Ord-761"/>
    <x v="10"/>
    <x v="3"/>
    <x v="4"/>
    <n v="19"/>
    <n v="16"/>
    <n v="304"/>
    <n v="0.02"/>
    <n v="6.08"/>
    <x v="8"/>
  </r>
  <r>
    <s v="Ord-762"/>
    <x v="10"/>
    <x v="0"/>
    <x v="4"/>
    <n v="6"/>
    <n v="80"/>
    <n v="480"/>
    <n v="0.09"/>
    <n v="43.199999999999996"/>
    <x v="2"/>
  </r>
  <r>
    <s v="Ord-763"/>
    <x v="10"/>
    <x v="0"/>
    <x v="4"/>
    <n v="9"/>
    <n v="80"/>
    <n v="720"/>
    <n v="7.0000000000000007E-2"/>
    <n v="50.400000000000006"/>
    <x v="8"/>
  </r>
  <r>
    <s v="Ord-764"/>
    <x v="10"/>
    <x v="4"/>
    <x v="1"/>
    <n v="20"/>
    <n v="150"/>
    <n v="3000"/>
    <n v="0.09"/>
    <n v="270"/>
    <x v="2"/>
  </r>
  <r>
    <s v="Ord-765"/>
    <x v="10"/>
    <x v="0"/>
    <x v="2"/>
    <n v="10"/>
    <n v="80"/>
    <n v="800"/>
    <n v="0.11"/>
    <n v="88"/>
    <x v="8"/>
  </r>
  <r>
    <s v="Ord-766"/>
    <x v="10"/>
    <x v="3"/>
    <x v="0"/>
    <n v="4"/>
    <n v="16"/>
    <n v="64"/>
    <n v="0.12"/>
    <n v="7.68"/>
    <x v="2"/>
  </r>
  <r>
    <s v="Ord-767"/>
    <x v="10"/>
    <x v="1"/>
    <x v="4"/>
    <n v="16"/>
    <n v="40"/>
    <n v="640"/>
    <n v="0.11"/>
    <n v="70.400000000000006"/>
    <x v="8"/>
  </r>
  <r>
    <s v="Ord-768"/>
    <x v="11"/>
    <x v="0"/>
    <x v="1"/>
    <n v="5"/>
    <n v="80"/>
    <n v="400"/>
    <n v="0.04"/>
    <n v="16"/>
    <x v="2"/>
  </r>
  <r>
    <s v="Ord-769"/>
    <x v="11"/>
    <x v="3"/>
    <x v="2"/>
    <n v="11"/>
    <n v="16"/>
    <n v="176"/>
    <n v="0.04"/>
    <n v="7.04"/>
    <x v="8"/>
  </r>
  <r>
    <s v="Ord-770"/>
    <x v="11"/>
    <x v="4"/>
    <x v="0"/>
    <n v="17"/>
    <n v="150"/>
    <n v="2550"/>
    <n v="0.12"/>
    <n v="306"/>
    <x v="2"/>
  </r>
  <r>
    <s v="Ord-771"/>
    <x v="11"/>
    <x v="2"/>
    <x v="1"/>
    <n v="19"/>
    <n v="230"/>
    <n v="4370"/>
    <n v="0.11"/>
    <n v="480.7"/>
    <x v="8"/>
  </r>
  <r>
    <s v="Ord-772"/>
    <x v="11"/>
    <x v="0"/>
    <x v="0"/>
    <n v="21"/>
    <n v="80"/>
    <n v="1680"/>
    <n v="0.04"/>
    <n v="67.2"/>
    <x v="2"/>
  </r>
  <r>
    <s v="Ord-773"/>
    <x v="11"/>
    <x v="2"/>
    <x v="1"/>
    <n v="7"/>
    <n v="230"/>
    <n v="1610"/>
    <n v="0.01"/>
    <n v="16.100000000000001"/>
    <x v="8"/>
  </r>
  <r>
    <s v="Ord-774"/>
    <x v="11"/>
    <x v="1"/>
    <x v="2"/>
    <n v="2"/>
    <n v="40"/>
    <n v="80"/>
    <n v="0.03"/>
    <n v="2.4"/>
    <x v="2"/>
  </r>
  <r>
    <s v="Ord-775"/>
    <x v="11"/>
    <x v="4"/>
    <x v="0"/>
    <n v="7"/>
    <n v="150"/>
    <n v="1050"/>
    <n v="0.02"/>
    <n v="21"/>
    <x v="8"/>
  </r>
  <r>
    <s v="Ord-776"/>
    <x v="12"/>
    <x v="0"/>
    <x v="2"/>
    <n v="16"/>
    <n v="80"/>
    <n v="1280"/>
    <n v="0.04"/>
    <n v="51.2"/>
    <x v="2"/>
  </r>
  <r>
    <s v="Ord-777"/>
    <x v="12"/>
    <x v="1"/>
    <x v="1"/>
    <n v="4"/>
    <n v="40"/>
    <n v="160"/>
    <n v="0.12"/>
    <n v="19.2"/>
    <x v="8"/>
  </r>
  <r>
    <s v="Ord-778"/>
    <x v="12"/>
    <x v="3"/>
    <x v="0"/>
    <n v="22"/>
    <n v="16"/>
    <n v="352"/>
    <n v="0.01"/>
    <n v="3.52"/>
    <x v="2"/>
  </r>
  <r>
    <s v="Ord-779"/>
    <x v="12"/>
    <x v="1"/>
    <x v="3"/>
    <n v="18"/>
    <n v="40"/>
    <n v="720"/>
    <n v="0.06"/>
    <n v="43.199999999999996"/>
    <x v="8"/>
  </r>
  <r>
    <s v="Ord-780"/>
    <x v="12"/>
    <x v="0"/>
    <x v="2"/>
    <n v="6"/>
    <n v="80"/>
    <n v="480"/>
    <n v="0.01"/>
    <n v="4.8"/>
    <x v="2"/>
  </r>
  <r>
    <s v="Ord-781"/>
    <x v="12"/>
    <x v="2"/>
    <x v="2"/>
    <n v="2"/>
    <n v="230"/>
    <n v="460"/>
    <n v="0.09"/>
    <n v="41.4"/>
    <x v="8"/>
  </r>
  <r>
    <s v="Ord-782"/>
    <x v="13"/>
    <x v="4"/>
    <x v="4"/>
    <n v="11"/>
    <n v="150"/>
    <n v="1650"/>
    <n v="0.09"/>
    <n v="148.5"/>
    <x v="2"/>
  </r>
  <r>
    <s v="Ord-783"/>
    <x v="13"/>
    <x v="4"/>
    <x v="3"/>
    <n v="15"/>
    <n v="150"/>
    <n v="2250"/>
    <n v="0.08"/>
    <n v="180"/>
    <x v="8"/>
  </r>
  <r>
    <s v="Ord-784"/>
    <x v="13"/>
    <x v="0"/>
    <x v="0"/>
    <n v="17"/>
    <n v="80"/>
    <n v="1360"/>
    <n v="0.09"/>
    <n v="122.39999999999999"/>
    <x v="2"/>
  </r>
  <r>
    <s v="Ord-785"/>
    <x v="13"/>
    <x v="4"/>
    <x v="4"/>
    <n v="13"/>
    <n v="150"/>
    <n v="1950"/>
    <n v="0.11"/>
    <n v="214.5"/>
    <x v="8"/>
  </r>
  <r>
    <s v="Ord-786"/>
    <x v="13"/>
    <x v="1"/>
    <x v="3"/>
    <n v="7"/>
    <n v="40"/>
    <n v="280"/>
    <n v="7.0000000000000007E-2"/>
    <n v="19.600000000000001"/>
    <x v="2"/>
  </r>
  <r>
    <s v="Ord-787"/>
    <x v="13"/>
    <x v="2"/>
    <x v="3"/>
    <n v="3"/>
    <n v="230"/>
    <n v="690"/>
    <n v="0.01"/>
    <n v="6.9"/>
    <x v="8"/>
  </r>
  <r>
    <s v="Ord-788"/>
    <x v="13"/>
    <x v="1"/>
    <x v="2"/>
    <n v="12"/>
    <n v="40"/>
    <n v="480"/>
    <n v="0.02"/>
    <n v="9.6"/>
    <x v="2"/>
  </r>
  <r>
    <s v="Ord-789"/>
    <x v="13"/>
    <x v="4"/>
    <x v="2"/>
    <n v="11"/>
    <n v="150"/>
    <n v="1650"/>
    <n v="0.11"/>
    <n v="181.5"/>
    <x v="8"/>
  </r>
  <r>
    <s v="Ord-790"/>
    <x v="13"/>
    <x v="1"/>
    <x v="1"/>
    <n v="21"/>
    <n v="40"/>
    <n v="840"/>
    <n v="0.03"/>
    <n v="25.2"/>
    <x v="2"/>
  </r>
  <r>
    <s v="Ord-791"/>
    <x v="13"/>
    <x v="4"/>
    <x v="0"/>
    <n v="22"/>
    <n v="150"/>
    <n v="3300"/>
    <n v="7.0000000000000007E-2"/>
    <n v="231.00000000000003"/>
    <x v="8"/>
  </r>
  <r>
    <s v="Ord-792"/>
    <x v="13"/>
    <x v="1"/>
    <x v="2"/>
    <n v="20"/>
    <n v="40"/>
    <n v="800"/>
    <n v="0.01"/>
    <n v="8"/>
    <x v="2"/>
  </r>
  <r>
    <s v="Ord-793"/>
    <x v="14"/>
    <x v="3"/>
    <x v="4"/>
    <n v="22"/>
    <n v="16"/>
    <n v="352"/>
    <n v="0.12"/>
    <n v="42.239999999999995"/>
    <x v="8"/>
  </r>
  <r>
    <s v="Ord-794"/>
    <x v="14"/>
    <x v="1"/>
    <x v="2"/>
    <n v="4"/>
    <n v="40"/>
    <n v="160"/>
    <n v="0.1"/>
    <n v="16"/>
    <x v="2"/>
  </r>
  <r>
    <s v="Ord-795"/>
    <x v="14"/>
    <x v="2"/>
    <x v="3"/>
    <n v="2"/>
    <n v="230"/>
    <n v="460"/>
    <n v="0.09"/>
    <n v="41.4"/>
    <x v="8"/>
  </r>
  <r>
    <s v="Ord-796"/>
    <x v="14"/>
    <x v="1"/>
    <x v="0"/>
    <n v="22"/>
    <n v="40"/>
    <n v="880"/>
    <n v="0.02"/>
    <n v="17.600000000000001"/>
    <x v="2"/>
  </r>
  <r>
    <s v="Ord-797"/>
    <x v="14"/>
    <x v="1"/>
    <x v="1"/>
    <n v="4"/>
    <n v="40"/>
    <n v="160"/>
    <n v="0.03"/>
    <n v="4.8"/>
    <x v="8"/>
  </r>
  <r>
    <s v="Ord-798"/>
    <x v="14"/>
    <x v="3"/>
    <x v="1"/>
    <n v="5"/>
    <n v="16"/>
    <n v="80"/>
    <n v="0.11"/>
    <n v="8.8000000000000007"/>
    <x v="2"/>
  </r>
  <r>
    <s v="Ord-799"/>
    <x v="14"/>
    <x v="0"/>
    <x v="3"/>
    <n v="2"/>
    <n v="80"/>
    <n v="160"/>
    <n v="0.08"/>
    <n v="12.8"/>
    <x v="8"/>
  </r>
  <r>
    <s v="Ord-800"/>
    <x v="14"/>
    <x v="3"/>
    <x v="2"/>
    <n v="9"/>
    <n v="16"/>
    <n v="144"/>
    <n v="0.05"/>
    <n v="7.2"/>
    <x v="2"/>
  </r>
  <r>
    <s v="Ord-801"/>
    <x v="14"/>
    <x v="2"/>
    <x v="2"/>
    <n v="6"/>
    <n v="230"/>
    <n v="1380"/>
    <n v="0.05"/>
    <n v="69"/>
    <x v="8"/>
  </r>
  <r>
    <s v="Ord-802"/>
    <x v="14"/>
    <x v="4"/>
    <x v="3"/>
    <n v="22"/>
    <n v="150"/>
    <n v="3300"/>
    <n v="0.05"/>
    <n v="165"/>
    <x v="2"/>
  </r>
  <r>
    <s v="Ord-803"/>
    <x v="15"/>
    <x v="2"/>
    <x v="3"/>
    <n v="8"/>
    <n v="230"/>
    <n v="1840"/>
    <n v="0.01"/>
    <n v="18.400000000000002"/>
    <x v="8"/>
  </r>
  <r>
    <s v="Ord-804"/>
    <x v="15"/>
    <x v="4"/>
    <x v="0"/>
    <n v="22"/>
    <n v="150"/>
    <n v="3300"/>
    <n v="0.05"/>
    <n v="165"/>
    <x v="2"/>
  </r>
  <r>
    <s v="Ord-805"/>
    <x v="15"/>
    <x v="1"/>
    <x v="0"/>
    <n v="5"/>
    <n v="40"/>
    <n v="200"/>
    <n v="0.06"/>
    <n v="12"/>
    <x v="8"/>
  </r>
  <r>
    <s v="Ord-806"/>
    <x v="15"/>
    <x v="4"/>
    <x v="3"/>
    <n v="20"/>
    <n v="150"/>
    <n v="3000"/>
    <n v="0.1"/>
    <n v="300"/>
    <x v="2"/>
  </r>
  <r>
    <s v="Ord-807"/>
    <x v="15"/>
    <x v="0"/>
    <x v="3"/>
    <n v="22"/>
    <n v="80"/>
    <n v="1760"/>
    <n v="0.03"/>
    <n v="52.8"/>
    <x v="8"/>
  </r>
  <r>
    <s v="Ord-808"/>
    <x v="15"/>
    <x v="3"/>
    <x v="0"/>
    <n v="11"/>
    <n v="16"/>
    <n v="176"/>
    <n v="0.09"/>
    <n v="15.84"/>
    <x v="2"/>
  </r>
  <r>
    <s v="Ord-809"/>
    <x v="15"/>
    <x v="3"/>
    <x v="1"/>
    <n v="22"/>
    <n v="16"/>
    <n v="352"/>
    <n v="0.01"/>
    <n v="3.52"/>
    <x v="8"/>
  </r>
  <r>
    <s v="Ord-810"/>
    <x v="15"/>
    <x v="1"/>
    <x v="1"/>
    <n v="23"/>
    <n v="40"/>
    <n v="920"/>
    <n v="0.06"/>
    <n v="55.199999999999996"/>
    <x v="2"/>
  </r>
  <r>
    <s v="Ord-811"/>
    <x v="15"/>
    <x v="0"/>
    <x v="2"/>
    <n v="14"/>
    <n v="80"/>
    <n v="1120"/>
    <n v="0.1"/>
    <n v="112"/>
    <x v="8"/>
  </r>
  <r>
    <s v="Ord-812"/>
    <x v="15"/>
    <x v="1"/>
    <x v="0"/>
    <n v="18"/>
    <n v="40"/>
    <n v="720"/>
    <n v="0.06"/>
    <n v="43.199999999999996"/>
    <x v="2"/>
  </r>
  <r>
    <s v="Ord-813"/>
    <x v="16"/>
    <x v="4"/>
    <x v="3"/>
    <n v="7"/>
    <n v="150"/>
    <n v="1050"/>
    <n v="0.05"/>
    <n v="52.5"/>
    <x v="1"/>
  </r>
  <r>
    <s v="Ord-814"/>
    <x v="16"/>
    <x v="1"/>
    <x v="3"/>
    <n v="15"/>
    <n v="40"/>
    <n v="600"/>
    <n v="0.03"/>
    <n v="18"/>
    <x v="2"/>
  </r>
  <r>
    <s v="Ord-815"/>
    <x v="16"/>
    <x v="3"/>
    <x v="0"/>
    <n v="7"/>
    <n v="16"/>
    <n v="112"/>
    <n v="0.02"/>
    <n v="2.2400000000000002"/>
    <x v="3"/>
  </r>
  <r>
    <s v="Ord-816"/>
    <x v="16"/>
    <x v="3"/>
    <x v="3"/>
    <n v="15"/>
    <n v="16"/>
    <n v="240"/>
    <n v="0.12"/>
    <n v="28.799999999999997"/>
    <x v="4"/>
  </r>
  <r>
    <s v="Ord-817"/>
    <x v="16"/>
    <x v="1"/>
    <x v="0"/>
    <n v="5"/>
    <n v="40"/>
    <n v="200"/>
    <n v="0.09"/>
    <n v="18"/>
    <x v="5"/>
  </r>
  <r>
    <s v="Ord-818"/>
    <x v="16"/>
    <x v="1"/>
    <x v="4"/>
    <n v="20"/>
    <n v="40"/>
    <n v="800"/>
    <n v="0.03"/>
    <n v="24"/>
    <x v="6"/>
  </r>
  <r>
    <s v="Ord-819"/>
    <x v="16"/>
    <x v="2"/>
    <x v="3"/>
    <n v="11"/>
    <n v="230"/>
    <n v="2530"/>
    <n v="0.12"/>
    <n v="303.59999999999997"/>
    <x v="7"/>
  </r>
  <r>
    <s v="Ord-820"/>
    <x v="16"/>
    <x v="3"/>
    <x v="4"/>
    <n v="17"/>
    <n v="16"/>
    <n v="272"/>
    <n v="0.08"/>
    <n v="21.76"/>
    <x v="8"/>
  </r>
  <r>
    <s v="Ord-821"/>
    <x v="17"/>
    <x v="3"/>
    <x v="0"/>
    <n v="18"/>
    <n v="16"/>
    <n v="288"/>
    <n v="0.11"/>
    <n v="31.68"/>
    <x v="9"/>
  </r>
  <r>
    <s v="Ord-822"/>
    <x v="17"/>
    <x v="2"/>
    <x v="3"/>
    <n v="2"/>
    <n v="230"/>
    <n v="460"/>
    <n v="0.08"/>
    <n v="36.800000000000004"/>
    <x v="10"/>
  </r>
  <r>
    <s v="Ord-823"/>
    <x v="17"/>
    <x v="3"/>
    <x v="2"/>
    <n v="17"/>
    <n v="16"/>
    <n v="272"/>
    <n v="0.05"/>
    <n v="13.600000000000001"/>
    <x v="11"/>
  </r>
  <r>
    <s v="Ord-824"/>
    <x v="17"/>
    <x v="0"/>
    <x v="3"/>
    <n v="16"/>
    <n v="80"/>
    <n v="1280"/>
    <n v="0.05"/>
    <n v="64"/>
    <x v="0"/>
  </r>
  <r>
    <s v="Ord-825"/>
    <x v="17"/>
    <x v="2"/>
    <x v="1"/>
    <n v="14"/>
    <n v="230"/>
    <n v="3220"/>
    <n v="0.05"/>
    <n v="161"/>
    <x v="1"/>
  </r>
  <r>
    <s v="Ord-826"/>
    <x v="17"/>
    <x v="1"/>
    <x v="2"/>
    <n v="13"/>
    <n v="40"/>
    <n v="520"/>
    <n v="0.02"/>
    <n v="10.4"/>
    <x v="2"/>
  </r>
  <r>
    <s v="Ord-827"/>
    <x v="17"/>
    <x v="2"/>
    <x v="1"/>
    <n v="7"/>
    <n v="230"/>
    <n v="1610"/>
    <n v="0.08"/>
    <n v="128.80000000000001"/>
    <x v="3"/>
  </r>
  <r>
    <s v="Ord-828"/>
    <x v="17"/>
    <x v="1"/>
    <x v="3"/>
    <n v="7"/>
    <n v="40"/>
    <n v="280"/>
    <n v="0.11"/>
    <n v="30.8"/>
    <x v="4"/>
  </r>
  <r>
    <s v="Ord-829"/>
    <x v="17"/>
    <x v="2"/>
    <x v="2"/>
    <n v="12"/>
    <n v="230"/>
    <n v="2760"/>
    <n v="0.06"/>
    <n v="165.6"/>
    <x v="5"/>
  </r>
  <r>
    <s v="Ord-830"/>
    <x v="17"/>
    <x v="1"/>
    <x v="0"/>
    <n v="19"/>
    <n v="40"/>
    <n v="760"/>
    <n v="0.04"/>
    <n v="30.400000000000002"/>
    <x v="1"/>
  </r>
  <r>
    <s v="Ord-831"/>
    <x v="18"/>
    <x v="2"/>
    <x v="2"/>
    <n v="20"/>
    <n v="230"/>
    <n v="4600"/>
    <n v="0.06"/>
    <n v="276"/>
    <x v="2"/>
  </r>
  <r>
    <s v="Ord-832"/>
    <x v="18"/>
    <x v="1"/>
    <x v="4"/>
    <n v="23"/>
    <n v="40"/>
    <n v="920"/>
    <n v="0.04"/>
    <n v="36.800000000000004"/>
    <x v="3"/>
  </r>
  <r>
    <s v="Ord-833"/>
    <x v="18"/>
    <x v="0"/>
    <x v="4"/>
    <n v="16"/>
    <n v="80"/>
    <n v="1280"/>
    <n v="0.05"/>
    <n v="64"/>
    <x v="4"/>
  </r>
  <r>
    <s v="Ord-834"/>
    <x v="18"/>
    <x v="4"/>
    <x v="1"/>
    <n v="23"/>
    <n v="150"/>
    <n v="3450"/>
    <n v="0.11"/>
    <n v="379.5"/>
    <x v="5"/>
  </r>
  <r>
    <s v="Ord-835"/>
    <x v="18"/>
    <x v="3"/>
    <x v="1"/>
    <n v="4"/>
    <n v="16"/>
    <n v="64"/>
    <n v="7.0000000000000007E-2"/>
    <n v="4.4800000000000004"/>
    <x v="6"/>
  </r>
  <r>
    <s v="Ord-836"/>
    <x v="18"/>
    <x v="2"/>
    <x v="0"/>
    <n v="8"/>
    <n v="230"/>
    <n v="1840"/>
    <n v="0.03"/>
    <n v="55.199999999999996"/>
    <x v="7"/>
  </r>
  <r>
    <s v="Ord-837"/>
    <x v="18"/>
    <x v="0"/>
    <x v="1"/>
    <n v="17"/>
    <n v="80"/>
    <n v="1360"/>
    <n v="0.03"/>
    <n v="40.799999999999997"/>
    <x v="8"/>
  </r>
  <r>
    <s v="Ord-838"/>
    <x v="18"/>
    <x v="0"/>
    <x v="3"/>
    <n v="10"/>
    <n v="80"/>
    <n v="800"/>
    <n v="0.1"/>
    <n v="80"/>
    <x v="9"/>
  </r>
  <r>
    <s v="Ord-839"/>
    <x v="18"/>
    <x v="3"/>
    <x v="0"/>
    <n v="20"/>
    <n v="16"/>
    <n v="320"/>
    <n v="0.11"/>
    <n v="35.200000000000003"/>
    <x v="10"/>
  </r>
  <r>
    <s v="Ord-840"/>
    <x v="19"/>
    <x v="2"/>
    <x v="3"/>
    <n v="19"/>
    <n v="230"/>
    <n v="4370"/>
    <n v="0.06"/>
    <n v="262.2"/>
    <x v="11"/>
  </r>
  <r>
    <s v="Ord-841"/>
    <x v="19"/>
    <x v="1"/>
    <x v="2"/>
    <n v="18"/>
    <n v="40"/>
    <n v="720"/>
    <n v="0.03"/>
    <n v="21.599999999999998"/>
    <x v="0"/>
  </r>
  <r>
    <s v="Ord-842"/>
    <x v="19"/>
    <x v="0"/>
    <x v="1"/>
    <n v="16"/>
    <n v="80"/>
    <n v="1280"/>
    <n v="0.04"/>
    <n v="51.2"/>
    <x v="1"/>
  </r>
  <r>
    <s v="Ord-843"/>
    <x v="19"/>
    <x v="0"/>
    <x v="3"/>
    <n v="8"/>
    <n v="80"/>
    <n v="640"/>
    <n v="0.06"/>
    <n v="38.4"/>
    <x v="2"/>
  </r>
  <r>
    <s v="Ord-844"/>
    <x v="19"/>
    <x v="4"/>
    <x v="3"/>
    <n v="4"/>
    <n v="150"/>
    <n v="600"/>
    <n v="0.12"/>
    <n v="72"/>
    <x v="3"/>
  </r>
  <r>
    <s v="Ord-845"/>
    <x v="19"/>
    <x v="2"/>
    <x v="2"/>
    <n v="15"/>
    <n v="230"/>
    <n v="3450"/>
    <n v="0.04"/>
    <n v="138"/>
    <x v="4"/>
  </r>
  <r>
    <s v="Ord-846"/>
    <x v="20"/>
    <x v="3"/>
    <x v="1"/>
    <n v="7"/>
    <n v="16"/>
    <n v="112"/>
    <n v="0.08"/>
    <n v="8.9600000000000009"/>
    <x v="5"/>
  </r>
  <r>
    <s v="Ord-847"/>
    <x v="20"/>
    <x v="1"/>
    <x v="0"/>
    <n v="18"/>
    <n v="40"/>
    <n v="720"/>
    <n v="0.11"/>
    <n v="79.2"/>
    <x v="1"/>
  </r>
  <r>
    <s v="Ord-848"/>
    <x v="20"/>
    <x v="1"/>
    <x v="2"/>
    <n v="4"/>
    <n v="40"/>
    <n v="160"/>
    <n v="0.06"/>
    <n v="9.6"/>
    <x v="2"/>
  </r>
  <r>
    <s v="Ord-849"/>
    <x v="20"/>
    <x v="1"/>
    <x v="4"/>
    <n v="16"/>
    <n v="40"/>
    <n v="640"/>
    <n v="0.09"/>
    <n v="57.599999999999994"/>
    <x v="3"/>
  </r>
  <r>
    <s v="Ord-850"/>
    <x v="20"/>
    <x v="1"/>
    <x v="1"/>
    <n v="18"/>
    <n v="40"/>
    <n v="720"/>
    <n v="0.08"/>
    <n v="57.6"/>
    <x v="4"/>
  </r>
  <r>
    <s v="Ord-851"/>
    <x v="20"/>
    <x v="1"/>
    <x v="0"/>
    <n v="9"/>
    <n v="40"/>
    <n v="360"/>
    <n v="0.01"/>
    <n v="3.6"/>
    <x v="5"/>
  </r>
  <r>
    <s v="Ord-852"/>
    <x v="20"/>
    <x v="2"/>
    <x v="3"/>
    <n v="16"/>
    <n v="230"/>
    <n v="3680"/>
    <n v="0.11"/>
    <n v="404.8"/>
    <x v="6"/>
  </r>
  <r>
    <s v="Ord-853"/>
    <x v="20"/>
    <x v="3"/>
    <x v="2"/>
    <n v="12"/>
    <n v="16"/>
    <n v="192"/>
    <n v="0.11"/>
    <n v="21.12"/>
    <x v="7"/>
  </r>
  <r>
    <s v="Ord-854"/>
    <x v="20"/>
    <x v="0"/>
    <x v="1"/>
    <n v="2"/>
    <n v="80"/>
    <n v="160"/>
    <n v="7.0000000000000007E-2"/>
    <n v="11.200000000000001"/>
    <x v="8"/>
  </r>
  <r>
    <s v="Ord-855"/>
    <x v="20"/>
    <x v="1"/>
    <x v="0"/>
    <n v="2"/>
    <n v="40"/>
    <n v="80"/>
    <n v="0.12"/>
    <n v="9.6"/>
    <x v="9"/>
  </r>
  <r>
    <s v="Ord-856"/>
    <x v="21"/>
    <x v="4"/>
    <x v="0"/>
    <n v="13"/>
    <n v="150"/>
    <n v="1950"/>
    <n v="0.05"/>
    <n v="97.5"/>
    <x v="10"/>
  </r>
  <r>
    <s v="Ord-857"/>
    <x v="21"/>
    <x v="0"/>
    <x v="0"/>
    <n v="14"/>
    <n v="80"/>
    <n v="1120"/>
    <n v="0.08"/>
    <n v="89.600000000000009"/>
    <x v="11"/>
  </r>
  <r>
    <s v="Ord-858"/>
    <x v="21"/>
    <x v="4"/>
    <x v="3"/>
    <n v="6"/>
    <n v="150"/>
    <n v="900"/>
    <n v="0.03"/>
    <n v="27"/>
    <x v="0"/>
  </r>
  <r>
    <s v="Ord-859"/>
    <x v="21"/>
    <x v="0"/>
    <x v="3"/>
    <n v="23"/>
    <n v="80"/>
    <n v="1840"/>
    <n v="0.11"/>
    <n v="202.4"/>
    <x v="1"/>
  </r>
  <r>
    <s v="Ord-860"/>
    <x v="21"/>
    <x v="0"/>
    <x v="3"/>
    <n v="21"/>
    <n v="80"/>
    <n v="1680"/>
    <n v="0.05"/>
    <n v="84"/>
    <x v="2"/>
  </r>
  <r>
    <s v="Ord-861"/>
    <x v="21"/>
    <x v="3"/>
    <x v="2"/>
    <n v="3"/>
    <n v="16"/>
    <n v="48"/>
    <n v="0.05"/>
    <n v="2.4000000000000004"/>
    <x v="3"/>
  </r>
  <r>
    <s v="Ord-862"/>
    <x v="21"/>
    <x v="3"/>
    <x v="1"/>
    <n v="21"/>
    <n v="16"/>
    <n v="336"/>
    <n v="0.02"/>
    <n v="6.72"/>
    <x v="4"/>
  </r>
  <r>
    <s v="Ord-863"/>
    <x v="21"/>
    <x v="0"/>
    <x v="3"/>
    <n v="4"/>
    <n v="80"/>
    <n v="320"/>
    <n v="0.11"/>
    <n v="35.200000000000003"/>
    <x v="5"/>
  </r>
  <r>
    <s v="Ord-864"/>
    <x v="21"/>
    <x v="4"/>
    <x v="4"/>
    <n v="23"/>
    <n v="150"/>
    <n v="3450"/>
    <n v="0.08"/>
    <n v="276"/>
    <x v="1"/>
  </r>
  <r>
    <s v="Ord-865"/>
    <x v="21"/>
    <x v="3"/>
    <x v="4"/>
    <n v="23"/>
    <n v="16"/>
    <n v="368"/>
    <n v="0.01"/>
    <n v="3.68"/>
    <x v="2"/>
  </r>
  <r>
    <s v="Ord-866"/>
    <x v="21"/>
    <x v="1"/>
    <x v="3"/>
    <n v="22"/>
    <n v="40"/>
    <n v="880"/>
    <n v="0.01"/>
    <n v="8.8000000000000007"/>
    <x v="3"/>
  </r>
  <r>
    <s v="Ord-867"/>
    <x v="22"/>
    <x v="4"/>
    <x v="0"/>
    <n v="8"/>
    <n v="150"/>
    <n v="1200"/>
    <n v="0.09"/>
    <n v="108"/>
    <x v="4"/>
  </r>
  <r>
    <s v="Ord-868"/>
    <x v="22"/>
    <x v="4"/>
    <x v="0"/>
    <n v="20"/>
    <n v="150"/>
    <n v="3000"/>
    <n v="0.01"/>
    <n v="30"/>
    <x v="5"/>
  </r>
  <r>
    <s v="Ord-869"/>
    <x v="22"/>
    <x v="2"/>
    <x v="1"/>
    <n v="22"/>
    <n v="230"/>
    <n v="5060"/>
    <n v="0.11"/>
    <n v="556.6"/>
    <x v="6"/>
  </r>
  <r>
    <s v="Ord-870"/>
    <x v="22"/>
    <x v="3"/>
    <x v="2"/>
    <n v="23"/>
    <n v="16"/>
    <n v="368"/>
    <n v="0.11"/>
    <n v="40.479999999999997"/>
    <x v="7"/>
  </r>
  <r>
    <s v="Ord-871"/>
    <x v="22"/>
    <x v="0"/>
    <x v="0"/>
    <n v="6"/>
    <n v="80"/>
    <n v="480"/>
    <n v="0.01"/>
    <n v="4.8"/>
    <x v="8"/>
  </r>
  <r>
    <s v="Ord-872"/>
    <x v="22"/>
    <x v="3"/>
    <x v="0"/>
    <n v="7"/>
    <n v="16"/>
    <n v="112"/>
    <n v="0.12"/>
    <n v="13.44"/>
    <x v="9"/>
  </r>
  <r>
    <s v="Ord-873"/>
    <x v="22"/>
    <x v="0"/>
    <x v="1"/>
    <n v="10"/>
    <n v="80"/>
    <n v="800"/>
    <n v="0.11"/>
    <n v="88"/>
    <x v="10"/>
  </r>
  <r>
    <s v="Ord-874"/>
    <x v="22"/>
    <x v="2"/>
    <x v="0"/>
    <n v="9"/>
    <n v="230"/>
    <n v="2070"/>
    <n v="7.0000000000000007E-2"/>
    <n v="144.9"/>
    <x v="11"/>
  </r>
  <r>
    <s v="Ord-875"/>
    <x v="23"/>
    <x v="1"/>
    <x v="1"/>
    <n v="12"/>
    <n v="40"/>
    <n v="480"/>
    <n v="0.1"/>
    <n v="48"/>
    <x v="0"/>
  </r>
  <r>
    <s v="Ord-876"/>
    <x v="23"/>
    <x v="3"/>
    <x v="4"/>
    <n v="17"/>
    <n v="16"/>
    <n v="272"/>
    <n v="0.1"/>
    <n v="27.200000000000003"/>
    <x v="1"/>
  </r>
  <r>
    <s v="Ord-877"/>
    <x v="23"/>
    <x v="4"/>
    <x v="2"/>
    <n v="22"/>
    <n v="150"/>
    <n v="3300"/>
    <n v="0.04"/>
    <n v="132"/>
    <x v="2"/>
  </r>
  <r>
    <s v="Ord-878"/>
    <x v="23"/>
    <x v="4"/>
    <x v="2"/>
    <n v="11"/>
    <n v="150"/>
    <n v="1650"/>
    <n v="0.05"/>
    <n v="82.5"/>
    <x v="3"/>
  </r>
  <r>
    <s v="Ord-879"/>
    <x v="23"/>
    <x v="0"/>
    <x v="4"/>
    <n v="9"/>
    <n v="80"/>
    <n v="720"/>
    <n v="0.02"/>
    <n v="14.4"/>
    <x v="4"/>
  </r>
  <r>
    <s v="Ord-880"/>
    <x v="23"/>
    <x v="0"/>
    <x v="4"/>
    <n v="13"/>
    <n v="80"/>
    <n v="1040"/>
    <n v="0.05"/>
    <n v="52"/>
    <x v="5"/>
  </r>
  <r>
    <s v="Ord-881"/>
    <x v="23"/>
    <x v="1"/>
    <x v="4"/>
    <n v="20"/>
    <n v="40"/>
    <n v="800"/>
    <n v="0.1"/>
    <n v="80"/>
    <x v="1"/>
  </r>
  <r>
    <s v="Ord-882"/>
    <x v="23"/>
    <x v="1"/>
    <x v="1"/>
    <n v="15"/>
    <n v="40"/>
    <n v="600"/>
    <n v="0.02"/>
    <n v="12"/>
    <x v="2"/>
  </r>
  <r>
    <s v="Ord-883"/>
    <x v="24"/>
    <x v="4"/>
    <x v="4"/>
    <n v="15"/>
    <n v="150"/>
    <n v="2250"/>
    <n v="7.0000000000000007E-2"/>
    <n v="157.50000000000003"/>
    <x v="3"/>
  </r>
  <r>
    <s v="Ord-884"/>
    <x v="24"/>
    <x v="0"/>
    <x v="4"/>
    <n v="16"/>
    <n v="80"/>
    <n v="1280"/>
    <n v="0.09"/>
    <n v="115.19999999999999"/>
    <x v="4"/>
  </r>
  <r>
    <s v="Ord-885"/>
    <x v="24"/>
    <x v="2"/>
    <x v="0"/>
    <n v="16"/>
    <n v="230"/>
    <n v="3680"/>
    <n v="7.0000000000000007E-2"/>
    <n v="257.60000000000002"/>
    <x v="5"/>
  </r>
  <r>
    <s v="Ord-886"/>
    <x v="24"/>
    <x v="0"/>
    <x v="1"/>
    <n v="14"/>
    <n v="80"/>
    <n v="1120"/>
    <n v="0.11"/>
    <n v="123.2"/>
    <x v="6"/>
  </r>
  <r>
    <s v="Ord-887"/>
    <x v="24"/>
    <x v="0"/>
    <x v="4"/>
    <n v="17"/>
    <n v="80"/>
    <n v="1360"/>
    <n v="7.0000000000000007E-2"/>
    <n v="95.2"/>
    <x v="7"/>
  </r>
  <r>
    <s v="Ord-888"/>
    <x v="24"/>
    <x v="0"/>
    <x v="2"/>
    <n v="16"/>
    <n v="80"/>
    <n v="1280"/>
    <n v="0.02"/>
    <n v="25.6"/>
    <x v="8"/>
  </r>
  <r>
    <s v="Ord-889"/>
    <x v="24"/>
    <x v="3"/>
    <x v="0"/>
    <n v="21"/>
    <n v="16"/>
    <n v="336"/>
    <n v="0.09"/>
    <n v="30.24"/>
    <x v="9"/>
  </r>
  <r>
    <s v="Ord-890"/>
    <x v="24"/>
    <x v="4"/>
    <x v="0"/>
    <n v="9"/>
    <n v="150"/>
    <n v="1350"/>
    <n v="0.1"/>
    <n v="135"/>
    <x v="10"/>
  </r>
  <r>
    <s v="Ord-891"/>
    <x v="24"/>
    <x v="4"/>
    <x v="3"/>
    <n v="3"/>
    <n v="150"/>
    <n v="450"/>
    <n v="0.01"/>
    <n v="4.5"/>
    <x v="11"/>
  </r>
  <r>
    <s v="Ord-892"/>
    <x v="25"/>
    <x v="0"/>
    <x v="1"/>
    <n v="14"/>
    <n v="80"/>
    <n v="1120"/>
    <n v="0.06"/>
    <n v="67.2"/>
    <x v="0"/>
  </r>
  <r>
    <s v="Ord-893"/>
    <x v="25"/>
    <x v="4"/>
    <x v="4"/>
    <n v="4"/>
    <n v="150"/>
    <n v="600"/>
    <n v="0.05"/>
    <n v="30"/>
    <x v="1"/>
  </r>
  <r>
    <s v="Ord-894"/>
    <x v="25"/>
    <x v="3"/>
    <x v="1"/>
    <n v="20"/>
    <n v="16"/>
    <n v="320"/>
    <n v="0.06"/>
    <n v="19.2"/>
    <x v="2"/>
  </r>
  <r>
    <s v="Ord-895"/>
    <x v="25"/>
    <x v="2"/>
    <x v="2"/>
    <n v="7"/>
    <n v="230"/>
    <n v="1610"/>
    <n v="0.01"/>
    <n v="16.100000000000001"/>
    <x v="3"/>
  </r>
  <r>
    <s v="Ord-896"/>
    <x v="25"/>
    <x v="0"/>
    <x v="1"/>
    <n v="9"/>
    <n v="80"/>
    <n v="720"/>
    <n v="0.03"/>
    <n v="21.599999999999998"/>
    <x v="4"/>
  </r>
  <r>
    <s v="Ord-897"/>
    <x v="25"/>
    <x v="1"/>
    <x v="3"/>
    <n v="4"/>
    <n v="40"/>
    <n v="160"/>
    <n v="0.05"/>
    <n v="8"/>
    <x v="5"/>
  </r>
  <r>
    <s v="Ord-898"/>
    <x v="25"/>
    <x v="0"/>
    <x v="0"/>
    <n v="6"/>
    <n v="80"/>
    <n v="480"/>
    <n v="7.0000000000000007E-2"/>
    <n v="33.6"/>
    <x v="1"/>
  </r>
  <r>
    <s v="Ord-899"/>
    <x v="25"/>
    <x v="3"/>
    <x v="2"/>
    <n v="8"/>
    <n v="16"/>
    <n v="128"/>
    <n v="0.03"/>
    <n v="3.84"/>
    <x v="2"/>
  </r>
  <r>
    <s v="Ord-900"/>
    <x v="25"/>
    <x v="3"/>
    <x v="0"/>
    <n v="10"/>
    <n v="16"/>
    <n v="160"/>
    <n v="0.08"/>
    <n v="12.8"/>
    <x v="3"/>
  </r>
  <r>
    <s v="Ord-901"/>
    <x v="25"/>
    <x v="3"/>
    <x v="3"/>
    <n v="22"/>
    <n v="16"/>
    <n v="352"/>
    <n v="0.03"/>
    <n v="10.559999999999999"/>
    <x v="4"/>
  </r>
  <r>
    <s v="Ord-902"/>
    <x v="25"/>
    <x v="0"/>
    <x v="3"/>
    <n v="11"/>
    <n v="80"/>
    <n v="880"/>
    <n v="0.01"/>
    <n v="8.8000000000000007"/>
    <x v="5"/>
  </r>
  <r>
    <s v="Ord-903"/>
    <x v="25"/>
    <x v="3"/>
    <x v="3"/>
    <n v="7"/>
    <n v="16"/>
    <n v="112"/>
    <n v="0.08"/>
    <n v="8.9600000000000009"/>
    <x v="6"/>
  </r>
  <r>
    <s v="Ord-904"/>
    <x v="26"/>
    <x v="3"/>
    <x v="2"/>
    <n v="11"/>
    <n v="16"/>
    <n v="176"/>
    <n v="0.12"/>
    <n v="21.119999999999997"/>
    <x v="7"/>
  </r>
  <r>
    <s v="Ord-905"/>
    <x v="26"/>
    <x v="1"/>
    <x v="4"/>
    <n v="7"/>
    <n v="40"/>
    <n v="280"/>
    <n v="0.05"/>
    <n v="14"/>
    <x v="8"/>
  </r>
  <r>
    <s v="Ord-906"/>
    <x v="26"/>
    <x v="4"/>
    <x v="2"/>
    <n v="9"/>
    <n v="150"/>
    <n v="1350"/>
    <n v="0.06"/>
    <n v="81"/>
    <x v="9"/>
  </r>
  <r>
    <s v="Ord-907"/>
    <x v="26"/>
    <x v="2"/>
    <x v="0"/>
    <n v="20"/>
    <n v="230"/>
    <n v="4600"/>
    <n v="0.04"/>
    <n v="184"/>
    <x v="10"/>
  </r>
  <r>
    <s v="Ord-908"/>
    <x v="26"/>
    <x v="4"/>
    <x v="2"/>
    <n v="9"/>
    <n v="150"/>
    <n v="1350"/>
    <n v="0.02"/>
    <n v="27"/>
    <x v="11"/>
  </r>
  <r>
    <s v="Ord-909"/>
    <x v="26"/>
    <x v="0"/>
    <x v="1"/>
    <n v="5"/>
    <n v="80"/>
    <n v="400"/>
    <n v="7.0000000000000007E-2"/>
    <n v="28.000000000000004"/>
    <x v="0"/>
  </r>
  <r>
    <s v="Ord-910"/>
    <x v="26"/>
    <x v="4"/>
    <x v="2"/>
    <n v="20"/>
    <n v="150"/>
    <n v="3000"/>
    <n v="0.04"/>
    <n v="120"/>
    <x v="1"/>
  </r>
  <r>
    <s v="Ord-911"/>
    <x v="26"/>
    <x v="4"/>
    <x v="3"/>
    <n v="15"/>
    <n v="150"/>
    <n v="2250"/>
    <n v="0.05"/>
    <n v="112.5"/>
    <x v="2"/>
  </r>
  <r>
    <s v="Ord-912"/>
    <x v="26"/>
    <x v="0"/>
    <x v="0"/>
    <n v="20"/>
    <n v="80"/>
    <n v="1600"/>
    <n v="0.01"/>
    <n v="16"/>
    <x v="3"/>
  </r>
  <r>
    <s v="Ord-913"/>
    <x v="27"/>
    <x v="2"/>
    <x v="1"/>
    <n v="12"/>
    <n v="230"/>
    <n v="2760"/>
    <n v="0.03"/>
    <n v="82.8"/>
    <x v="4"/>
  </r>
  <r>
    <s v="Ord-914"/>
    <x v="27"/>
    <x v="1"/>
    <x v="4"/>
    <n v="20"/>
    <n v="40"/>
    <n v="800"/>
    <n v="0.05"/>
    <n v="40"/>
    <x v="5"/>
  </r>
  <r>
    <s v="Ord-915"/>
    <x v="27"/>
    <x v="1"/>
    <x v="4"/>
    <n v="4"/>
    <n v="40"/>
    <n v="160"/>
    <n v="0.09"/>
    <n v="14.399999999999999"/>
    <x v="1"/>
  </r>
  <r>
    <s v="Ord-916"/>
    <x v="27"/>
    <x v="3"/>
    <x v="2"/>
    <n v="6"/>
    <n v="16"/>
    <n v="96"/>
    <n v="7.0000000000000007E-2"/>
    <n v="6.7200000000000006"/>
    <x v="2"/>
  </r>
  <r>
    <s v="Ord-917"/>
    <x v="27"/>
    <x v="0"/>
    <x v="1"/>
    <n v="13"/>
    <n v="80"/>
    <n v="1040"/>
    <n v="0.06"/>
    <n v="62.4"/>
    <x v="3"/>
  </r>
  <r>
    <s v="Ord-918"/>
    <x v="27"/>
    <x v="4"/>
    <x v="0"/>
    <n v="4"/>
    <n v="150"/>
    <n v="600"/>
    <n v="0.1"/>
    <n v="60"/>
    <x v="4"/>
  </r>
  <r>
    <s v="Ord-919"/>
    <x v="27"/>
    <x v="4"/>
    <x v="3"/>
    <n v="9"/>
    <n v="150"/>
    <n v="1350"/>
    <n v="0.02"/>
    <n v="27"/>
    <x v="5"/>
  </r>
  <r>
    <s v="Ord-920"/>
    <x v="27"/>
    <x v="4"/>
    <x v="0"/>
    <n v="11"/>
    <n v="150"/>
    <n v="1650"/>
    <n v="0.05"/>
    <n v="82.5"/>
    <x v="6"/>
  </r>
  <r>
    <s v="Ord-921"/>
    <x v="27"/>
    <x v="3"/>
    <x v="2"/>
    <n v="6"/>
    <n v="16"/>
    <n v="96"/>
    <n v="0.06"/>
    <n v="5.76"/>
    <x v="7"/>
  </r>
  <r>
    <s v="Ord-922"/>
    <x v="28"/>
    <x v="2"/>
    <x v="2"/>
    <n v="14"/>
    <n v="230"/>
    <n v="3220"/>
    <n v="0.12"/>
    <n v="386.4"/>
    <x v="8"/>
  </r>
  <r>
    <s v="Ord-923"/>
    <x v="28"/>
    <x v="0"/>
    <x v="1"/>
    <n v="15"/>
    <n v="80"/>
    <n v="1200"/>
    <n v="0.12"/>
    <n v="144"/>
    <x v="9"/>
  </r>
  <r>
    <s v="Ord-924"/>
    <x v="28"/>
    <x v="2"/>
    <x v="3"/>
    <n v="17"/>
    <n v="230"/>
    <n v="3910"/>
    <n v="0.12"/>
    <n v="469.2"/>
    <x v="10"/>
  </r>
  <r>
    <s v="Ord-925"/>
    <x v="28"/>
    <x v="4"/>
    <x v="0"/>
    <n v="5"/>
    <n v="150"/>
    <n v="750"/>
    <n v="0.11"/>
    <n v="82.5"/>
    <x v="11"/>
  </r>
  <r>
    <s v="Ord-926"/>
    <x v="28"/>
    <x v="0"/>
    <x v="4"/>
    <n v="10"/>
    <n v="80"/>
    <n v="800"/>
    <n v="0.06"/>
    <n v="48"/>
    <x v="0"/>
  </r>
  <r>
    <s v="Ord-927"/>
    <x v="28"/>
    <x v="0"/>
    <x v="0"/>
    <n v="9"/>
    <n v="80"/>
    <n v="720"/>
    <n v="0.04"/>
    <n v="28.8"/>
    <x v="1"/>
  </r>
  <r>
    <s v="Ord-928"/>
    <x v="28"/>
    <x v="1"/>
    <x v="4"/>
    <n v="16"/>
    <n v="40"/>
    <n v="640"/>
    <n v="0.09"/>
    <n v="57.599999999999994"/>
    <x v="2"/>
  </r>
  <r>
    <s v="Ord-929"/>
    <x v="28"/>
    <x v="2"/>
    <x v="0"/>
    <n v="7"/>
    <n v="230"/>
    <n v="1610"/>
    <n v="0.08"/>
    <n v="128.80000000000001"/>
    <x v="3"/>
  </r>
  <r>
    <s v="Ord-930"/>
    <x v="28"/>
    <x v="0"/>
    <x v="3"/>
    <n v="17"/>
    <n v="80"/>
    <n v="1360"/>
    <n v="0.05"/>
    <n v="68"/>
    <x v="4"/>
  </r>
  <r>
    <s v="Ord-931"/>
    <x v="28"/>
    <x v="2"/>
    <x v="0"/>
    <n v="11"/>
    <n v="230"/>
    <n v="2530"/>
    <n v="0.02"/>
    <n v="50.6"/>
    <x v="5"/>
  </r>
  <r>
    <s v="Ord-932"/>
    <x v="29"/>
    <x v="1"/>
    <x v="0"/>
    <n v="15"/>
    <n v="40"/>
    <n v="600"/>
    <n v="0.06"/>
    <n v="36"/>
    <x v="1"/>
  </r>
  <r>
    <s v="Ord-933"/>
    <x v="30"/>
    <x v="2"/>
    <x v="0"/>
    <n v="7"/>
    <n v="230"/>
    <n v="1610"/>
    <n v="0.02"/>
    <n v="32.200000000000003"/>
    <x v="2"/>
  </r>
  <r>
    <s v="Ord-934"/>
    <x v="30"/>
    <x v="0"/>
    <x v="2"/>
    <n v="20"/>
    <n v="80"/>
    <n v="1600"/>
    <n v="7.0000000000000007E-2"/>
    <n v="112.00000000000001"/>
    <x v="3"/>
  </r>
  <r>
    <s v="Ord-935"/>
    <x v="30"/>
    <x v="0"/>
    <x v="1"/>
    <n v="3"/>
    <n v="80"/>
    <n v="240"/>
    <n v="0.02"/>
    <n v="4.8"/>
    <x v="4"/>
  </r>
  <r>
    <s v="Ord-936"/>
    <x v="30"/>
    <x v="4"/>
    <x v="2"/>
    <n v="2"/>
    <n v="150"/>
    <n v="300"/>
    <n v="0.02"/>
    <n v="6"/>
    <x v="5"/>
  </r>
  <r>
    <s v="Ord-937"/>
    <x v="30"/>
    <x v="4"/>
    <x v="2"/>
    <n v="22"/>
    <n v="150"/>
    <n v="3300"/>
    <n v="0.09"/>
    <n v="297"/>
    <x v="6"/>
  </r>
  <r>
    <s v="Ord-938"/>
    <x v="30"/>
    <x v="2"/>
    <x v="0"/>
    <n v="5"/>
    <n v="230"/>
    <n v="1150"/>
    <n v="0.1"/>
    <n v="115"/>
    <x v="7"/>
  </r>
  <r>
    <s v="Ord-939"/>
    <x v="30"/>
    <x v="3"/>
    <x v="4"/>
    <n v="12"/>
    <n v="16"/>
    <n v="192"/>
    <n v="0.04"/>
    <n v="7.68"/>
    <x v="8"/>
  </r>
  <r>
    <s v="Ord-940"/>
    <x v="30"/>
    <x v="1"/>
    <x v="3"/>
    <n v="6"/>
    <n v="40"/>
    <n v="240"/>
    <n v="7.0000000000000007E-2"/>
    <n v="16.8"/>
    <x v="9"/>
  </r>
  <r>
    <s v="Ord-941"/>
    <x v="30"/>
    <x v="3"/>
    <x v="4"/>
    <n v="15"/>
    <n v="16"/>
    <n v="240"/>
    <n v="0.01"/>
    <n v="2.4"/>
    <x v="10"/>
  </r>
  <r>
    <s v="Ord-942"/>
    <x v="0"/>
    <x v="4"/>
    <x v="4"/>
    <n v="13"/>
    <n v="150"/>
    <n v="1950"/>
    <n v="0.11"/>
    <n v="214.5"/>
    <x v="11"/>
  </r>
  <r>
    <s v="Ord-943"/>
    <x v="0"/>
    <x v="1"/>
    <x v="1"/>
    <n v="8"/>
    <n v="40"/>
    <n v="320"/>
    <n v="0.09"/>
    <n v="28.799999999999997"/>
    <x v="0"/>
  </r>
  <r>
    <s v="Ord-944"/>
    <x v="0"/>
    <x v="1"/>
    <x v="3"/>
    <n v="7"/>
    <n v="40"/>
    <n v="280"/>
    <n v="7.0000000000000007E-2"/>
    <n v="19.600000000000001"/>
    <x v="1"/>
  </r>
  <r>
    <s v="Ord-945"/>
    <x v="0"/>
    <x v="1"/>
    <x v="1"/>
    <n v="18"/>
    <n v="40"/>
    <n v="720"/>
    <n v="0.08"/>
    <n v="57.6"/>
    <x v="2"/>
  </r>
  <r>
    <s v="Ord-946"/>
    <x v="0"/>
    <x v="2"/>
    <x v="3"/>
    <n v="19"/>
    <n v="230"/>
    <n v="4370"/>
    <n v="0.06"/>
    <n v="262.2"/>
    <x v="3"/>
  </r>
  <r>
    <s v="Ord-947"/>
    <x v="0"/>
    <x v="4"/>
    <x v="0"/>
    <n v="4"/>
    <n v="150"/>
    <n v="600"/>
    <n v="0.1"/>
    <n v="60"/>
    <x v="4"/>
  </r>
  <r>
    <s v="Ord-948"/>
    <x v="1"/>
    <x v="0"/>
    <x v="4"/>
    <n v="9"/>
    <n v="80"/>
    <n v="720"/>
    <n v="0.06"/>
    <n v="43.199999999999996"/>
    <x v="5"/>
  </r>
  <r>
    <s v="Ord-949"/>
    <x v="1"/>
    <x v="0"/>
    <x v="2"/>
    <n v="16"/>
    <n v="80"/>
    <n v="1280"/>
    <n v="0.02"/>
    <n v="25.6"/>
    <x v="1"/>
  </r>
  <r>
    <s v="Ord-950"/>
    <x v="1"/>
    <x v="2"/>
    <x v="1"/>
    <n v="15"/>
    <n v="230"/>
    <n v="3450"/>
    <n v="0.09"/>
    <n v="310.5"/>
    <x v="2"/>
  </r>
  <r>
    <s v="Ord-951"/>
    <x v="1"/>
    <x v="3"/>
    <x v="4"/>
    <n v="15"/>
    <n v="16"/>
    <n v="240"/>
    <n v="0.01"/>
    <n v="2.4"/>
    <x v="3"/>
  </r>
  <r>
    <s v="Ord-952"/>
    <x v="1"/>
    <x v="2"/>
    <x v="0"/>
    <n v="7"/>
    <n v="230"/>
    <n v="1610"/>
    <n v="0.02"/>
    <n v="32.200000000000003"/>
    <x v="4"/>
  </r>
  <r>
    <s v="Ord-953"/>
    <x v="1"/>
    <x v="3"/>
    <x v="2"/>
    <n v="23"/>
    <n v="16"/>
    <n v="368"/>
    <n v="0.11"/>
    <n v="40.479999999999997"/>
    <x v="5"/>
  </r>
  <r>
    <s v="Ord-954"/>
    <x v="1"/>
    <x v="1"/>
    <x v="4"/>
    <n v="20"/>
    <n v="40"/>
    <n v="800"/>
    <n v="0.05"/>
    <n v="40"/>
    <x v="6"/>
  </r>
  <r>
    <s v="Ord-955"/>
    <x v="2"/>
    <x v="2"/>
    <x v="1"/>
    <n v="9"/>
    <n v="230"/>
    <n v="2070"/>
    <n v="0.03"/>
    <n v="62.099999999999994"/>
    <x v="7"/>
  </r>
  <r>
    <s v="Ord-956"/>
    <x v="2"/>
    <x v="1"/>
    <x v="3"/>
    <n v="23"/>
    <n v="40"/>
    <n v="920"/>
    <n v="0.06"/>
    <n v="55.199999999999996"/>
    <x v="8"/>
  </r>
  <r>
    <s v="Ord-957"/>
    <x v="2"/>
    <x v="1"/>
    <x v="3"/>
    <n v="4"/>
    <n v="40"/>
    <n v="160"/>
    <n v="0.05"/>
    <n v="8"/>
    <x v="9"/>
  </r>
  <r>
    <s v="Ord-958"/>
    <x v="2"/>
    <x v="4"/>
    <x v="0"/>
    <n v="13"/>
    <n v="150"/>
    <n v="1950"/>
    <n v="0.05"/>
    <n v="97.5"/>
    <x v="10"/>
  </r>
  <r>
    <s v="Ord-959"/>
    <x v="2"/>
    <x v="2"/>
    <x v="1"/>
    <n v="7"/>
    <n v="230"/>
    <n v="1610"/>
    <n v="0.01"/>
    <n v="16.100000000000001"/>
    <x v="11"/>
  </r>
  <r>
    <s v="Ord-960"/>
    <x v="2"/>
    <x v="2"/>
    <x v="1"/>
    <n v="7"/>
    <n v="230"/>
    <n v="1610"/>
    <n v="0.08"/>
    <n v="128.80000000000001"/>
    <x v="0"/>
  </r>
  <r>
    <s v="Ord-961"/>
    <x v="2"/>
    <x v="2"/>
    <x v="2"/>
    <n v="15"/>
    <n v="230"/>
    <n v="3450"/>
    <n v="0.04"/>
    <n v="138"/>
    <x v="1"/>
  </r>
  <r>
    <s v="Ord-962"/>
    <x v="2"/>
    <x v="1"/>
    <x v="3"/>
    <n v="15"/>
    <n v="40"/>
    <n v="600"/>
    <n v="0.03"/>
    <n v="18"/>
    <x v="2"/>
  </r>
  <r>
    <s v="Ord-963"/>
    <x v="2"/>
    <x v="1"/>
    <x v="2"/>
    <n v="2"/>
    <n v="40"/>
    <n v="80"/>
    <n v="0.03"/>
    <n v="2.4"/>
    <x v="3"/>
  </r>
  <r>
    <s v="Ord-964"/>
    <x v="2"/>
    <x v="4"/>
    <x v="2"/>
    <n v="2"/>
    <n v="150"/>
    <n v="300"/>
    <n v="0.02"/>
    <n v="6"/>
    <x v="4"/>
  </r>
  <r>
    <s v="Ord-965"/>
    <x v="3"/>
    <x v="2"/>
    <x v="0"/>
    <n v="3"/>
    <n v="230"/>
    <n v="690"/>
    <n v="0.11"/>
    <n v="75.900000000000006"/>
    <x v="5"/>
  </r>
  <r>
    <s v="Ord-966"/>
    <x v="3"/>
    <x v="1"/>
    <x v="2"/>
    <n v="4"/>
    <n v="40"/>
    <n v="160"/>
    <n v="0.06"/>
    <n v="9.6"/>
    <x v="1"/>
  </r>
  <r>
    <s v="Ord-967"/>
    <x v="3"/>
    <x v="1"/>
    <x v="3"/>
    <n v="13"/>
    <n v="40"/>
    <n v="520"/>
    <n v="0.06"/>
    <n v="31.2"/>
    <x v="2"/>
  </r>
  <r>
    <s v="Ord-968"/>
    <x v="3"/>
    <x v="3"/>
    <x v="3"/>
    <n v="15"/>
    <n v="16"/>
    <n v="240"/>
    <n v="0.12"/>
    <n v="28.799999999999997"/>
    <x v="3"/>
  </r>
  <r>
    <s v="Ord-969"/>
    <x v="3"/>
    <x v="0"/>
    <x v="0"/>
    <n v="14"/>
    <n v="80"/>
    <n v="1120"/>
    <n v="0.08"/>
    <n v="89.600000000000009"/>
    <x v="4"/>
  </r>
  <r>
    <s v="Ord-970"/>
    <x v="3"/>
    <x v="3"/>
    <x v="0"/>
    <n v="7"/>
    <n v="16"/>
    <n v="112"/>
    <n v="0.08"/>
    <n v="8.9600000000000009"/>
    <x v="5"/>
  </r>
  <r>
    <s v="Ord-971"/>
    <x v="3"/>
    <x v="4"/>
    <x v="1"/>
    <n v="13"/>
    <n v="150"/>
    <n v="1950"/>
    <n v="0.02"/>
    <n v="39"/>
    <x v="6"/>
  </r>
  <r>
    <s v="Ord-972"/>
    <x v="3"/>
    <x v="4"/>
    <x v="2"/>
    <n v="9"/>
    <n v="150"/>
    <n v="1350"/>
    <n v="0.02"/>
    <n v="27"/>
    <x v="7"/>
  </r>
  <r>
    <s v="Ord-973"/>
    <x v="3"/>
    <x v="1"/>
    <x v="0"/>
    <n v="9"/>
    <n v="40"/>
    <n v="360"/>
    <n v="0.01"/>
    <n v="3.6"/>
    <x v="8"/>
  </r>
  <r>
    <s v="Ord-974"/>
    <x v="4"/>
    <x v="0"/>
    <x v="4"/>
    <n v="9"/>
    <n v="80"/>
    <n v="720"/>
    <n v="7.0000000000000007E-2"/>
    <n v="50.400000000000006"/>
    <x v="9"/>
  </r>
  <r>
    <s v="Ord-975"/>
    <x v="4"/>
    <x v="2"/>
    <x v="1"/>
    <n v="22"/>
    <n v="230"/>
    <n v="5060"/>
    <n v="0.11"/>
    <n v="556.6"/>
    <x v="10"/>
  </r>
  <r>
    <s v="Ord-976"/>
    <x v="4"/>
    <x v="4"/>
    <x v="1"/>
    <n v="15"/>
    <n v="150"/>
    <n v="2250"/>
    <n v="0.02"/>
    <n v="45"/>
    <x v="11"/>
  </r>
  <r>
    <s v="Ord-977"/>
    <x v="4"/>
    <x v="2"/>
    <x v="4"/>
    <n v="5"/>
    <n v="230"/>
    <n v="1150"/>
    <n v="0.12"/>
    <n v="138"/>
    <x v="0"/>
  </r>
  <r>
    <s v="Ord-978"/>
    <x v="4"/>
    <x v="1"/>
    <x v="2"/>
    <n v="20"/>
    <n v="40"/>
    <n v="800"/>
    <n v="0.01"/>
    <n v="8"/>
    <x v="1"/>
  </r>
  <r>
    <s v="Ord-979"/>
    <x v="4"/>
    <x v="1"/>
    <x v="0"/>
    <n v="23"/>
    <n v="40"/>
    <n v="920"/>
    <n v="0.03"/>
    <n v="27.599999999999998"/>
    <x v="2"/>
  </r>
  <r>
    <s v="Ord-980"/>
    <x v="4"/>
    <x v="0"/>
    <x v="4"/>
    <n v="16"/>
    <n v="80"/>
    <n v="1280"/>
    <n v="0.05"/>
    <n v="64"/>
    <x v="3"/>
  </r>
  <r>
    <s v="Ord-981"/>
    <x v="4"/>
    <x v="2"/>
    <x v="2"/>
    <n v="18"/>
    <n v="230"/>
    <n v="4140"/>
    <n v="0.01"/>
    <n v="41.4"/>
    <x v="4"/>
  </r>
  <r>
    <s v="Ord-982"/>
    <x v="4"/>
    <x v="1"/>
    <x v="4"/>
    <n v="23"/>
    <n v="40"/>
    <n v="920"/>
    <n v="0.05"/>
    <n v="46"/>
    <x v="5"/>
  </r>
  <r>
    <s v="Ord-983"/>
    <x v="4"/>
    <x v="3"/>
    <x v="3"/>
    <n v="5"/>
    <n v="16"/>
    <n v="80"/>
    <n v="0.09"/>
    <n v="7.1999999999999993"/>
    <x v="1"/>
  </r>
  <r>
    <s v="Ord-984"/>
    <x v="4"/>
    <x v="1"/>
    <x v="0"/>
    <n v="22"/>
    <n v="40"/>
    <n v="880"/>
    <n v="0.02"/>
    <n v="17.600000000000001"/>
    <x v="2"/>
  </r>
  <r>
    <s v="Ord-985"/>
    <x v="5"/>
    <x v="4"/>
    <x v="0"/>
    <n v="23"/>
    <n v="150"/>
    <n v="3450"/>
    <n v="0.1"/>
    <n v="345"/>
    <x v="3"/>
  </r>
  <r>
    <s v="Ord-986"/>
    <x v="5"/>
    <x v="2"/>
    <x v="1"/>
    <n v="22"/>
    <n v="230"/>
    <n v="5060"/>
    <n v="0.04"/>
    <n v="202.4"/>
    <x v="4"/>
  </r>
  <r>
    <s v="Ord-987"/>
    <x v="5"/>
    <x v="0"/>
    <x v="3"/>
    <n v="16"/>
    <n v="80"/>
    <n v="1280"/>
    <n v="7.0000000000000007E-2"/>
    <n v="89.600000000000009"/>
    <x v="5"/>
  </r>
  <r>
    <s v="Ord-988"/>
    <x v="5"/>
    <x v="4"/>
    <x v="2"/>
    <n v="22"/>
    <n v="150"/>
    <n v="3300"/>
    <n v="0.09"/>
    <n v="297"/>
    <x v="6"/>
  </r>
  <r>
    <s v="Ord-989"/>
    <x v="5"/>
    <x v="0"/>
    <x v="2"/>
    <n v="5"/>
    <n v="80"/>
    <n v="400"/>
    <n v="0.09"/>
    <n v="36"/>
    <x v="7"/>
  </r>
  <r>
    <s v="Ord-990"/>
    <x v="5"/>
    <x v="0"/>
    <x v="3"/>
    <n v="16"/>
    <n v="80"/>
    <n v="1280"/>
    <n v="0.1"/>
    <n v="128"/>
    <x v="8"/>
  </r>
  <r>
    <s v="Ord-991"/>
    <x v="5"/>
    <x v="4"/>
    <x v="1"/>
    <n v="23"/>
    <n v="150"/>
    <n v="3450"/>
    <n v="0.11"/>
    <n v="379.5"/>
    <x v="9"/>
  </r>
  <r>
    <s v="Ord-992"/>
    <x v="5"/>
    <x v="3"/>
    <x v="1"/>
    <n v="4"/>
    <n v="16"/>
    <n v="64"/>
    <n v="0.09"/>
    <n v="5.76"/>
    <x v="10"/>
  </r>
  <r>
    <s v="Ord-993"/>
    <x v="5"/>
    <x v="3"/>
    <x v="1"/>
    <n v="4"/>
    <n v="16"/>
    <n v="64"/>
    <n v="7.0000000000000007E-2"/>
    <n v="4.4800000000000004"/>
    <x v="11"/>
  </r>
  <r>
    <s v="Ord-994"/>
    <x v="5"/>
    <x v="3"/>
    <x v="0"/>
    <n v="16"/>
    <n v="16"/>
    <n v="256"/>
    <n v="0.03"/>
    <n v="7.68"/>
    <x v="0"/>
  </r>
  <r>
    <s v="Ord-995"/>
    <x v="5"/>
    <x v="1"/>
    <x v="3"/>
    <n v="18"/>
    <n v="40"/>
    <n v="720"/>
    <n v="0.04"/>
    <n v="28.8"/>
    <x v="1"/>
  </r>
  <r>
    <s v="Ord-996"/>
    <x v="5"/>
    <x v="0"/>
    <x v="3"/>
    <n v="21"/>
    <n v="80"/>
    <n v="1680"/>
    <n v="0.02"/>
    <n v="33.6"/>
    <x v="2"/>
  </r>
  <r>
    <s v="Ord-997"/>
    <x v="5"/>
    <x v="0"/>
    <x v="4"/>
    <n v="10"/>
    <n v="80"/>
    <n v="800"/>
    <n v="0.06"/>
    <n v="48"/>
    <x v="3"/>
  </r>
  <r>
    <s v="Ord-998"/>
    <x v="5"/>
    <x v="2"/>
    <x v="2"/>
    <n v="7"/>
    <n v="230"/>
    <n v="1610"/>
    <n v="0.01"/>
    <n v="16.100000000000001"/>
    <x v="4"/>
  </r>
  <r>
    <s v="Ord-999"/>
    <x v="6"/>
    <x v="3"/>
    <x v="4"/>
    <n v="11"/>
    <n v="16"/>
    <n v="176"/>
    <n v="0.12"/>
    <n v="21.119999999999997"/>
    <x v="5"/>
  </r>
  <r>
    <s v="Ord-1000"/>
    <x v="6"/>
    <x v="0"/>
    <x v="3"/>
    <n v="10"/>
    <n v="80"/>
    <n v="800"/>
    <n v="0.1"/>
    <n v="80"/>
    <x v="1"/>
  </r>
  <r>
    <s v="Ord-1001"/>
    <x v="6"/>
    <x v="1"/>
    <x v="1"/>
    <n v="23"/>
    <n v="40"/>
    <n v="920"/>
    <n v="0.06"/>
    <n v="55.199999999999996"/>
    <x v="2"/>
  </r>
  <r>
    <s v="Ord-1002"/>
    <x v="6"/>
    <x v="4"/>
    <x v="4"/>
    <n v="7"/>
    <n v="150"/>
    <n v="1050"/>
    <n v="0.02"/>
    <n v="21"/>
    <x v="3"/>
  </r>
  <r>
    <s v="Ord-1003"/>
    <x v="6"/>
    <x v="0"/>
    <x v="0"/>
    <n v="17"/>
    <n v="80"/>
    <n v="1360"/>
    <n v="7.0000000000000007E-2"/>
    <n v="95.2"/>
    <x v="4"/>
  </r>
  <r>
    <s v="Ord-1004"/>
    <x v="6"/>
    <x v="4"/>
    <x v="1"/>
    <n v="20"/>
    <n v="150"/>
    <n v="3000"/>
    <n v="0.09"/>
    <n v="270"/>
    <x v="5"/>
  </r>
  <r>
    <s v="Ord-1005"/>
    <x v="6"/>
    <x v="2"/>
    <x v="3"/>
    <n v="23"/>
    <n v="230"/>
    <n v="5290"/>
    <n v="0.06"/>
    <n v="317.39999999999998"/>
    <x v="6"/>
  </r>
  <r>
    <s v="Ord-1006"/>
    <x v="6"/>
    <x v="0"/>
    <x v="1"/>
    <n v="16"/>
    <n v="80"/>
    <n v="1280"/>
    <n v="0.04"/>
    <n v="51.2"/>
    <x v="7"/>
  </r>
  <r>
    <s v="Ord-1007"/>
    <x v="6"/>
    <x v="2"/>
    <x v="4"/>
    <n v="22"/>
    <n v="230"/>
    <n v="5060"/>
    <n v="0.1"/>
    <n v="506"/>
    <x v="8"/>
  </r>
  <r>
    <s v="Ord-1008"/>
    <x v="6"/>
    <x v="2"/>
    <x v="2"/>
    <n v="15"/>
    <n v="230"/>
    <n v="3450"/>
    <n v="0.11"/>
    <n v="379.5"/>
    <x v="9"/>
  </r>
  <r>
    <s v="Ord-1009"/>
    <x v="6"/>
    <x v="1"/>
    <x v="1"/>
    <n v="15"/>
    <n v="40"/>
    <n v="600"/>
    <n v="0.04"/>
    <n v="24"/>
    <x v="10"/>
  </r>
  <r>
    <s v="Ord-1010"/>
    <x v="6"/>
    <x v="0"/>
    <x v="1"/>
    <n v="2"/>
    <n v="80"/>
    <n v="160"/>
    <n v="7.0000000000000007E-2"/>
    <n v="11.200000000000001"/>
    <x v="11"/>
  </r>
  <r>
    <s v="Ord-1011"/>
    <x v="7"/>
    <x v="4"/>
    <x v="0"/>
    <n v="22"/>
    <n v="150"/>
    <n v="3300"/>
    <n v="0.05"/>
    <n v="165"/>
    <x v="0"/>
  </r>
  <r>
    <s v="Ord-1012"/>
    <x v="7"/>
    <x v="1"/>
    <x v="4"/>
    <n v="20"/>
    <n v="40"/>
    <n v="800"/>
    <n v="7.0000000000000007E-2"/>
    <n v="56.000000000000007"/>
    <x v="1"/>
  </r>
  <r>
    <s v="Ord-1013"/>
    <x v="7"/>
    <x v="2"/>
    <x v="3"/>
    <n v="2"/>
    <n v="230"/>
    <n v="460"/>
    <n v="0.09"/>
    <n v="41.4"/>
    <x v="2"/>
  </r>
  <r>
    <s v="Ord-1014"/>
    <x v="7"/>
    <x v="1"/>
    <x v="3"/>
    <n v="7"/>
    <n v="40"/>
    <n v="280"/>
    <n v="0.11"/>
    <n v="30.8"/>
    <x v="3"/>
  </r>
  <r>
    <s v="Ord-1015"/>
    <x v="7"/>
    <x v="1"/>
    <x v="3"/>
    <n v="9"/>
    <n v="40"/>
    <n v="360"/>
    <n v="0.06"/>
    <n v="21.599999999999998"/>
    <x v="5"/>
  </r>
  <r>
    <s v="Ord-1016"/>
    <x v="7"/>
    <x v="1"/>
    <x v="0"/>
    <n v="18"/>
    <n v="40"/>
    <n v="720"/>
    <n v="0.11"/>
    <n v="79.2"/>
    <x v="1"/>
  </r>
  <r>
    <s v="Ord-1017"/>
    <x v="7"/>
    <x v="2"/>
    <x v="0"/>
    <n v="20"/>
    <n v="230"/>
    <n v="4600"/>
    <n v="0.04"/>
    <n v="184"/>
    <x v="2"/>
  </r>
  <r>
    <s v="Ord-1018"/>
    <x v="7"/>
    <x v="0"/>
    <x v="2"/>
    <n v="23"/>
    <n v="80"/>
    <n v="1840"/>
    <n v="0.05"/>
    <n v="92"/>
    <x v="3"/>
  </r>
  <r>
    <s v="Ord-1019"/>
    <x v="7"/>
    <x v="4"/>
    <x v="4"/>
    <n v="11"/>
    <n v="150"/>
    <n v="1650"/>
    <n v="0.09"/>
    <n v="148.5"/>
    <x v="4"/>
  </r>
  <r>
    <s v="Ord-1020"/>
    <x v="7"/>
    <x v="4"/>
    <x v="0"/>
    <n v="17"/>
    <n v="150"/>
    <n v="2550"/>
    <n v="0.12"/>
    <n v="306"/>
    <x v="5"/>
  </r>
  <r>
    <s v="Ord-1021"/>
    <x v="7"/>
    <x v="2"/>
    <x v="4"/>
    <n v="2"/>
    <n v="230"/>
    <n v="460"/>
    <n v="0.08"/>
    <n v="36.800000000000004"/>
    <x v="6"/>
  </r>
  <r>
    <s v="Ord-1022"/>
    <x v="7"/>
    <x v="0"/>
    <x v="2"/>
    <n v="10"/>
    <n v="80"/>
    <n v="800"/>
    <n v="0.11"/>
    <n v="88"/>
    <x v="7"/>
  </r>
  <r>
    <s v="Ord-1023"/>
    <x v="8"/>
    <x v="3"/>
    <x v="3"/>
    <n v="22"/>
    <n v="16"/>
    <n v="352"/>
    <n v="0.03"/>
    <n v="10.559999999999999"/>
    <x v="8"/>
  </r>
  <r>
    <s v="Ord-1024"/>
    <x v="8"/>
    <x v="3"/>
    <x v="2"/>
    <n v="9"/>
    <n v="16"/>
    <n v="144"/>
    <n v="0.05"/>
    <n v="7.2"/>
    <x v="9"/>
  </r>
  <r>
    <s v="Ord-1025"/>
    <x v="8"/>
    <x v="1"/>
    <x v="2"/>
    <n v="4"/>
    <n v="40"/>
    <n v="160"/>
    <n v="0.1"/>
    <n v="16"/>
    <x v="10"/>
  </r>
  <r>
    <s v="Ord-1026"/>
    <x v="8"/>
    <x v="0"/>
    <x v="4"/>
    <n v="9"/>
    <n v="80"/>
    <n v="720"/>
    <n v="0.02"/>
    <n v="14.4"/>
    <x v="11"/>
  </r>
  <r>
    <s v="Ord-1027"/>
    <x v="8"/>
    <x v="2"/>
    <x v="2"/>
    <n v="6"/>
    <n v="230"/>
    <n v="1380"/>
    <n v="0.05"/>
    <n v="69"/>
    <x v="0"/>
  </r>
  <r>
    <s v="Ord-1028"/>
    <x v="8"/>
    <x v="0"/>
    <x v="3"/>
    <n v="14"/>
    <n v="80"/>
    <n v="1120"/>
    <n v="0.05"/>
    <n v="56"/>
    <x v="1"/>
  </r>
  <r>
    <s v="Ord-1029"/>
    <x v="8"/>
    <x v="3"/>
    <x v="4"/>
    <n v="17"/>
    <n v="16"/>
    <n v="272"/>
    <n v="0.08"/>
    <n v="21.76"/>
    <x v="2"/>
  </r>
  <r>
    <s v="Ord-1030"/>
    <x v="8"/>
    <x v="4"/>
    <x v="1"/>
    <n v="22"/>
    <n v="150"/>
    <n v="3300"/>
    <n v="0.02"/>
    <n v="66"/>
    <x v="3"/>
  </r>
  <r>
    <s v="Ord-1031"/>
    <x v="8"/>
    <x v="1"/>
    <x v="4"/>
    <n v="17"/>
    <n v="40"/>
    <n v="680"/>
    <n v="0.02"/>
    <n v="13.6"/>
    <x v="4"/>
  </r>
  <r>
    <s v="Ord-1032"/>
    <x v="8"/>
    <x v="0"/>
    <x v="4"/>
    <n v="17"/>
    <n v="80"/>
    <n v="1360"/>
    <n v="7.0000000000000007E-2"/>
    <n v="95.2"/>
    <x v="5"/>
  </r>
  <r>
    <s v="Ord-1033"/>
    <x v="8"/>
    <x v="4"/>
    <x v="3"/>
    <n v="4"/>
    <n v="150"/>
    <n v="600"/>
    <n v="0.12"/>
    <n v="72"/>
    <x v="1"/>
  </r>
  <r>
    <s v="Ord-1034"/>
    <x v="8"/>
    <x v="3"/>
    <x v="3"/>
    <n v="14"/>
    <n v="16"/>
    <n v="224"/>
    <n v="0.12"/>
    <n v="26.88"/>
    <x v="2"/>
  </r>
  <r>
    <s v="Ord-1035"/>
    <x v="8"/>
    <x v="3"/>
    <x v="0"/>
    <n v="18"/>
    <n v="16"/>
    <n v="288"/>
    <n v="0.11"/>
    <n v="31.68"/>
    <x v="3"/>
  </r>
  <r>
    <s v="Ord-1036"/>
    <x v="8"/>
    <x v="0"/>
    <x v="4"/>
    <n v="22"/>
    <n v="80"/>
    <n v="1760"/>
    <n v="0.09"/>
    <n v="158.4"/>
    <x v="4"/>
  </r>
  <r>
    <s v="Ord-1037"/>
    <x v="8"/>
    <x v="2"/>
    <x v="1"/>
    <n v="12"/>
    <n v="230"/>
    <n v="2760"/>
    <n v="0.03"/>
    <n v="82.8"/>
    <x v="5"/>
  </r>
  <r>
    <s v="Ord-1038"/>
    <x v="8"/>
    <x v="1"/>
    <x v="1"/>
    <n v="12"/>
    <n v="40"/>
    <n v="480"/>
    <n v="0.1"/>
    <n v="48"/>
    <x v="6"/>
  </r>
  <r>
    <s v="Ord-1039"/>
    <x v="9"/>
    <x v="1"/>
    <x v="4"/>
    <n v="7"/>
    <n v="40"/>
    <n v="280"/>
    <n v="0.12"/>
    <n v="33.6"/>
    <x v="7"/>
  </r>
  <r>
    <s v="Ord-1040"/>
    <x v="9"/>
    <x v="0"/>
    <x v="0"/>
    <n v="12"/>
    <n v="80"/>
    <n v="960"/>
    <n v="0.04"/>
    <n v="38.4"/>
    <x v="8"/>
  </r>
  <r>
    <s v="Ord-1041"/>
    <x v="9"/>
    <x v="3"/>
    <x v="4"/>
    <n v="17"/>
    <n v="16"/>
    <n v="272"/>
    <n v="0.1"/>
    <n v="27.200000000000003"/>
    <x v="9"/>
  </r>
  <r>
    <s v="Ord-1042"/>
    <x v="9"/>
    <x v="2"/>
    <x v="1"/>
    <n v="6"/>
    <n v="230"/>
    <n v="1380"/>
    <n v="0.1"/>
    <n v="138"/>
    <x v="10"/>
  </r>
  <r>
    <s v="Ord-1043"/>
    <x v="9"/>
    <x v="1"/>
    <x v="0"/>
    <n v="11"/>
    <n v="40"/>
    <n v="440"/>
    <n v="0.04"/>
    <n v="17.600000000000001"/>
    <x v="11"/>
  </r>
  <r>
    <s v="Ord-1044"/>
    <x v="9"/>
    <x v="3"/>
    <x v="3"/>
    <n v="10"/>
    <n v="16"/>
    <n v="160"/>
    <n v="0.04"/>
    <n v="6.4"/>
    <x v="0"/>
  </r>
  <r>
    <s v="Ord-1045"/>
    <x v="9"/>
    <x v="0"/>
    <x v="0"/>
    <n v="6"/>
    <n v="80"/>
    <n v="480"/>
    <n v="7.0000000000000007E-2"/>
    <n v="33.6"/>
    <x v="1"/>
  </r>
  <r>
    <s v="Ord-1046"/>
    <x v="9"/>
    <x v="1"/>
    <x v="3"/>
    <n v="11"/>
    <n v="40"/>
    <n v="440"/>
    <n v="0.09"/>
    <n v="39.6"/>
    <x v="2"/>
  </r>
  <r>
    <s v="Ord-1047"/>
    <x v="9"/>
    <x v="0"/>
    <x v="4"/>
    <n v="16"/>
    <n v="80"/>
    <n v="1280"/>
    <n v="0.09"/>
    <n v="115.19999999999999"/>
    <x v="3"/>
  </r>
  <r>
    <s v="Ord-1048"/>
    <x v="9"/>
    <x v="1"/>
    <x v="3"/>
    <n v="13"/>
    <n v="40"/>
    <n v="520"/>
    <n v="0.09"/>
    <n v="46.8"/>
    <x v="4"/>
  </r>
  <r>
    <s v="Ord-1049"/>
    <x v="9"/>
    <x v="2"/>
    <x v="0"/>
    <n v="5"/>
    <n v="230"/>
    <n v="1150"/>
    <n v="0.1"/>
    <n v="115"/>
    <x v="5"/>
  </r>
  <r>
    <s v="Ord-1050"/>
    <x v="10"/>
    <x v="1"/>
    <x v="4"/>
    <n v="7"/>
    <n v="40"/>
    <n v="280"/>
    <n v="0.05"/>
    <n v="14"/>
    <x v="1"/>
  </r>
  <r>
    <s v="Ord-1051"/>
    <x v="10"/>
    <x v="0"/>
    <x v="2"/>
    <n v="14"/>
    <n v="80"/>
    <n v="1120"/>
    <n v="0.1"/>
    <n v="112"/>
    <x v="2"/>
  </r>
  <r>
    <s v="Ord-1052"/>
    <x v="10"/>
    <x v="3"/>
    <x v="4"/>
    <n v="12"/>
    <n v="16"/>
    <n v="192"/>
    <n v="0.04"/>
    <n v="7.68"/>
    <x v="3"/>
  </r>
  <r>
    <s v="Ord-1053"/>
    <x v="10"/>
    <x v="2"/>
    <x v="2"/>
    <n v="14"/>
    <n v="230"/>
    <n v="3220"/>
    <n v="0.03"/>
    <n v="96.6"/>
    <x v="4"/>
  </r>
  <r>
    <s v="Ord-1054"/>
    <x v="10"/>
    <x v="0"/>
    <x v="4"/>
    <n v="21"/>
    <n v="80"/>
    <n v="1680"/>
    <n v="0.09"/>
    <n v="151.19999999999999"/>
    <x v="5"/>
  </r>
  <r>
    <s v="Ord-1055"/>
    <x v="10"/>
    <x v="2"/>
    <x v="2"/>
    <n v="5"/>
    <n v="230"/>
    <n v="1150"/>
    <n v="0.1"/>
    <n v="115"/>
    <x v="6"/>
  </r>
  <r>
    <s v="Ord-1056"/>
    <x v="10"/>
    <x v="1"/>
    <x v="4"/>
    <n v="16"/>
    <n v="40"/>
    <n v="640"/>
    <n v="0.09"/>
    <n v="57.599999999999994"/>
    <x v="7"/>
  </r>
  <r>
    <s v="Ord-1057"/>
    <x v="10"/>
    <x v="4"/>
    <x v="1"/>
    <n v="15"/>
    <n v="150"/>
    <n v="2250"/>
    <n v="0.12"/>
    <n v="270"/>
    <x v="8"/>
  </r>
  <r>
    <s v="Ord-1058"/>
    <x v="10"/>
    <x v="3"/>
    <x v="4"/>
    <n v="23"/>
    <n v="16"/>
    <n v="368"/>
    <n v="0.01"/>
    <n v="3.68"/>
    <x v="9"/>
  </r>
  <r>
    <s v="Ord-1059"/>
    <x v="10"/>
    <x v="3"/>
    <x v="1"/>
    <n v="22"/>
    <n v="16"/>
    <n v="352"/>
    <n v="0.04"/>
    <n v="14.08"/>
    <x v="10"/>
  </r>
  <r>
    <s v="Ord-1060"/>
    <x v="10"/>
    <x v="0"/>
    <x v="0"/>
    <n v="20"/>
    <n v="80"/>
    <n v="1600"/>
    <n v="0.01"/>
    <n v="16"/>
    <x v="11"/>
  </r>
  <r>
    <s v="Ord-1061"/>
    <x v="10"/>
    <x v="1"/>
    <x v="3"/>
    <n v="6"/>
    <n v="40"/>
    <n v="240"/>
    <n v="7.0000000000000007E-2"/>
    <n v="16.8"/>
    <x v="0"/>
  </r>
  <r>
    <s v="Ord-1062"/>
    <x v="11"/>
    <x v="4"/>
    <x v="1"/>
    <n v="10"/>
    <n v="150"/>
    <n v="1500"/>
    <n v="0.01"/>
    <n v="15"/>
    <x v="1"/>
  </r>
  <r>
    <s v="Ord-1063"/>
    <x v="11"/>
    <x v="0"/>
    <x v="3"/>
    <n v="17"/>
    <n v="80"/>
    <n v="1360"/>
    <n v="0.05"/>
    <n v="68"/>
    <x v="2"/>
  </r>
  <r>
    <s v="Ord-1064"/>
    <x v="11"/>
    <x v="4"/>
    <x v="0"/>
    <n v="13"/>
    <n v="150"/>
    <n v="1950"/>
    <n v="0.05"/>
    <n v="97.5"/>
    <x v="3"/>
  </r>
  <r>
    <s v="Ord-1065"/>
    <x v="11"/>
    <x v="2"/>
    <x v="3"/>
    <n v="8"/>
    <n v="230"/>
    <n v="1840"/>
    <n v="0.05"/>
    <n v="92"/>
    <x v="4"/>
  </r>
  <r>
    <s v="Ord-1066"/>
    <x v="11"/>
    <x v="3"/>
    <x v="0"/>
    <n v="10"/>
    <n v="16"/>
    <n v="160"/>
    <n v="0.08"/>
    <n v="12.8"/>
    <x v="5"/>
  </r>
  <r>
    <s v="Ord-1067"/>
    <x v="11"/>
    <x v="1"/>
    <x v="1"/>
    <n v="4"/>
    <n v="40"/>
    <n v="160"/>
    <n v="0.06"/>
    <n v="9.6"/>
    <x v="1"/>
  </r>
  <r>
    <s v="Ord-1068"/>
    <x v="11"/>
    <x v="1"/>
    <x v="4"/>
    <n v="18"/>
    <n v="40"/>
    <n v="720"/>
    <n v="0.06"/>
    <n v="43.199999999999996"/>
    <x v="2"/>
  </r>
  <r>
    <s v="Ord-1069"/>
    <x v="11"/>
    <x v="4"/>
    <x v="3"/>
    <n v="15"/>
    <n v="150"/>
    <n v="2250"/>
    <n v="0.05"/>
    <n v="112.5"/>
    <x v="3"/>
  </r>
  <r>
    <s v="Ord-1070"/>
    <x v="11"/>
    <x v="4"/>
    <x v="3"/>
    <n v="3"/>
    <n v="150"/>
    <n v="450"/>
    <n v="0.01"/>
    <n v="4.5"/>
    <x v="4"/>
  </r>
  <r>
    <s v="Ord-1071"/>
    <x v="11"/>
    <x v="3"/>
    <x v="0"/>
    <n v="12"/>
    <n v="16"/>
    <n v="192"/>
    <n v="0.11"/>
    <n v="21.12"/>
    <x v="5"/>
  </r>
  <r>
    <s v="Ord-1072"/>
    <x v="12"/>
    <x v="0"/>
    <x v="4"/>
    <n v="17"/>
    <n v="80"/>
    <n v="1360"/>
    <n v="7.0000000000000007E-2"/>
    <n v="95.2"/>
    <x v="6"/>
  </r>
  <r>
    <s v="Ord-1073"/>
    <x v="12"/>
    <x v="2"/>
    <x v="0"/>
    <n v="3"/>
    <n v="230"/>
    <n v="690"/>
    <n v="0.06"/>
    <n v="41.4"/>
    <x v="7"/>
  </r>
  <r>
    <s v="Ord-1074"/>
    <x v="12"/>
    <x v="0"/>
    <x v="2"/>
    <n v="20"/>
    <n v="80"/>
    <n v="1600"/>
    <n v="7.0000000000000007E-2"/>
    <n v="112.00000000000001"/>
    <x v="8"/>
  </r>
  <r>
    <s v="Ord-1075"/>
    <x v="12"/>
    <x v="2"/>
    <x v="1"/>
    <n v="14"/>
    <n v="230"/>
    <n v="3220"/>
    <n v="0.05"/>
    <n v="161"/>
    <x v="9"/>
  </r>
  <r>
    <s v="Ord-1076"/>
    <x v="12"/>
    <x v="1"/>
    <x v="4"/>
    <n v="16"/>
    <n v="40"/>
    <n v="640"/>
    <n v="0.09"/>
    <n v="57.599999999999994"/>
    <x v="10"/>
  </r>
  <r>
    <s v="Ord-1077"/>
    <x v="12"/>
    <x v="3"/>
    <x v="1"/>
    <n v="7"/>
    <n v="16"/>
    <n v="112"/>
    <n v="0.08"/>
    <n v="8.9600000000000009"/>
    <x v="11"/>
  </r>
  <r>
    <s v="Ord-1078"/>
    <x v="12"/>
    <x v="1"/>
    <x v="1"/>
    <n v="19"/>
    <n v="40"/>
    <n v="760"/>
    <n v="0.1"/>
    <n v="76"/>
    <x v="0"/>
  </r>
  <r>
    <s v="Ord-1079"/>
    <x v="12"/>
    <x v="2"/>
    <x v="3"/>
    <n v="7"/>
    <n v="230"/>
    <n v="1610"/>
    <n v="0.06"/>
    <n v="96.6"/>
    <x v="1"/>
  </r>
  <r>
    <s v="Ord-1080"/>
    <x v="12"/>
    <x v="1"/>
    <x v="4"/>
    <n v="20"/>
    <n v="40"/>
    <n v="800"/>
    <n v="0.03"/>
    <n v="24"/>
    <x v="2"/>
  </r>
  <r>
    <s v="Ord-1081"/>
    <x v="12"/>
    <x v="3"/>
    <x v="2"/>
    <n v="11"/>
    <n v="16"/>
    <n v="176"/>
    <n v="0.12"/>
    <n v="21.119999999999997"/>
    <x v="3"/>
  </r>
  <r>
    <s v="Ord-1082"/>
    <x v="12"/>
    <x v="0"/>
    <x v="4"/>
    <n v="16"/>
    <n v="80"/>
    <n v="1280"/>
    <n v="0.09"/>
    <n v="115.19999999999999"/>
    <x v="4"/>
  </r>
  <r>
    <s v="Ord-1083"/>
    <x v="12"/>
    <x v="3"/>
    <x v="0"/>
    <n v="21"/>
    <n v="16"/>
    <n v="336"/>
    <n v="0.09"/>
    <n v="30.24"/>
    <x v="5"/>
  </r>
  <r>
    <s v="Ord-1084"/>
    <x v="12"/>
    <x v="3"/>
    <x v="0"/>
    <n v="22"/>
    <n v="16"/>
    <n v="352"/>
    <n v="0.01"/>
    <n v="3.52"/>
    <x v="1"/>
  </r>
  <r>
    <s v="Ord-1085"/>
    <x v="12"/>
    <x v="2"/>
    <x v="3"/>
    <n v="23"/>
    <n v="230"/>
    <n v="5290"/>
    <n v="0.06"/>
    <n v="317.39999999999998"/>
    <x v="2"/>
  </r>
  <r>
    <s v="Ord-1086"/>
    <x v="12"/>
    <x v="4"/>
    <x v="0"/>
    <n v="9"/>
    <n v="150"/>
    <n v="1350"/>
    <n v="0.1"/>
    <n v="135"/>
    <x v="3"/>
  </r>
  <r>
    <s v="Ord-1087"/>
    <x v="12"/>
    <x v="4"/>
    <x v="2"/>
    <n v="9"/>
    <n v="150"/>
    <n v="1350"/>
    <n v="0.06"/>
    <n v="81"/>
    <x v="4"/>
  </r>
  <r>
    <s v="Ord-1088"/>
    <x v="13"/>
    <x v="2"/>
    <x v="0"/>
    <n v="9"/>
    <n v="230"/>
    <n v="2070"/>
    <n v="7.0000000000000007E-2"/>
    <n v="144.9"/>
    <x v="5"/>
  </r>
  <r>
    <s v="Ord-1089"/>
    <x v="13"/>
    <x v="0"/>
    <x v="2"/>
    <n v="10"/>
    <n v="80"/>
    <n v="800"/>
    <n v="0.08"/>
    <n v="64"/>
    <x v="6"/>
  </r>
  <r>
    <s v="Ord-1090"/>
    <x v="13"/>
    <x v="3"/>
    <x v="2"/>
    <n v="23"/>
    <n v="16"/>
    <n v="368"/>
    <n v="0.11"/>
    <n v="40.479999999999997"/>
    <x v="7"/>
  </r>
  <r>
    <s v="Ord-1091"/>
    <x v="13"/>
    <x v="0"/>
    <x v="3"/>
    <n v="22"/>
    <n v="80"/>
    <n v="1760"/>
    <n v="0.03"/>
    <n v="52.8"/>
    <x v="8"/>
  </r>
  <r>
    <s v="Ord-1092"/>
    <x v="13"/>
    <x v="0"/>
    <x v="3"/>
    <n v="4"/>
    <n v="80"/>
    <n v="320"/>
    <n v="0.11"/>
    <n v="35.200000000000003"/>
    <x v="9"/>
  </r>
  <r>
    <s v="Ord-1093"/>
    <x v="13"/>
    <x v="3"/>
    <x v="0"/>
    <n v="22"/>
    <n v="16"/>
    <n v="352"/>
    <n v="0.06"/>
    <n v="21.119999999999997"/>
    <x v="10"/>
  </r>
  <r>
    <s v="Ord-1094"/>
    <x v="13"/>
    <x v="1"/>
    <x v="1"/>
    <n v="15"/>
    <n v="40"/>
    <n v="600"/>
    <n v="0.02"/>
    <n v="12"/>
    <x v="11"/>
  </r>
  <r>
    <s v="Ord-1095"/>
    <x v="13"/>
    <x v="1"/>
    <x v="4"/>
    <n v="7"/>
    <n v="40"/>
    <n v="280"/>
    <n v="0.04"/>
    <n v="11.200000000000001"/>
    <x v="0"/>
  </r>
  <r>
    <s v="Ord-1096"/>
    <x v="13"/>
    <x v="3"/>
    <x v="4"/>
    <n v="2"/>
    <n v="16"/>
    <n v="32"/>
    <n v="0.04"/>
    <n v="1.28"/>
    <x v="1"/>
  </r>
  <r>
    <s v="Ord-1097"/>
    <x v="13"/>
    <x v="0"/>
    <x v="3"/>
    <n v="7"/>
    <n v="80"/>
    <n v="560"/>
    <n v="0.02"/>
    <n v="11.200000000000001"/>
    <x v="2"/>
  </r>
  <r>
    <s v="Ord-1098"/>
    <x v="14"/>
    <x v="3"/>
    <x v="4"/>
    <n v="22"/>
    <n v="16"/>
    <n v="352"/>
    <n v="0.12"/>
    <n v="42.239999999999995"/>
    <x v="3"/>
  </r>
  <r>
    <s v="Ord-1099"/>
    <x v="14"/>
    <x v="1"/>
    <x v="1"/>
    <n v="21"/>
    <n v="40"/>
    <n v="840"/>
    <n v="0.03"/>
    <n v="25.2"/>
    <x v="4"/>
  </r>
  <r>
    <s v="Ord-1100"/>
    <x v="14"/>
    <x v="0"/>
    <x v="0"/>
    <n v="6"/>
    <n v="80"/>
    <n v="480"/>
    <n v="0.01"/>
    <n v="4.8"/>
    <x v="5"/>
  </r>
  <r>
    <s v="Ord-1101"/>
    <x v="14"/>
    <x v="0"/>
    <x v="4"/>
    <n v="13"/>
    <n v="80"/>
    <n v="1040"/>
    <n v="0.05"/>
    <n v="52"/>
    <x v="1"/>
  </r>
  <r>
    <s v="Ord-1102"/>
    <x v="14"/>
    <x v="0"/>
    <x v="3"/>
    <n v="11"/>
    <n v="80"/>
    <n v="880"/>
    <n v="0.01"/>
    <n v="8.8000000000000007"/>
    <x v="2"/>
  </r>
  <r>
    <s v="Ord-1103"/>
    <x v="14"/>
    <x v="1"/>
    <x v="0"/>
    <n v="18"/>
    <n v="40"/>
    <n v="720"/>
    <n v="0.06"/>
    <n v="43.199999999999996"/>
    <x v="3"/>
  </r>
  <r>
    <s v="Ord-1104"/>
    <x v="14"/>
    <x v="4"/>
    <x v="3"/>
    <n v="7"/>
    <n v="150"/>
    <n v="1050"/>
    <n v="0.05"/>
    <n v="52.5"/>
    <x v="4"/>
  </r>
  <r>
    <s v="Ord-1105"/>
    <x v="14"/>
    <x v="1"/>
    <x v="0"/>
    <n v="2"/>
    <n v="40"/>
    <n v="80"/>
    <n v="0.12"/>
    <n v="9.6"/>
    <x v="5"/>
  </r>
  <r>
    <s v="Ord-1106"/>
    <x v="14"/>
    <x v="0"/>
    <x v="1"/>
    <n v="14"/>
    <n v="80"/>
    <n v="1120"/>
    <n v="0.06"/>
    <n v="67.2"/>
    <x v="6"/>
  </r>
  <r>
    <s v="Ord-1107"/>
    <x v="14"/>
    <x v="4"/>
    <x v="4"/>
    <n v="7"/>
    <n v="150"/>
    <n v="1050"/>
    <n v="0.03"/>
    <n v="31.5"/>
    <x v="7"/>
  </r>
  <r>
    <s v="Ord-1108"/>
    <x v="14"/>
    <x v="3"/>
    <x v="3"/>
    <n v="10"/>
    <n v="16"/>
    <n v="160"/>
    <n v="0.01"/>
    <n v="1.6"/>
    <x v="8"/>
  </r>
  <r>
    <s v="Ord-1109"/>
    <x v="15"/>
    <x v="1"/>
    <x v="1"/>
    <n v="7"/>
    <n v="40"/>
    <n v="280"/>
    <n v="0.01"/>
    <n v="2.8000000000000003"/>
    <x v="9"/>
  </r>
  <r>
    <s v="Ord-1110"/>
    <x v="15"/>
    <x v="3"/>
    <x v="3"/>
    <n v="7"/>
    <n v="16"/>
    <n v="112"/>
    <n v="0.08"/>
    <n v="8.9600000000000009"/>
    <x v="10"/>
  </r>
  <r>
    <s v="Ord-1111"/>
    <x v="15"/>
    <x v="4"/>
    <x v="2"/>
    <n v="15"/>
    <n v="150"/>
    <n v="2250"/>
    <n v="0.05"/>
    <n v="112.5"/>
    <x v="11"/>
  </r>
  <r>
    <s v="Ord-1112"/>
    <x v="15"/>
    <x v="0"/>
    <x v="0"/>
    <n v="7"/>
    <n v="80"/>
    <n v="560"/>
    <n v="0.02"/>
    <n v="11.200000000000001"/>
    <x v="0"/>
  </r>
  <r>
    <s v="Ord-1113"/>
    <x v="15"/>
    <x v="1"/>
    <x v="2"/>
    <n v="6"/>
    <n v="40"/>
    <n v="240"/>
    <n v="0.06"/>
    <n v="14.399999999999999"/>
    <x v="1"/>
  </r>
  <r>
    <s v="Ord-1114"/>
    <x v="15"/>
    <x v="2"/>
    <x v="0"/>
    <n v="3"/>
    <n v="230"/>
    <n v="690"/>
    <n v="0.06"/>
    <n v="41.4"/>
    <x v="2"/>
  </r>
  <r>
    <s v="Ord-1115"/>
    <x v="15"/>
    <x v="4"/>
    <x v="2"/>
    <n v="20"/>
    <n v="150"/>
    <n v="3000"/>
    <n v="0.04"/>
    <n v="120"/>
    <x v="3"/>
  </r>
  <r>
    <s v="Ord-1116"/>
    <x v="15"/>
    <x v="2"/>
    <x v="2"/>
    <n v="20"/>
    <n v="230"/>
    <n v="4600"/>
    <n v="0.06"/>
    <n v="276"/>
    <x v="4"/>
  </r>
  <r>
    <s v="Ord-1117"/>
    <x v="15"/>
    <x v="3"/>
    <x v="2"/>
    <n v="14"/>
    <n v="16"/>
    <n v="224"/>
    <n v="0.01"/>
    <n v="2.2400000000000002"/>
    <x v="5"/>
  </r>
  <r>
    <s v="Ord-1118"/>
    <x v="15"/>
    <x v="4"/>
    <x v="2"/>
    <n v="20"/>
    <n v="150"/>
    <n v="3000"/>
    <n v="0.04"/>
    <n v="120"/>
    <x v="1"/>
  </r>
  <r>
    <s v="Ord-1119"/>
    <x v="15"/>
    <x v="0"/>
    <x v="0"/>
    <n v="17"/>
    <n v="80"/>
    <n v="1360"/>
    <n v="0.09"/>
    <n v="122.39999999999999"/>
    <x v="2"/>
  </r>
  <r>
    <s v="Ord-1120"/>
    <x v="16"/>
    <x v="4"/>
    <x v="2"/>
    <n v="20"/>
    <n v="150"/>
    <n v="3000"/>
    <n v="0.12"/>
    <n v="360"/>
    <x v="3"/>
  </r>
  <r>
    <s v="Ord-1121"/>
    <x v="16"/>
    <x v="3"/>
    <x v="2"/>
    <n v="11"/>
    <n v="16"/>
    <n v="176"/>
    <n v="0.04"/>
    <n v="7.04"/>
    <x v="4"/>
  </r>
  <r>
    <s v="Ord-1122"/>
    <x v="16"/>
    <x v="2"/>
    <x v="4"/>
    <n v="7"/>
    <n v="230"/>
    <n v="1610"/>
    <n v="0.05"/>
    <n v="80.5"/>
    <x v="5"/>
  </r>
  <r>
    <s v="Ord-1123"/>
    <x v="16"/>
    <x v="1"/>
    <x v="1"/>
    <n v="14"/>
    <n v="40"/>
    <n v="560"/>
    <n v="0.06"/>
    <n v="33.6"/>
    <x v="6"/>
  </r>
  <r>
    <s v="Ord-1124"/>
    <x v="16"/>
    <x v="0"/>
    <x v="1"/>
    <n v="13"/>
    <n v="80"/>
    <n v="1040"/>
    <n v="0.06"/>
    <n v="62.4"/>
    <x v="7"/>
  </r>
  <r>
    <s v="Ord-1125"/>
    <x v="16"/>
    <x v="3"/>
    <x v="2"/>
    <n v="17"/>
    <n v="16"/>
    <n v="272"/>
    <n v="0.05"/>
    <n v="13.600000000000001"/>
    <x v="8"/>
  </r>
  <r>
    <s v="Ord-1126"/>
    <x v="16"/>
    <x v="2"/>
    <x v="2"/>
    <n v="12"/>
    <n v="230"/>
    <n v="2760"/>
    <n v="0.03"/>
    <n v="82.8"/>
    <x v="9"/>
  </r>
  <r>
    <s v="Ord-1127"/>
    <x v="16"/>
    <x v="1"/>
    <x v="1"/>
    <n v="4"/>
    <n v="40"/>
    <n v="160"/>
    <n v="0.12"/>
    <n v="19.2"/>
    <x v="10"/>
  </r>
  <r>
    <s v="Ord-1128"/>
    <x v="16"/>
    <x v="3"/>
    <x v="0"/>
    <n v="20"/>
    <n v="16"/>
    <n v="320"/>
    <n v="0.01"/>
    <n v="3.2"/>
    <x v="11"/>
  </r>
  <r>
    <s v="Ord-1129"/>
    <x v="16"/>
    <x v="0"/>
    <x v="3"/>
    <n v="8"/>
    <n v="80"/>
    <n v="640"/>
    <n v="0.06"/>
    <n v="38.4"/>
    <x v="0"/>
  </r>
  <r>
    <s v="Ord-1130"/>
    <x v="16"/>
    <x v="0"/>
    <x v="0"/>
    <n v="18"/>
    <n v="80"/>
    <n v="1440"/>
    <n v="0.02"/>
    <n v="28.8"/>
    <x v="1"/>
  </r>
  <r>
    <s v="Ord-1131"/>
    <x v="16"/>
    <x v="3"/>
    <x v="2"/>
    <n v="6"/>
    <n v="16"/>
    <n v="96"/>
    <n v="0.06"/>
    <n v="5.76"/>
    <x v="2"/>
  </r>
  <r>
    <s v="Ord-1132"/>
    <x v="16"/>
    <x v="0"/>
    <x v="0"/>
    <n v="9"/>
    <n v="80"/>
    <n v="720"/>
    <n v="0.04"/>
    <n v="28.8"/>
    <x v="3"/>
  </r>
  <r>
    <s v="Ord-1133"/>
    <x v="17"/>
    <x v="0"/>
    <x v="2"/>
    <n v="8"/>
    <n v="80"/>
    <n v="640"/>
    <n v="0.02"/>
    <n v="12.8"/>
    <x v="4"/>
  </r>
  <r>
    <s v="Ord-1134"/>
    <x v="17"/>
    <x v="4"/>
    <x v="3"/>
    <n v="6"/>
    <n v="150"/>
    <n v="900"/>
    <n v="0.03"/>
    <n v="27"/>
    <x v="5"/>
  </r>
  <r>
    <s v="Ord-1135"/>
    <x v="17"/>
    <x v="3"/>
    <x v="3"/>
    <n v="14"/>
    <n v="16"/>
    <n v="224"/>
    <n v="0.12"/>
    <n v="26.88"/>
    <x v="1"/>
  </r>
  <r>
    <s v="Ord-1136"/>
    <x v="17"/>
    <x v="0"/>
    <x v="2"/>
    <n v="6"/>
    <n v="80"/>
    <n v="480"/>
    <n v="0.09"/>
    <n v="43.199999999999996"/>
    <x v="2"/>
  </r>
  <r>
    <s v="Ord-1137"/>
    <x v="17"/>
    <x v="1"/>
    <x v="4"/>
    <n v="23"/>
    <n v="40"/>
    <n v="920"/>
    <n v="0.04"/>
    <n v="36.800000000000004"/>
    <x v="3"/>
  </r>
  <r>
    <s v="Ord-1138"/>
    <x v="17"/>
    <x v="1"/>
    <x v="2"/>
    <n v="12"/>
    <n v="40"/>
    <n v="480"/>
    <n v="0.02"/>
    <n v="9.6"/>
    <x v="4"/>
  </r>
  <r>
    <s v="Ord-1139"/>
    <x v="17"/>
    <x v="1"/>
    <x v="3"/>
    <n v="22"/>
    <n v="40"/>
    <n v="880"/>
    <n v="0.01"/>
    <n v="8.8000000000000007"/>
    <x v="5"/>
  </r>
  <r>
    <s v="Ord-1140"/>
    <x v="17"/>
    <x v="4"/>
    <x v="3"/>
    <n v="6"/>
    <n v="150"/>
    <n v="900"/>
    <n v="0.03"/>
    <n v="27"/>
    <x v="6"/>
  </r>
  <r>
    <s v="Ord-1141"/>
    <x v="17"/>
    <x v="3"/>
    <x v="4"/>
    <n v="19"/>
    <n v="16"/>
    <n v="304"/>
    <n v="0.02"/>
    <n v="6.08"/>
    <x v="7"/>
  </r>
  <r>
    <s v="Ord-1142"/>
    <x v="17"/>
    <x v="1"/>
    <x v="2"/>
    <n v="2"/>
    <n v="40"/>
    <n v="80"/>
    <n v="0.02"/>
    <n v="1.6"/>
    <x v="8"/>
  </r>
  <r>
    <s v="Ord-1143"/>
    <x v="18"/>
    <x v="1"/>
    <x v="3"/>
    <n v="22"/>
    <n v="40"/>
    <n v="880"/>
    <n v="0.01"/>
    <n v="8.8000000000000007"/>
    <x v="9"/>
  </r>
  <r>
    <s v="Ord-1144"/>
    <x v="18"/>
    <x v="2"/>
    <x v="3"/>
    <n v="3"/>
    <n v="230"/>
    <n v="690"/>
    <n v="0.01"/>
    <n v="6.9"/>
    <x v="10"/>
  </r>
  <r>
    <s v="Ord-1145"/>
    <x v="18"/>
    <x v="1"/>
    <x v="3"/>
    <n v="23"/>
    <n v="40"/>
    <n v="920"/>
    <n v="0.06"/>
    <n v="55.199999999999996"/>
    <x v="11"/>
  </r>
  <r>
    <s v="Ord-1146"/>
    <x v="18"/>
    <x v="1"/>
    <x v="4"/>
    <n v="5"/>
    <n v="40"/>
    <n v="200"/>
    <n v="0.03"/>
    <n v="6"/>
    <x v="0"/>
  </r>
  <r>
    <s v="Ord-1147"/>
    <x v="18"/>
    <x v="0"/>
    <x v="0"/>
    <n v="8"/>
    <n v="80"/>
    <n v="640"/>
    <n v="0.08"/>
    <n v="51.2"/>
    <x v="1"/>
  </r>
  <r>
    <s v="Ord-1148"/>
    <x v="18"/>
    <x v="1"/>
    <x v="2"/>
    <n v="18"/>
    <n v="40"/>
    <n v="720"/>
    <n v="0.03"/>
    <n v="21.599999999999998"/>
    <x v="2"/>
  </r>
  <r>
    <s v="Ord-1149"/>
    <x v="18"/>
    <x v="1"/>
    <x v="4"/>
    <n v="20"/>
    <n v="40"/>
    <n v="800"/>
    <n v="0.1"/>
    <n v="80"/>
    <x v="3"/>
  </r>
  <r>
    <s v="Ord-1150"/>
    <x v="18"/>
    <x v="1"/>
    <x v="2"/>
    <n v="2"/>
    <n v="40"/>
    <n v="80"/>
    <n v="0.03"/>
    <n v="2.4"/>
    <x v="4"/>
  </r>
  <r>
    <s v="Ord-1151"/>
    <x v="18"/>
    <x v="2"/>
    <x v="0"/>
    <n v="15"/>
    <n v="230"/>
    <n v="3450"/>
    <n v="0.05"/>
    <n v="172.5"/>
    <x v="5"/>
  </r>
  <r>
    <s v="Ord-1152"/>
    <x v="18"/>
    <x v="4"/>
    <x v="3"/>
    <n v="15"/>
    <n v="150"/>
    <n v="2250"/>
    <n v="0.08"/>
    <n v="180"/>
    <x v="1"/>
  </r>
  <r>
    <s v="Ord-1153"/>
    <x v="18"/>
    <x v="4"/>
    <x v="3"/>
    <n v="22"/>
    <n v="150"/>
    <n v="3300"/>
    <n v="0.05"/>
    <n v="165"/>
    <x v="2"/>
  </r>
  <r>
    <s v="Ord-1154"/>
    <x v="18"/>
    <x v="2"/>
    <x v="1"/>
    <n v="19"/>
    <n v="230"/>
    <n v="4370"/>
    <n v="0.11"/>
    <n v="480.7"/>
    <x v="3"/>
  </r>
  <r>
    <s v="Ord-1155"/>
    <x v="18"/>
    <x v="0"/>
    <x v="1"/>
    <n v="10"/>
    <n v="80"/>
    <n v="800"/>
    <n v="0.11"/>
    <n v="88"/>
    <x v="4"/>
  </r>
  <r>
    <s v="Ord-1156"/>
    <x v="18"/>
    <x v="1"/>
    <x v="3"/>
    <n v="18"/>
    <n v="40"/>
    <n v="720"/>
    <n v="0.06"/>
    <n v="43.199999999999996"/>
    <x v="5"/>
  </r>
  <r>
    <s v="Ord-1157"/>
    <x v="18"/>
    <x v="0"/>
    <x v="3"/>
    <n v="16"/>
    <n v="80"/>
    <n v="1280"/>
    <n v="0.05"/>
    <n v="64"/>
    <x v="6"/>
  </r>
  <r>
    <s v="Ord-1158"/>
    <x v="18"/>
    <x v="4"/>
    <x v="4"/>
    <n v="17"/>
    <n v="150"/>
    <n v="2550"/>
    <n v="0.02"/>
    <n v="51"/>
    <x v="7"/>
  </r>
  <r>
    <s v="Ord-1159"/>
    <x v="19"/>
    <x v="2"/>
    <x v="0"/>
    <n v="8"/>
    <n v="230"/>
    <n v="1840"/>
    <n v="0.03"/>
    <n v="55.199999999999996"/>
    <x v="8"/>
  </r>
  <r>
    <s v="Ord-1160"/>
    <x v="19"/>
    <x v="0"/>
    <x v="3"/>
    <n v="11"/>
    <n v="80"/>
    <n v="880"/>
    <n v="0.01"/>
    <n v="8.8000000000000007"/>
    <x v="9"/>
  </r>
  <r>
    <s v="Ord-1161"/>
    <x v="19"/>
    <x v="1"/>
    <x v="0"/>
    <n v="5"/>
    <n v="40"/>
    <n v="200"/>
    <n v="0.06"/>
    <n v="12"/>
    <x v="10"/>
  </r>
  <r>
    <s v="Ord-1162"/>
    <x v="19"/>
    <x v="1"/>
    <x v="4"/>
    <n v="11"/>
    <n v="40"/>
    <n v="440"/>
    <n v="0.05"/>
    <n v="22"/>
    <x v="11"/>
  </r>
  <r>
    <s v="Ord-1163"/>
    <x v="19"/>
    <x v="4"/>
    <x v="3"/>
    <n v="20"/>
    <n v="150"/>
    <n v="3000"/>
    <n v="0.1"/>
    <n v="300"/>
    <x v="0"/>
  </r>
  <r>
    <s v="Ord-1164"/>
    <x v="19"/>
    <x v="4"/>
    <x v="2"/>
    <n v="11"/>
    <n v="150"/>
    <n v="1650"/>
    <n v="0.11"/>
    <n v="181.5"/>
    <x v="1"/>
  </r>
  <r>
    <s v="Ord-1165"/>
    <x v="19"/>
    <x v="0"/>
    <x v="3"/>
    <n v="2"/>
    <n v="80"/>
    <n v="160"/>
    <n v="0.08"/>
    <n v="12.8"/>
    <x v="2"/>
  </r>
  <r>
    <s v="Ord-1166"/>
    <x v="19"/>
    <x v="4"/>
    <x v="1"/>
    <n v="16"/>
    <n v="150"/>
    <n v="2400"/>
    <n v="0.08"/>
    <n v="192"/>
    <x v="3"/>
  </r>
  <r>
    <s v="Ord-1167"/>
    <x v="19"/>
    <x v="3"/>
    <x v="0"/>
    <n v="20"/>
    <n v="16"/>
    <n v="320"/>
    <n v="0.11"/>
    <n v="35.200000000000003"/>
    <x v="4"/>
  </r>
  <r>
    <s v="Ord-1168"/>
    <x v="19"/>
    <x v="2"/>
    <x v="2"/>
    <n v="2"/>
    <n v="230"/>
    <n v="460"/>
    <n v="0.09"/>
    <n v="41.4"/>
    <x v="5"/>
  </r>
  <r>
    <s v="Ord-1169"/>
    <x v="19"/>
    <x v="4"/>
    <x v="0"/>
    <n v="20"/>
    <n v="150"/>
    <n v="3000"/>
    <n v="0.04"/>
    <n v="120"/>
    <x v="1"/>
  </r>
  <r>
    <s v="Ord-1170"/>
    <x v="19"/>
    <x v="4"/>
    <x v="0"/>
    <n v="22"/>
    <n v="150"/>
    <n v="3300"/>
    <n v="7.0000000000000007E-2"/>
    <n v="231.00000000000003"/>
    <x v="2"/>
  </r>
  <r>
    <s v="Ord-1171"/>
    <x v="19"/>
    <x v="4"/>
    <x v="2"/>
    <n v="22"/>
    <n v="150"/>
    <n v="3300"/>
    <n v="0.04"/>
    <n v="132"/>
    <x v="3"/>
  </r>
  <r>
    <s v="Ord-1172"/>
    <x v="19"/>
    <x v="1"/>
    <x v="0"/>
    <n v="23"/>
    <n v="40"/>
    <n v="920"/>
    <n v="7.0000000000000007E-2"/>
    <n v="64.400000000000006"/>
    <x v="4"/>
  </r>
  <r>
    <s v="Ord-1173"/>
    <x v="20"/>
    <x v="3"/>
    <x v="2"/>
    <n v="11"/>
    <n v="16"/>
    <n v="176"/>
    <n v="0.04"/>
    <n v="7.04"/>
    <x v="5"/>
  </r>
  <r>
    <s v="Ord-1174"/>
    <x v="20"/>
    <x v="2"/>
    <x v="1"/>
    <n v="11"/>
    <n v="230"/>
    <n v="2530"/>
    <n v="0.1"/>
    <n v="253"/>
    <x v="6"/>
  </r>
  <r>
    <s v="Ord-1175"/>
    <x v="20"/>
    <x v="2"/>
    <x v="0"/>
    <n v="7"/>
    <n v="230"/>
    <n v="1610"/>
    <n v="0.08"/>
    <n v="128.80000000000001"/>
    <x v="7"/>
  </r>
  <r>
    <s v="Ord-1176"/>
    <x v="20"/>
    <x v="2"/>
    <x v="3"/>
    <n v="16"/>
    <n v="230"/>
    <n v="3680"/>
    <n v="0.11"/>
    <n v="404.8"/>
    <x v="9"/>
  </r>
  <r>
    <s v="Ord-1177"/>
    <x v="20"/>
    <x v="2"/>
    <x v="4"/>
    <n v="20"/>
    <n v="230"/>
    <n v="4600"/>
    <n v="0.09"/>
    <n v="414"/>
    <x v="10"/>
  </r>
  <r>
    <s v="Ord-1178"/>
    <x v="20"/>
    <x v="1"/>
    <x v="2"/>
    <n v="20"/>
    <n v="40"/>
    <n v="800"/>
    <n v="0.01"/>
    <n v="8"/>
    <x v="11"/>
  </r>
  <r>
    <s v="Ord-1179"/>
    <x v="20"/>
    <x v="0"/>
    <x v="0"/>
    <n v="20"/>
    <n v="80"/>
    <n v="1600"/>
    <n v="0.01"/>
    <n v="16"/>
    <x v="0"/>
  </r>
  <r>
    <s v="Ord-1180"/>
    <x v="20"/>
    <x v="4"/>
    <x v="0"/>
    <n v="5"/>
    <n v="150"/>
    <n v="750"/>
    <n v="0.11"/>
    <n v="82.5"/>
    <x v="1"/>
  </r>
  <r>
    <s v="Ord-1181"/>
    <x v="21"/>
    <x v="1"/>
    <x v="2"/>
    <n v="4"/>
    <n v="40"/>
    <n v="160"/>
    <n v="0.11"/>
    <n v="17.600000000000001"/>
    <x v="2"/>
  </r>
  <r>
    <s v="Ord-1182"/>
    <x v="21"/>
    <x v="3"/>
    <x v="0"/>
    <n v="7"/>
    <n v="16"/>
    <n v="112"/>
    <n v="0.12"/>
    <n v="13.44"/>
    <x v="3"/>
  </r>
  <r>
    <s v="Ord-1183"/>
    <x v="21"/>
    <x v="3"/>
    <x v="1"/>
    <n v="22"/>
    <n v="16"/>
    <n v="352"/>
    <n v="0.01"/>
    <n v="3.52"/>
    <x v="4"/>
  </r>
  <r>
    <s v="Ord-1184"/>
    <x v="21"/>
    <x v="1"/>
    <x v="3"/>
    <n v="15"/>
    <n v="40"/>
    <n v="600"/>
    <n v="0.03"/>
    <n v="18"/>
    <x v="5"/>
  </r>
  <r>
    <s v="Ord-1185"/>
    <x v="21"/>
    <x v="0"/>
    <x v="1"/>
    <n v="14"/>
    <n v="80"/>
    <n v="1120"/>
    <n v="0.11"/>
    <n v="123.2"/>
    <x v="1"/>
  </r>
  <r>
    <s v="Ord-1186"/>
    <x v="21"/>
    <x v="3"/>
    <x v="1"/>
    <n v="15"/>
    <n v="16"/>
    <n v="240"/>
    <n v="0.02"/>
    <n v="4.8"/>
    <x v="2"/>
  </r>
  <r>
    <s v="Ord-1187"/>
    <x v="22"/>
    <x v="0"/>
    <x v="3"/>
    <n v="19"/>
    <n v="80"/>
    <n v="1520"/>
    <n v="0.02"/>
    <n v="30.400000000000002"/>
    <x v="3"/>
  </r>
  <r>
    <s v="Ord-1188"/>
    <x v="22"/>
    <x v="1"/>
    <x v="4"/>
    <n v="20"/>
    <n v="40"/>
    <n v="800"/>
    <n v="0.05"/>
    <n v="40"/>
    <x v="4"/>
  </r>
  <r>
    <s v="Ord-1189"/>
    <x v="22"/>
    <x v="1"/>
    <x v="3"/>
    <n v="11"/>
    <n v="40"/>
    <n v="440"/>
    <n v="0.06"/>
    <n v="26.4"/>
    <x v="5"/>
  </r>
  <r>
    <s v="Ord-1190"/>
    <x v="22"/>
    <x v="4"/>
    <x v="2"/>
    <n v="11"/>
    <n v="150"/>
    <n v="1650"/>
    <n v="0.05"/>
    <n v="82.5"/>
    <x v="6"/>
  </r>
  <r>
    <s v="Ord-1191"/>
    <x v="22"/>
    <x v="0"/>
    <x v="3"/>
    <n v="23"/>
    <n v="80"/>
    <n v="1840"/>
    <n v="0.11"/>
    <n v="202.4"/>
    <x v="7"/>
  </r>
  <r>
    <s v="Ord-1192"/>
    <x v="22"/>
    <x v="0"/>
    <x v="0"/>
    <n v="8"/>
    <n v="80"/>
    <n v="640"/>
    <n v="0.09"/>
    <n v="57.599999999999994"/>
    <x v="8"/>
  </r>
  <r>
    <s v="Ord-1193"/>
    <x v="22"/>
    <x v="1"/>
    <x v="3"/>
    <n v="9"/>
    <n v="40"/>
    <n v="360"/>
    <n v="0.06"/>
    <n v="21.599999999999998"/>
    <x v="9"/>
  </r>
  <r>
    <s v="Ord-1194"/>
    <x v="22"/>
    <x v="2"/>
    <x v="4"/>
    <n v="13"/>
    <n v="230"/>
    <n v="2990"/>
    <n v="0.06"/>
    <n v="179.4"/>
    <x v="10"/>
  </r>
  <r>
    <s v="Ord-1195"/>
    <x v="22"/>
    <x v="1"/>
    <x v="3"/>
    <n v="22"/>
    <n v="40"/>
    <n v="880"/>
    <n v="0.01"/>
    <n v="8.8000000000000007"/>
    <x v="11"/>
  </r>
  <r>
    <s v="Ord-1196"/>
    <x v="22"/>
    <x v="3"/>
    <x v="4"/>
    <n v="14"/>
    <n v="16"/>
    <n v="224"/>
    <n v="0.06"/>
    <n v="13.44"/>
    <x v="0"/>
  </r>
  <r>
    <s v="Ord-1197"/>
    <x v="23"/>
    <x v="0"/>
    <x v="1"/>
    <n v="5"/>
    <n v="80"/>
    <n v="400"/>
    <n v="0.04"/>
    <n v="16"/>
    <x v="1"/>
  </r>
  <r>
    <s v="Ord-1198"/>
    <x v="23"/>
    <x v="4"/>
    <x v="4"/>
    <n v="18"/>
    <n v="150"/>
    <n v="2700"/>
    <n v="0.12"/>
    <n v="324"/>
    <x v="2"/>
  </r>
  <r>
    <s v="Ord-1199"/>
    <x v="23"/>
    <x v="2"/>
    <x v="2"/>
    <n v="14"/>
    <n v="230"/>
    <n v="3220"/>
    <n v="0.12"/>
    <n v="386.4"/>
    <x v="3"/>
  </r>
  <r>
    <s v="Ord-1200"/>
    <x v="23"/>
    <x v="2"/>
    <x v="4"/>
    <n v="20"/>
    <n v="230"/>
    <n v="4600"/>
    <n v="0.11"/>
    <n v="506"/>
    <x v="4"/>
  </r>
  <r>
    <s v="Ord-1201"/>
    <x v="23"/>
    <x v="3"/>
    <x v="4"/>
    <n v="3"/>
    <n v="16"/>
    <n v="48"/>
    <n v="0.03"/>
    <n v="1.44"/>
    <x v="5"/>
  </r>
  <r>
    <s v="Ord-1202"/>
    <x v="23"/>
    <x v="2"/>
    <x v="2"/>
    <n v="20"/>
    <n v="230"/>
    <n v="4600"/>
    <n v="0.06"/>
    <n v="276"/>
    <x v="1"/>
  </r>
  <r>
    <s v="Ord-1203"/>
    <x v="23"/>
    <x v="0"/>
    <x v="4"/>
    <n v="9"/>
    <n v="80"/>
    <n v="720"/>
    <n v="0.02"/>
    <n v="14.4"/>
    <x v="2"/>
  </r>
  <r>
    <s v="Ord-1204"/>
    <x v="23"/>
    <x v="3"/>
    <x v="3"/>
    <n v="22"/>
    <n v="16"/>
    <n v="352"/>
    <n v="0.03"/>
    <n v="10.559999999999999"/>
    <x v="3"/>
  </r>
  <r>
    <s v="Ord-1205"/>
    <x v="23"/>
    <x v="0"/>
    <x v="1"/>
    <n v="15"/>
    <n v="80"/>
    <n v="1200"/>
    <n v="0.12"/>
    <n v="144"/>
    <x v="4"/>
  </r>
  <r>
    <s v="Ord-1206"/>
    <x v="23"/>
    <x v="4"/>
    <x v="0"/>
    <n v="11"/>
    <n v="150"/>
    <n v="1650"/>
    <n v="0.05"/>
    <n v="82.5"/>
    <x v="5"/>
  </r>
  <r>
    <s v="Ord-1207"/>
    <x v="23"/>
    <x v="2"/>
    <x v="3"/>
    <n v="11"/>
    <n v="230"/>
    <n v="2530"/>
    <n v="0.12"/>
    <n v="303.59999999999997"/>
    <x v="6"/>
  </r>
  <r>
    <s v="Ord-1208"/>
    <x v="23"/>
    <x v="4"/>
    <x v="0"/>
    <n v="20"/>
    <n v="150"/>
    <n v="3000"/>
    <n v="0.01"/>
    <n v="30"/>
    <x v="7"/>
  </r>
  <r>
    <s v="Ord-1209"/>
    <x v="23"/>
    <x v="1"/>
    <x v="2"/>
    <n v="11"/>
    <n v="40"/>
    <n v="440"/>
    <n v="0.12"/>
    <n v="52.8"/>
    <x v="8"/>
  </r>
  <r>
    <s v="Ord-1210"/>
    <x v="24"/>
    <x v="2"/>
    <x v="2"/>
    <n v="12"/>
    <n v="230"/>
    <n v="2760"/>
    <n v="0.06"/>
    <n v="165.6"/>
    <x v="9"/>
  </r>
  <r>
    <s v="Ord-1211"/>
    <x v="24"/>
    <x v="1"/>
    <x v="0"/>
    <n v="15"/>
    <n v="40"/>
    <n v="600"/>
    <n v="0.06"/>
    <n v="36"/>
    <x v="10"/>
  </r>
  <r>
    <s v="Ord-1212"/>
    <x v="24"/>
    <x v="1"/>
    <x v="3"/>
    <n v="13"/>
    <n v="40"/>
    <n v="520"/>
    <n v="0.09"/>
    <n v="46.8"/>
    <x v="11"/>
  </r>
  <r>
    <s v="Ord-1213"/>
    <x v="24"/>
    <x v="1"/>
    <x v="4"/>
    <n v="4"/>
    <n v="40"/>
    <n v="160"/>
    <n v="0.09"/>
    <n v="14.399999999999999"/>
    <x v="0"/>
  </r>
  <r>
    <s v="Ord-1214"/>
    <x v="24"/>
    <x v="2"/>
    <x v="3"/>
    <n v="18"/>
    <n v="230"/>
    <n v="4140"/>
    <n v="0.01"/>
    <n v="41.4"/>
    <x v="1"/>
  </r>
  <r>
    <s v="Ord-1215"/>
    <x v="24"/>
    <x v="3"/>
    <x v="0"/>
    <n v="7"/>
    <n v="16"/>
    <n v="112"/>
    <n v="0.02"/>
    <n v="2.2400000000000002"/>
    <x v="2"/>
  </r>
  <r>
    <s v="Ord-1216"/>
    <x v="24"/>
    <x v="3"/>
    <x v="2"/>
    <n v="6"/>
    <n v="16"/>
    <n v="96"/>
    <n v="7.0000000000000007E-2"/>
    <n v="6.7200000000000006"/>
    <x v="3"/>
  </r>
  <r>
    <s v="Ord-1217"/>
    <x v="24"/>
    <x v="2"/>
    <x v="3"/>
    <n v="8"/>
    <n v="230"/>
    <n v="1840"/>
    <n v="0.05"/>
    <n v="92"/>
    <x v="4"/>
  </r>
  <r>
    <s v="Ord-1218"/>
    <x v="24"/>
    <x v="3"/>
    <x v="2"/>
    <n v="12"/>
    <n v="16"/>
    <n v="192"/>
    <n v="0.11"/>
    <n v="21.12"/>
    <x v="5"/>
  </r>
  <r>
    <s v="Ord-1219"/>
    <x v="24"/>
    <x v="2"/>
    <x v="0"/>
    <n v="11"/>
    <n v="230"/>
    <n v="2530"/>
    <n v="0.02"/>
    <n v="50.6"/>
    <x v="1"/>
  </r>
  <r>
    <s v="Ord-1220"/>
    <x v="24"/>
    <x v="3"/>
    <x v="2"/>
    <n v="3"/>
    <n v="16"/>
    <n v="48"/>
    <n v="0.05"/>
    <n v="2.4000000000000004"/>
    <x v="2"/>
  </r>
  <r>
    <s v="Ord-1221"/>
    <x v="25"/>
    <x v="4"/>
    <x v="1"/>
    <n v="16"/>
    <n v="150"/>
    <n v="2400"/>
    <n v="0.05"/>
    <n v="120"/>
    <x v="3"/>
  </r>
  <r>
    <s v="Ord-1222"/>
    <x v="25"/>
    <x v="2"/>
    <x v="3"/>
    <n v="8"/>
    <n v="230"/>
    <n v="1840"/>
    <n v="0.01"/>
    <n v="18.400000000000002"/>
    <x v="4"/>
  </r>
  <r>
    <s v="Ord-1223"/>
    <x v="25"/>
    <x v="0"/>
    <x v="2"/>
    <n v="16"/>
    <n v="80"/>
    <n v="1280"/>
    <n v="0.04"/>
    <n v="51.2"/>
    <x v="5"/>
  </r>
  <r>
    <s v="Ord-1224"/>
    <x v="25"/>
    <x v="3"/>
    <x v="3"/>
    <n v="18"/>
    <n v="16"/>
    <n v="288"/>
    <n v="0.04"/>
    <n v="11.52"/>
    <x v="6"/>
  </r>
  <r>
    <s v="Ord-1225"/>
    <x v="25"/>
    <x v="1"/>
    <x v="4"/>
    <n v="14"/>
    <n v="40"/>
    <n v="560"/>
    <n v="0.11"/>
    <n v="61.6"/>
    <x v="7"/>
  </r>
  <r>
    <s v="Ord-1226"/>
    <x v="25"/>
    <x v="3"/>
    <x v="1"/>
    <n v="21"/>
    <n v="16"/>
    <n v="336"/>
    <n v="0.02"/>
    <n v="6.72"/>
    <x v="8"/>
  </r>
  <r>
    <s v="Ord-1227"/>
    <x v="25"/>
    <x v="3"/>
    <x v="1"/>
    <n v="7"/>
    <n v="16"/>
    <n v="112"/>
    <n v="0.08"/>
    <n v="8.9600000000000009"/>
    <x v="9"/>
  </r>
  <r>
    <s v="Ord-1228"/>
    <x v="25"/>
    <x v="0"/>
    <x v="2"/>
    <n v="7"/>
    <n v="80"/>
    <n v="560"/>
    <n v="0.05"/>
    <n v="28"/>
    <x v="10"/>
  </r>
  <r>
    <s v="Ord-1229"/>
    <x v="25"/>
    <x v="1"/>
    <x v="4"/>
    <n v="16"/>
    <n v="40"/>
    <n v="640"/>
    <n v="0.09"/>
    <n v="57.599999999999994"/>
    <x v="11"/>
  </r>
  <r>
    <s v="Ord-1230"/>
    <x v="25"/>
    <x v="2"/>
    <x v="4"/>
    <n v="22"/>
    <n v="230"/>
    <n v="5060"/>
    <n v="0.1"/>
    <n v="506"/>
    <x v="0"/>
  </r>
  <r>
    <s v="Ord-1231"/>
    <x v="25"/>
    <x v="1"/>
    <x v="1"/>
    <n v="4"/>
    <n v="40"/>
    <n v="160"/>
    <n v="0.03"/>
    <n v="4.8"/>
    <x v="1"/>
  </r>
  <r>
    <s v="Ord-1232"/>
    <x v="25"/>
    <x v="2"/>
    <x v="4"/>
    <n v="3"/>
    <n v="230"/>
    <n v="690"/>
    <n v="0.1"/>
    <n v="69"/>
    <x v="2"/>
  </r>
  <r>
    <s v="Ord-1233"/>
    <x v="25"/>
    <x v="0"/>
    <x v="1"/>
    <n v="14"/>
    <n v="80"/>
    <n v="1120"/>
    <n v="0.11"/>
    <n v="123.2"/>
    <x v="3"/>
  </r>
  <r>
    <s v="Ord-1234"/>
    <x v="26"/>
    <x v="1"/>
    <x v="4"/>
    <n v="21"/>
    <n v="40"/>
    <n v="840"/>
    <n v="0.01"/>
    <n v="8.4"/>
    <x v="4"/>
  </r>
  <r>
    <s v="Ord-1235"/>
    <x v="26"/>
    <x v="3"/>
    <x v="1"/>
    <n v="20"/>
    <n v="16"/>
    <n v="320"/>
    <n v="0.06"/>
    <n v="19.2"/>
    <x v="5"/>
  </r>
  <r>
    <s v="Ord-1236"/>
    <x v="26"/>
    <x v="0"/>
    <x v="4"/>
    <n v="22"/>
    <n v="80"/>
    <n v="1760"/>
    <n v="0.11"/>
    <n v="193.6"/>
    <x v="1"/>
  </r>
  <r>
    <s v="Ord-1237"/>
    <x v="26"/>
    <x v="1"/>
    <x v="0"/>
    <n v="7"/>
    <n v="40"/>
    <n v="280"/>
    <n v="0.1"/>
    <n v="28"/>
    <x v="2"/>
  </r>
  <r>
    <s v="Ord-1238"/>
    <x v="26"/>
    <x v="4"/>
    <x v="1"/>
    <n v="16"/>
    <n v="150"/>
    <n v="2400"/>
    <n v="0.05"/>
    <n v="120"/>
    <x v="3"/>
  </r>
  <r>
    <s v="Ord-1239"/>
    <x v="26"/>
    <x v="2"/>
    <x v="1"/>
    <n v="7"/>
    <n v="230"/>
    <n v="1610"/>
    <n v="0.05"/>
    <n v="80.5"/>
    <x v="4"/>
  </r>
  <r>
    <s v="Ord-1240"/>
    <x v="26"/>
    <x v="4"/>
    <x v="0"/>
    <n v="20"/>
    <n v="150"/>
    <n v="3000"/>
    <n v="0.03"/>
    <n v="90"/>
    <x v="5"/>
  </r>
  <r>
    <s v="Ord-1241"/>
    <x v="26"/>
    <x v="4"/>
    <x v="1"/>
    <n v="16"/>
    <n v="150"/>
    <n v="2400"/>
    <n v="0.03"/>
    <n v="72"/>
    <x v="6"/>
  </r>
  <r>
    <s v="Ord-1242"/>
    <x v="26"/>
    <x v="3"/>
    <x v="3"/>
    <n v="10"/>
    <n v="16"/>
    <n v="160"/>
    <n v="0.04"/>
    <n v="6.4"/>
    <x v="7"/>
  </r>
  <r>
    <s v="Ord-1243"/>
    <x v="26"/>
    <x v="0"/>
    <x v="4"/>
    <n v="6"/>
    <n v="80"/>
    <n v="480"/>
    <n v="0.09"/>
    <n v="43.199999999999996"/>
    <x v="8"/>
  </r>
  <r>
    <s v="Ord-1244"/>
    <x v="26"/>
    <x v="0"/>
    <x v="0"/>
    <n v="17"/>
    <n v="80"/>
    <n v="1360"/>
    <n v="0.09"/>
    <n v="122.39999999999999"/>
    <x v="9"/>
  </r>
  <r>
    <s v="Ord-1245"/>
    <x v="26"/>
    <x v="1"/>
    <x v="0"/>
    <n v="19"/>
    <n v="40"/>
    <n v="760"/>
    <n v="0.04"/>
    <n v="30.400000000000002"/>
    <x v="10"/>
  </r>
  <r>
    <s v="Ord-1246"/>
    <x v="26"/>
    <x v="1"/>
    <x v="4"/>
    <n v="16"/>
    <n v="40"/>
    <n v="640"/>
    <n v="0.09"/>
    <n v="57.599999999999994"/>
    <x v="11"/>
  </r>
  <r>
    <s v="Ord-1247"/>
    <x v="26"/>
    <x v="3"/>
    <x v="0"/>
    <n v="4"/>
    <n v="16"/>
    <n v="64"/>
    <n v="0.12"/>
    <n v="7.68"/>
    <x v="0"/>
  </r>
  <r>
    <s v="Ord-1248"/>
    <x v="26"/>
    <x v="4"/>
    <x v="3"/>
    <n v="9"/>
    <n v="150"/>
    <n v="1350"/>
    <n v="0.02"/>
    <n v="27"/>
    <x v="1"/>
  </r>
  <r>
    <s v="Ord-1249"/>
    <x v="26"/>
    <x v="3"/>
    <x v="0"/>
    <n v="11"/>
    <n v="16"/>
    <n v="176"/>
    <n v="0.09"/>
    <n v="15.84"/>
    <x v="2"/>
  </r>
  <r>
    <s v="Ord-1250"/>
    <x v="26"/>
    <x v="0"/>
    <x v="1"/>
    <n v="17"/>
    <n v="80"/>
    <n v="1360"/>
    <n v="0.03"/>
    <n v="40.799999999999997"/>
    <x v="3"/>
  </r>
  <r>
    <s v="Ord-1251"/>
    <x v="27"/>
    <x v="4"/>
    <x v="0"/>
    <n v="3"/>
    <n v="150"/>
    <n v="450"/>
    <n v="0.03"/>
    <n v="13.5"/>
    <x v="4"/>
  </r>
  <r>
    <s v="Ord-1252"/>
    <x v="27"/>
    <x v="2"/>
    <x v="3"/>
    <n v="2"/>
    <n v="230"/>
    <n v="460"/>
    <n v="0.08"/>
    <n v="36.800000000000004"/>
    <x v="5"/>
  </r>
  <r>
    <s v="Ord-1253"/>
    <x v="27"/>
    <x v="2"/>
    <x v="3"/>
    <n v="17"/>
    <n v="230"/>
    <n v="3910"/>
    <n v="0.12"/>
    <n v="469.2"/>
    <x v="1"/>
  </r>
  <r>
    <s v="Ord-1254"/>
    <x v="27"/>
    <x v="4"/>
    <x v="1"/>
    <n v="2"/>
    <n v="150"/>
    <n v="300"/>
    <n v="0.09"/>
    <n v="27"/>
    <x v="2"/>
  </r>
  <r>
    <s v="Ord-1255"/>
    <x v="27"/>
    <x v="1"/>
    <x v="3"/>
    <n v="18"/>
    <n v="40"/>
    <n v="720"/>
    <n v="0.06"/>
    <n v="43.199999999999996"/>
    <x v="3"/>
  </r>
  <r>
    <s v="Ord-1256"/>
    <x v="27"/>
    <x v="4"/>
    <x v="2"/>
    <n v="18"/>
    <n v="150"/>
    <n v="2700"/>
    <n v="0.06"/>
    <n v="162"/>
    <x v="4"/>
  </r>
  <r>
    <s v="Ord-1257"/>
    <x v="27"/>
    <x v="1"/>
    <x v="1"/>
    <n v="12"/>
    <n v="40"/>
    <n v="480"/>
    <n v="0.1"/>
    <n v="48"/>
    <x v="5"/>
  </r>
  <r>
    <s v="Ord-1258"/>
    <x v="27"/>
    <x v="0"/>
    <x v="0"/>
    <n v="21"/>
    <n v="80"/>
    <n v="1680"/>
    <n v="0.04"/>
    <n v="67.2"/>
    <x v="6"/>
  </r>
  <r>
    <s v="Ord-1259"/>
    <x v="27"/>
    <x v="1"/>
    <x v="4"/>
    <n v="3"/>
    <n v="40"/>
    <n v="120"/>
    <n v="0.03"/>
    <n v="3.5999999999999996"/>
    <x v="7"/>
  </r>
  <r>
    <s v="Ord-1260"/>
    <x v="27"/>
    <x v="0"/>
    <x v="4"/>
    <n v="22"/>
    <n v="80"/>
    <n v="1760"/>
    <n v="0.1"/>
    <n v="176"/>
    <x v="8"/>
  </r>
  <r>
    <s v="Ord-1261"/>
    <x v="27"/>
    <x v="1"/>
    <x v="4"/>
    <n v="16"/>
    <n v="40"/>
    <n v="640"/>
    <n v="0.11"/>
    <n v="70.400000000000006"/>
    <x v="9"/>
  </r>
  <r>
    <s v="Ord-1262"/>
    <x v="27"/>
    <x v="3"/>
    <x v="0"/>
    <n v="11"/>
    <n v="16"/>
    <n v="176"/>
    <n v="0.09"/>
    <n v="15.84"/>
    <x v="10"/>
  </r>
  <r>
    <s v="Ord-1263"/>
    <x v="28"/>
    <x v="0"/>
    <x v="2"/>
    <n v="10"/>
    <n v="80"/>
    <n v="800"/>
    <n v="0.08"/>
    <n v="64"/>
    <x v="11"/>
  </r>
  <r>
    <s v="Ord-1264"/>
    <x v="28"/>
    <x v="3"/>
    <x v="2"/>
    <n v="12"/>
    <n v="16"/>
    <n v="192"/>
    <n v="0.03"/>
    <n v="5.76"/>
    <x v="0"/>
  </r>
  <r>
    <s v="Ord-1265"/>
    <x v="28"/>
    <x v="4"/>
    <x v="0"/>
    <n v="8"/>
    <n v="150"/>
    <n v="1200"/>
    <n v="0.09"/>
    <n v="108"/>
    <x v="1"/>
  </r>
  <r>
    <s v="Ord-1266"/>
    <x v="28"/>
    <x v="1"/>
    <x v="4"/>
    <n v="10"/>
    <n v="40"/>
    <n v="400"/>
    <n v="0.03"/>
    <n v="12"/>
    <x v="2"/>
  </r>
  <r>
    <s v="Ord-1267"/>
    <x v="28"/>
    <x v="4"/>
    <x v="0"/>
    <n v="7"/>
    <n v="150"/>
    <n v="1050"/>
    <n v="0.02"/>
    <n v="21"/>
    <x v="3"/>
  </r>
  <r>
    <s v="Ord-1268"/>
    <x v="28"/>
    <x v="3"/>
    <x v="2"/>
    <n v="6"/>
    <n v="16"/>
    <n v="96"/>
    <n v="0.01"/>
    <n v="0.96"/>
    <x v="4"/>
  </r>
  <r>
    <s v="Ord-1269"/>
    <x v="28"/>
    <x v="0"/>
    <x v="3"/>
    <n v="15"/>
    <n v="80"/>
    <n v="1200"/>
    <n v="0.08"/>
    <n v="96"/>
    <x v="5"/>
  </r>
  <r>
    <s v="Ord-1270"/>
    <x v="28"/>
    <x v="3"/>
    <x v="4"/>
    <n v="13"/>
    <n v="16"/>
    <n v="208"/>
    <n v="7.0000000000000007E-2"/>
    <n v="14.560000000000002"/>
    <x v="1"/>
  </r>
  <r>
    <s v="Ord-1271"/>
    <x v="28"/>
    <x v="2"/>
    <x v="3"/>
    <n v="19"/>
    <n v="230"/>
    <n v="4370"/>
    <n v="0.06"/>
    <n v="262.2"/>
    <x v="2"/>
  </r>
  <r>
    <s v="Ord-1272"/>
    <x v="28"/>
    <x v="0"/>
    <x v="3"/>
    <n v="21"/>
    <n v="80"/>
    <n v="1680"/>
    <n v="0.05"/>
    <n v="84"/>
    <x v="3"/>
  </r>
  <r>
    <s v="Ord-1273"/>
    <x v="28"/>
    <x v="0"/>
    <x v="1"/>
    <n v="5"/>
    <n v="80"/>
    <n v="400"/>
    <n v="7.0000000000000007E-2"/>
    <n v="28.000000000000004"/>
    <x v="4"/>
  </r>
  <r>
    <s v="Ord-1274"/>
    <x v="28"/>
    <x v="3"/>
    <x v="2"/>
    <n v="8"/>
    <n v="16"/>
    <n v="128"/>
    <n v="0.03"/>
    <n v="3.84"/>
    <x v="5"/>
  </r>
  <r>
    <s v="Ord-1275"/>
    <x v="28"/>
    <x v="3"/>
    <x v="2"/>
    <n v="12"/>
    <n v="16"/>
    <n v="192"/>
    <n v="0.11"/>
    <n v="21.12"/>
    <x v="6"/>
  </r>
  <r>
    <s v="Ord-1276"/>
    <x v="28"/>
    <x v="0"/>
    <x v="3"/>
    <n v="22"/>
    <n v="80"/>
    <n v="1760"/>
    <n v="0.03"/>
    <n v="52.8"/>
    <x v="7"/>
  </r>
  <r>
    <s v="Ord-1277"/>
    <x v="28"/>
    <x v="1"/>
    <x v="0"/>
    <n v="5"/>
    <n v="40"/>
    <n v="200"/>
    <n v="0.09"/>
    <n v="18"/>
    <x v="8"/>
  </r>
  <r>
    <s v="Ord-1278"/>
    <x v="29"/>
    <x v="4"/>
    <x v="1"/>
    <n v="23"/>
    <n v="150"/>
    <n v="3450"/>
    <n v="0.11"/>
    <n v="379.5"/>
    <x v="9"/>
  </r>
  <r>
    <s v="Ord-1279"/>
    <x v="29"/>
    <x v="0"/>
    <x v="0"/>
    <n v="16"/>
    <n v="80"/>
    <n v="1280"/>
    <n v="0.03"/>
    <n v="38.4"/>
    <x v="10"/>
  </r>
  <r>
    <s v="Ord-1280"/>
    <x v="29"/>
    <x v="4"/>
    <x v="4"/>
    <n v="15"/>
    <n v="150"/>
    <n v="2250"/>
    <n v="7.0000000000000007E-2"/>
    <n v="157.50000000000003"/>
    <x v="11"/>
  </r>
  <r>
    <s v="Ord-1281"/>
    <x v="29"/>
    <x v="1"/>
    <x v="0"/>
    <n v="20"/>
    <n v="40"/>
    <n v="800"/>
    <n v="0.04"/>
    <n v="32"/>
    <x v="0"/>
  </r>
  <r>
    <s v="Ord-1282"/>
    <x v="29"/>
    <x v="2"/>
    <x v="2"/>
    <n v="10"/>
    <n v="230"/>
    <n v="2300"/>
    <n v="0.02"/>
    <n v="46"/>
    <x v="1"/>
  </r>
  <r>
    <s v="Ord-1283"/>
    <x v="29"/>
    <x v="0"/>
    <x v="1"/>
    <n v="9"/>
    <n v="80"/>
    <n v="720"/>
    <n v="0.03"/>
    <n v="21.599999999999998"/>
    <x v="2"/>
  </r>
  <r>
    <s v="Ord-1284"/>
    <x v="29"/>
    <x v="2"/>
    <x v="0"/>
    <n v="16"/>
    <n v="230"/>
    <n v="3680"/>
    <n v="7.0000000000000007E-2"/>
    <n v="257.60000000000002"/>
    <x v="3"/>
  </r>
  <r>
    <s v="Ord-1285"/>
    <x v="29"/>
    <x v="0"/>
    <x v="1"/>
    <n v="21"/>
    <n v="80"/>
    <n v="1680"/>
    <n v="0.04"/>
    <n v="67.2"/>
    <x v="4"/>
  </r>
  <r>
    <s v="Ord-1286"/>
    <x v="29"/>
    <x v="0"/>
    <x v="1"/>
    <n v="9"/>
    <n v="80"/>
    <n v="720"/>
    <n v="0.03"/>
    <n v="21.599999999999998"/>
    <x v="5"/>
  </r>
  <r>
    <s v="Ord-1287"/>
    <x v="29"/>
    <x v="1"/>
    <x v="1"/>
    <n v="4"/>
    <n v="40"/>
    <n v="160"/>
    <n v="0.12"/>
    <n v="19.2"/>
    <x v="1"/>
  </r>
  <r>
    <s v="Ord-1288"/>
    <x v="29"/>
    <x v="2"/>
    <x v="2"/>
    <n v="5"/>
    <n v="230"/>
    <n v="1150"/>
    <n v="0.01"/>
    <n v="11.5"/>
    <x v="2"/>
  </r>
  <r>
    <s v="Ord-1289"/>
    <x v="29"/>
    <x v="3"/>
    <x v="0"/>
    <n v="18"/>
    <n v="16"/>
    <n v="288"/>
    <n v="0.05"/>
    <n v="14.4"/>
    <x v="3"/>
  </r>
  <r>
    <s v="Ord-1290"/>
    <x v="30"/>
    <x v="0"/>
    <x v="2"/>
    <n v="6"/>
    <n v="80"/>
    <n v="480"/>
    <n v="0.01"/>
    <n v="4.8"/>
    <x v="4"/>
  </r>
  <r>
    <s v="Ord-1291"/>
    <x v="30"/>
    <x v="4"/>
    <x v="4"/>
    <n v="4"/>
    <n v="150"/>
    <n v="600"/>
    <n v="0.05"/>
    <n v="30"/>
    <x v="5"/>
  </r>
  <r>
    <s v="Ord-1292"/>
    <x v="30"/>
    <x v="2"/>
    <x v="4"/>
    <n v="21"/>
    <n v="230"/>
    <n v="4830"/>
    <n v="0.05"/>
    <n v="241.5"/>
    <x v="6"/>
  </r>
  <r>
    <s v="Ord-1293"/>
    <x v="30"/>
    <x v="4"/>
    <x v="0"/>
    <n v="4"/>
    <n v="150"/>
    <n v="600"/>
    <n v="0.06"/>
    <n v="36"/>
    <x v="7"/>
  </r>
  <r>
    <s v="Ord-1294"/>
    <x v="30"/>
    <x v="0"/>
    <x v="1"/>
    <n v="2"/>
    <n v="80"/>
    <n v="160"/>
    <n v="0.04"/>
    <n v="6.4"/>
    <x v="8"/>
  </r>
  <r>
    <s v="Ord-1295"/>
    <x v="30"/>
    <x v="3"/>
    <x v="1"/>
    <n v="5"/>
    <n v="16"/>
    <n v="80"/>
    <n v="0.11"/>
    <n v="8.8000000000000007"/>
    <x v="9"/>
  </r>
  <r>
    <s v="Ord-1296"/>
    <x v="30"/>
    <x v="4"/>
    <x v="4"/>
    <n v="23"/>
    <n v="150"/>
    <n v="3450"/>
    <n v="0.08"/>
    <n v="276"/>
    <x v="10"/>
  </r>
  <r>
    <s v="Ord-1297"/>
    <x v="30"/>
    <x v="0"/>
    <x v="1"/>
    <n v="3"/>
    <n v="80"/>
    <n v="240"/>
    <n v="0.02"/>
    <n v="4.8"/>
    <x v="11"/>
  </r>
  <r>
    <s v="Ord-1298"/>
    <x v="30"/>
    <x v="2"/>
    <x v="4"/>
    <n v="17"/>
    <n v="230"/>
    <n v="3910"/>
    <n v="0.11"/>
    <n v="430.1"/>
    <x v="0"/>
  </r>
  <r>
    <s v="Ord-1299"/>
    <x v="30"/>
    <x v="1"/>
    <x v="2"/>
    <n v="11"/>
    <n v="40"/>
    <n v="440"/>
    <n v="0.05"/>
    <n v="22"/>
    <x v="1"/>
  </r>
  <r>
    <s v="Ord-1300"/>
    <x v="30"/>
    <x v="1"/>
    <x v="2"/>
    <n v="13"/>
    <n v="40"/>
    <n v="520"/>
    <n v="0.02"/>
    <n v="10.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EEA945-4ECF-47F8-9C34-6BE18D9B4E0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46:C78" firstHeaderRow="1" firstDataRow="1" firstDataCol="1"/>
  <pivotFields count="10">
    <pivotField dataField="1" showAll="0"/>
    <pivotField axis="axisRow" numFmtId="22"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94C861-B4B6-4E73-BB99-22A0B943933A}"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45:I58" firstHeaderRow="1" firstDataRow="1" firstDataCol="1"/>
  <pivotFields count="10">
    <pivotField dataField="1" showAll="0"/>
    <pivotField numFmtId="22"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axis="axisRow" showAll="0">
      <items count="13">
        <item x="5"/>
        <item x="3"/>
        <item x="6"/>
        <item x="8"/>
        <item x="10"/>
        <item x="9"/>
        <item x="7"/>
        <item x="11"/>
        <item x="2"/>
        <item x="0"/>
        <item x="1"/>
        <item x="4"/>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Count of Order ID" fld="0" subtotal="count" baseField="0" baseItem="0"/>
  </dataFields>
  <chartFormats count="1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3"/>
          </reference>
        </references>
      </pivotArea>
    </chartFormat>
    <chartFormat chart="1" format="5">
      <pivotArea type="data" outline="0" fieldPosition="0">
        <references count="2">
          <reference field="4294967294" count="1" selected="0">
            <x v="0"/>
          </reference>
          <reference field="9" count="1" selected="0">
            <x v="4"/>
          </reference>
        </references>
      </pivotArea>
    </chartFormat>
    <chartFormat chart="1" format="6">
      <pivotArea type="data" outline="0" fieldPosition="0">
        <references count="2">
          <reference field="4294967294" count="1" selected="0">
            <x v="0"/>
          </reference>
          <reference field="9" count="1" selected="0">
            <x v="5"/>
          </reference>
        </references>
      </pivotArea>
    </chartFormat>
    <chartFormat chart="1" format="7">
      <pivotArea type="data" outline="0" fieldPosition="0">
        <references count="2">
          <reference field="4294967294" count="1" selected="0">
            <x v="0"/>
          </reference>
          <reference field="9" count="1" selected="0">
            <x v="6"/>
          </reference>
        </references>
      </pivotArea>
    </chartFormat>
    <chartFormat chart="1" format="8">
      <pivotArea type="data" outline="0" fieldPosition="0">
        <references count="2">
          <reference field="4294967294" count="1" selected="0">
            <x v="0"/>
          </reference>
          <reference field="9" count="1" selected="0">
            <x v="7"/>
          </reference>
        </references>
      </pivotArea>
    </chartFormat>
    <chartFormat chart="1" format="9">
      <pivotArea type="data" outline="0" fieldPosition="0">
        <references count="2">
          <reference field="4294967294" count="1" selected="0">
            <x v="0"/>
          </reference>
          <reference field="9" count="1" selected="0">
            <x v="8"/>
          </reference>
        </references>
      </pivotArea>
    </chartFormat>
    <chartFormat chart="1" format="10">
      <pivotArea type="data" outline="0" fieldPosition="0">
        <references count="2">
          <reference field="4294967294" count="1" selected="0">
            <x v="0"/>
          </reference>
          <reference field="9" count="1" selected="0">
            <x v="9"/>
          </reference>
        </references>
      </pivotArea>
    </chartFormat>
    <chartFormat chart="1" format="11">
      <pivotArea type="data" outline="0" fieldPosition="0">
        <references count="2">
          <reference field="4294967294" count="1" selected="0">
            <x v="0"/>
          </reference>
          <reference field="9" count="1" selected="0">
            <x v="10"/>
          </reference>
        </references>
      </pivotArea>
    </chartFormat>
    <chartFormat chart="1" format="12">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E2226B-CB6E-4CA9-B42F-EB8F77EEE5E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0">
    <pivotField dataField="1" showAll="0"/>
    <pivotField numFmtId="22"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formats count="1">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FD7787-75AB-4C6D-82E6-DC4B58BF131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51:K57" firstHeaderRow="1" firstDataRow="1" firstDataCol="1"/>
  <pivotFields count="10">
    <pivotField showAll="0"/>
    <pivotField numFmtId="22" showAll="0"/>
    <pivotField showAll="0">
      <items count="6">
        <item x="3"/>
        <item x="2"/>
        <item x="0"/>
        <item x="4"/>
        <item x="1"/>
        <item t="default"/>
      </items>
    </pivotField>
    <pivotField axis="axisRow" showAll="0">
      <items count="6">
        <item x="4"/>
        <item x="0"/>
        <item x="2"/>
        <item x="1"/>
        <item x="3"/>
        <item t="default"/>
      </items>
    </pivotField>
    <pivotField showAll="0"/>
    <pivotField showAll="0"/>
    <pivotField dataField="1" showAll="0"/>
    <pivotField showAll="0"/>
    <pivotField showAll="0"/>
    <pivotField showAll="0">
      <items count="13">
        <item x="5"/>
        <item x="3"/>
        <item x="6"/>
        <item x="8"/>
        <item x="10"/>
        <item x="9"/>
        <item x="7"/>
        <item x="11"/>
        <item x="2"/>
        <item x="0"/>
        <item x="1"/>
        <item x="4"/>
        <item t="default"/>
      </items>
    </pivotField>
  </pivotFields>
  <rowFields count="1">
    <field x="3"/>
  </rowFields>
  <rowItems count="6">
    <i>
      <x/>
    </i>
    <i>
      <x v="1"/>
    </i>
    <i>
      <x v="2"/>
    </i>
    <i>
      <x v="3"/>
    </i>
    <i>
      <x v="4"/>
    </i>
    <i t="grand">
      <x/>
    </i>
  </rowItems>
  <colItems count="1">
    <i/>
  </colItems>
  <dataFields count="1">
    <dataField name="Sum of Total sales " fld="6"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38AB19-8EEB-4243-AD9A-916C22E4A92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6:G59" firstHeaderRow="1" firstDataRow="1" firstDataCol="1"/>
  <pivotFields count="10">
    <pivotField showAll="0"/>
    <pivotField numFmtId="22"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axis="axisRow" multipleItemSelectionAllowed="1" showAll="0" sumSubtotal="1">
      <items count="13">
        <item x="5"/>
        <item x="3"/>
        <item x="6"/>
        <item x="8"/>
        <item x="10"/>
        <item x="9"/>
        <item x="7"/>
        <item x="11"/>
        <item x="2"/>
        <item x="0"/>
        <item x="1"/>
        <item x="4"/>
        <item t="sum"/>
      </items>
    </pivotField>
  </pivotFields>
  <rowFields count="1">
    <field x="9"/>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1F8BDC-79A8-46C2-9149-D9E3B3A6499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10">
    <pivotField showAll="0"/>
    <pivotField numFmtId="22"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dataField="1" showAll="0"/>
    <pivotField showAll="0"/>
  </pivotFields>
  <rowItems count="1">
    <i/>
  </rowItems>
  <colItems count="1">
    <i/>
  </colItems>
  <dataFields count="1">
    <dataField name="Sum of Total commisstion"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3AA06B-1612-4127-8EF5-61617A97AD79}"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48:F54" firstHeaderRow="1" firstDataRow="1" firstDataCol="1"/>
  <pivotFields count="10">
    <pivotField showAll="0"/>
    <pivotField numFmtId="22" showAll="0"/>
    <pivotField axis="axisRow" showAll="0">
      <items count="6">
        <item x="3"/>
        <item x="2"/>
        <item x="0"/>
        <item x="4"/>
        <item x="1"/>
        <item t="default"/>
      </items>
    </pivotField>
    <pivotField showAll="0">
      <items count="6">
        <item x="4"/>
        <item x="0"/>
        <item x="2"/>
        <item x="1"/>
        <item x="3"/>
        <item t="default"/>
      </items>
    </pivotField>
    <pivotField dataField="1"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Quantity" fld="4" baseField="0" baseItem="0"/>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AE4BE1-7C91-45EF-82C1-A47E0F137EE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0">
    <pivotField showAll="0"/>
    <pivotField numFmtId="22" showAll="0"/>
    <pivotField showAll="0">
      <items count="6">
        <item x="3"/>
        <item x="2"/>
        <item x="0"/>
        <item x="4"/>
        <item x="1"/>
        <item t="default"/>
      </items>
    </pivotField>
    <pivotField showAll="0">
      <items count="6">
        <item x="4"/>
        <item x="0"/>
        <item x="2"/>
        <item x="1"/>
        <item x="3"/>
        <item t="default"/>
      </items>
    </pivotField>
    <pivotField showAll="0"/>
    <pivotField showAll="0"/>
    <pivotField dataField="1" showAll="0"/>
    <pivotField showAll="0"/>
    <pivotField showAll="0"/>
    <pivotField showAll="0"/>
  </pivotFields>
  <rowItems count="1">
    <i/>
  </rowItems>
  <colItems count="1">
    <i/>
  </colItems>
  <dataFields count="1">
    <dataField name="Sum of Total sales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DF072D-A89E-4253-8019-4B5EFC64470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56:F62" firstHeaderRow="1" firstDataRow="1" firstDataCol="1"/>
  <pivotFields count="10">
    <pivotField showAll="0"/>
    <pivotField numFmtId="22" showAll="0"/>
    <pivotField showAll="0">
      <items count="6">
        <item x="3"/>
        <item x="2"/>
        <item x="0"/>
        <item x="4"/>
        <item x="1"/>
        <item t="default"/>
      </items>
    </pivotField>
    <pivotField axis="axisRow" showAll="0">
      <items count="6">
        <item x="4"/>
        <item x="0"/>
        <item x="2"/>
        <item x="1"/>
        <item x="3"/>
        <item t="default"/>
      </items>
    </pivotField>
    <pivotField showAll="0"/>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Sum of Commission" fld="7" baseField="0" baseItem="0"/>
  </dataFields>
  <chartFormats count="8">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7" format="6">
      <pivotArea type="data" outline="0" fieldPosition="0">
        <references count="2">
          <reference field="4294967294" count="1" selected="0">
            <x v="0"/>
          </reference>
          <reference field="3" count="1" selected="0">
            <x v="1"/>
          </reference>
        </references>
      </pivotArea>
    </chartFormat>
    <chartFormat chart="7"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AFFA65-F66E-43A9-976C-EF6FF727B7D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0">
    <pivotField showAll="0"/>
    <pivotField numFmtId="22" showAll="0"/>
    <pivotField showAll="0">
      <items count="6">
        <item x="3"/>
        <item x="2"/>
        <item x="0"/>
        <item x="4"/>
        <item x="1"/>
        <item t="default"/>
      </items>
    </pivotField>
    <pivotField showAll="0">
      <items count="6">
        <item x="4"/>
        <item x="0"/>
        <item x="2"/>
        <item x="1"/>
        <item x="3"/>
        <item t="default"/>
      </items>
    </pivotField>
    <pivotField dataField="1" showAll="0"/>
    <pivotField showAll="0"/>
    <pivotField showAll="0"/>
    <pivotField showAll="0"/>
    <pivotField showAll="0"/>
    <pivotField showAll="0"/>
  </pivotFields>
  <rowItems count="1">
    <i/>
  </rowItems>
  <colItems count="1">
    <i/>
  </colItems>
  <dataFields count="1">
    <dataField name="Sum of Quantity" fld="4" baseField="0" baseItem="0"/>
  </dataFields>
  <formats count="3">
    <format dxfId="27">
      <pivotArea outline="0" collapsedLevelsAreSubtotals="1" fieldPosition="0"/>
    </format>
    <format dxfId="26">
      <pivotArea outline="0" collapsedLevelsAreSubtotals="1"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7C736B-E20A-416C-93F2-2261EADE5C1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14:O18" firstHeaderRow="1" firstDataRow="1" firstDataCol="1"/>
  <pivotFields count="14">
    <pivotField dataField="1" showAll="0"/>
    <pivotField showAll="0"/>
    <pivotField showAll="0">
      <items count="8">
        <item x="3"/>
        <item x="4"/>
        <item x="1"/>
        <item x="5"/>
        <item x="0"/>
        <item x="6"/>
        <item x="2"/>
        <item t="default"/>
      </items>
    </pivotField>
    <pivotField showAll="0">
      <items count="5">
        <item x="3"/>
        <item x="2"/>
        <item x="0"/>
        <item x="1"/>
        <item t="default"/>
      </items>
    </pivotField>
    <pivotField showAll="0">
      <items count="3">
        <item x="0"/>
        <item x="1"/>
        <item t="default"/>
      </items>
    </pivotField>
    <pivotField showAll="0"/>
    <pivotField showAll="0"/>
    <pivotField numFmtId="22" showAll="0"/>
    <pivotField showAll="0">
      <items count="1002">
        <item x="757"/>
        <item x="758"/>
        <item x="804"/>
        <item x="94"/>
        <item x="763"/>
        <item x="776"/>
        <item x="116"/>
        <item x="896"/>
        <item x="807"/>
        <item x="92"/>
        <item x="829"/>
        <item x="751"/>
        <item x="328"/>
        <item x="435"/>
        <item x="707"/>
        <item x="401"/>
        <item x="270"/>
        <item x="468"/>
        <item x="203"/>
        <item x="837"/>
        <item x="583"/>
        <item x="659"/>
        <item x="646"/>
        <item x="623"/>
        <item x="874"/>
        <item x="878"/>
        <item x="773"/>
        <item x="664"/>
        <item x="363"/>
        <item x="882"/>
        <item x="215"/>
        <item x="233"/>
        <item x="574"/>
        <item x="991"/>
        <item x="347"/>
        <item x="993"/>
        <item x="881"/>
        <item x="739"/>
        <item x="579"/>
        <item x="40"/>
        <item x="842"/>
        <item x="367"/>
        <item x="560"/>
        <item x="199"/>
        <item x="691"/>
        <item x="610"/>
        <item x="279"/>
        <item x="183"/>
        <item x="457"/>
        <item x="97"/>
        <item x="658"/>
        <item x="157"/>
        <item x="264"/>
        <item x="258"/>
        <item x="208"/>
        <item x="89"/>
        <item x="509"/>
        <item x="584"/>
        <item x="517"/>
        <item x="99"/>
        <item x="386"/>
        <item x="230"/>
        <item x="360"/>
        <item x="957"/>
        <item x="554"/>
        <item x="937"/>
        <item x="681"/>
        <item x="525"/>
        <item x="158"/>
        <item x="593"/>
        <item x="504"/>
        <item x="149"/>
        <item x="437"/>
        <item x="8"/>
        <item x="851"/>
        <item x="962"/>
        <item x="783"/>
        <item x="329"/>
        <item x="834"/>
        <item x="256"/>
        <item x="732"/>
        <item x="550"/>
        <item x="139"/>
        <item x="33"/>
        <item x="684"/>
        <item x="281"/>
        <item x="632"/>
        <item x="372"/>
        <item x="890"/>
        <item x="299"/>
        <item x="450"/>
        <item x="235"/>
        <item x="378"/>
        <item x="968"/>
        <item x="417"/>
        <item x="638"/>
        <item x="246"/>
        <item x="667"/>
        <item x="375"/>
        <item x="635"/>
        <item x="901"/>
        <item x="931"/>
        <item x="30"/>
        <item x="771"/>
        <item x="379"/>
        <item x="109"/>
        <item x="836"/>
        <item x="563"/>
        <item x="945"/>
        <item x="340"/>
        <item x="856"/>
        <item x="589"/>
        <item x="935"/>
        <item x="765"/>
        <item x="575"/>
        <item x="553"/>
        <item x="741"/>
        <item x="770"/>
        <item x="285"/>
        <item x="891"/>
        <item x="907"/>
        <item x="294"/>
        <item x="637"/>
        <item x="942"/>
        <item x="608"/>
        <item x="752"/>
        <item x="585"/>
        <item x="543"/>
        <item x="268"/>
        <item x="292"/>
        <item x="395"/>
        <item x="920"/>
        <item x="675"/>
        <item x="178"/>
        <item x="729"/>
        <item x="160"/>
        <item x="508"/>
        <item x="262"/>
        <item x="902"/>
        <item x="304"/>
        <item x="497"/>
        <item x="155"/>
        <item x="879"/>
        <item x="597"/>
        <item x="969"/>
        <item x="4"/>
        <item x="191"/>
        <item x="862"/>
        <item x="339"/>
        <item x="491"/>
        <item x="806"/>
        <item x="894"/>
        <item x="6"/>
        <item x="843"/>
        <item x="443"/>
        <item x="965"/>
        <item x="947"/>
        <item x="180"/>
        <item x="350"/>
        <item x="698"/>
        <item x="724"/>
        <item x="614"/>
        <item x="888"/>
        <item x="412"/>
        <item x="225"/>
        <item x="384"/>
        <item x="797"/>
        <item x="456"/>
        <item x="287"/>
        <item x="956"/>
        <item x="753"/>
        <item x="746"/>
        <item x="459"/>
        <item x="107"/>
        <item x="811"/>
        <item x="63"/>
        <item x="253"/>
        <item x="914"/>
        <item x="534"/>
        <item x="332"/>
        <item x="788"/>
        <item x="857"/>
        <item x="126"/>
        <item x="745"/>
        <item x="276"/>
        <item x="700"/>
        <item x="451"/>
        <item x="420"/>
        <item x="369"/>
        <item x="439"/>
        <item x="672"/>
        <item x="257"/>
        <item x="462"/>
        <item x="825"/>
        <item x="98"/>
        <item x="489"/>
        <item x="569"/>
        <item x="855"/>
        <item x="520"/>
        <item x="615"/>
        <item x="929"/>
        <item x="873"/>
        <item x="240"/>
        <item x="266"/>
        <item x="794"/>
        <item x="989"/>
        <item x="51"/>
        <item x="755"/>
        <item x="410"/>
        <item x="630"/>
        <item x="985"/>
        <item x="321"/>
        <item x="674"/>
        <item x="353"/>
        <item x="58"/>
        <item x="839"/>
        <item x="506"/>
        <item x="267"/>
        <item x="467"/>
        <item x="465"/>
        <item x="510"/>
        <item x="719"/>
        <item x="174"/>
        <item x="620"/>
        <item x="120"/>
        <item x="904"/>
        <item x="535"/>
        <item x="64"/>
        <item x="283"/>
        <item x="418"/>
        <item x="723"/>
        <item x="864"/>
        <item x="561"/>
        <item x="254"/>
        <item x="210"/>
        <item x="193"/>
        <item x="542"/>
        <item x="195"/>
        <item x="810"/>
        <item x="229"/>
        <item x="176"/>
        <item x="558"/>
        <item x="48"/>
        <item x="93"/>
        <item x="866"/>
        <item x="407"/>
        <item x="259"/>
        <item x="801"/>
        <item x="118"/>
        <item x="612"/>
        <item x="433"/>
        <item x="27"/>
        <item x="756"/>
        <item x="571"/>
        <item x="22"/>
        <item x="485"/>
        <item x="34"/>
        <item x="964"/>
        <item x="541"/>
        <item x="734"/>
        <item x="209"/>
        <item x="288"/>
        <item x="639"/>
        <item x="631"/>
        <item x="430"/>
        <item x="733"/>
        <item x="315"/>
        <item x="772"/>
        <item x="104"/>
        <item x="453"/>
        <item x="226"/>
        <item x="471"/>
        <item x="173"/>
        <item x="572"/>
        <item x="237"/>
        <item x="781"/>
        <item x="446"/>
        <item x="474"/>
        <item x="908"/>
        <item x="220"/>
        <item x="841"/>
        <item x="322"/>
        <item x="189"/>
        <item x="206"/>
        <item x="897"/>
        <item x="5"/>
        <item x="61"/>
        <item x="536"/>
        <item x="341"/>
        <item x="577"/>
        <item x="17"/>
        <item x="796"/>
        <item x="581"/>
        <item x="628"/>
        <item x="761"/>
        <item x="123"/>
        <item x="815"/>
        <item x="767"/>
        <item x="716"/>
        <item x="850"/>
        <item x="59"/>
        <item x="694"/>
        <item x="303"/>
        <item x="408"/>
        <item x="609"/>
        <item x="634"/>
        <item x="403"/>
        <item x="677"/>
        <item x="714"/>
        <item x="875"/>
        <item x="424"/>
        <item x="128"/>
        <item x="673"/>
        <item x="1"/>
        <item x="387"/>
        <item x="540"/>
        <item x="702"/>
        <item x="725"/>
        <item x="798"/>
        <item x="544"/>
        <item x="196"/>
        <item x="642"/>
        <item x="198"/>
        <item x="426"/>
        <item x="666"/>
        <item x="816"/>
        <item x="323"/>
        <item x="812"/>
        <item x="188"/>
        <item x="352"/>
        <item x="865"/>
        <item x="31"/>
        <item x="136"/>
        <item x="411"/>
        <item x="621"/>
        <item x="423"/>
        <item x="951"/>
        <item x="822"/>
        <item x="977"/>
        <item x="960"/>
        <item x="606"/>
        <item x="248"/>
        <item x="814"/>
        <item x="311"/>
        <item x="45"/>
        <item x="348"/>
        <item x="601"/>
        <item x="918"/>
        <item x="138"/>
        <item x="222"/>
        <item x="343"/>
        <item x="480"/>
        <item x="140"/>
        <item x="787"/>
        <item x="62"/>
        <item x="335"/>
        <item x="499"/>
        <item x="154"/>
        <item x="397"/>
        <item x="824"/>
        <item x="56"/>
        <item x="778"/>
        <item x="218"/>
        <item x="277"/>
        <item x="511"/>
        <item x="382"/>
        <item x="715"/>
        <item x="887"/>
        <item x="334"/>
        <item x="436"/>
        <item x="988"/>
        <item x="308"/>
        <item x="134"/>
        <item x="213"/>
        <item x="389"/>
        <item x="710"/>
        <item x="346"/>
        <item x="594"/>
        <item x="52"/>
        <item x="821"/>
        <item x="251"/>
        <item x="309"/>
        <item x="47"/>
        <item x="60"/>
        <item x="284"/>
        <item x="314"/>
        <item x="743"/>
        <item x="692"/>
        <item x="175"/>
        <item x="263"/>
        <item x="682"/>
        <item x="592"/>
        <item x="455"/>
        <item x="115"/>
        <item x="298"/>
        <item x="625"/>
        <item x="383"/>
        <item x="880"/>
        <item x="250"/>
        <item x="974"/>
        <item x="849"/>
        <item x="519"/>
        <item x="205"/>
        <item x="461"/>
        <item x="859"/>
        <item x="518"/>
        <item x="946"/>
        <item x="55"/>
        <item x="727"/>
        <item x="398"/>
        <item x="793"/>
        <item x="503"/>
        <item x="77"/>
        <item x="388"/>
        <item x="983"/>
        <item x="145"/>
        <item x="736"/>
        <item x="496"/>
        <item x="217"/>
        <item x="447"/>
        <item x="432"/>
        <item x="429"/>
        <item x="28"/>
        <item x="872"/>
        <item x="884"/>
        <item x="533"/>
        <item x="416"/>
        <item x="72"/>
        <item x="695"/>
        <item x="512"/>
        <item x="448"/>
        <item x="551"/>
        <item x="345"/>
        <item x="647"/>
        <item x="932"/>
        <item x="374"/>
        <item x="344"/>
        <item x="484"/>
        <item x="860"/>
        <item x="10"/>
        <item x="469"/>
        <item x="227"/>
        <item x="111"/>
        <item x="854"/>
        <item x="413"/>
        <item x="697"/>
        <item x="476"/>
        <item x="102"/>
        <item x="809"/>
        <item x="588"/>
        <item x="26"/>
        <item x="73"/>
        <item x="269"/>
        <item x="596"/>
        <item x="400"/>
        <item x="775"/>
        <item x="342"/>
        <item x="69"/>
        <item x="633"/>
        <item x="885"/>
        <item x="722"/>
        <item x="148"/>
        <item x="81"/>
        <item x="754"/>
        <item x="202"/>
        <item x="473"/>
        <item x="705"/>
        <item x="830"/>
        <item x="23"/>
        <item x="958"/>
        <item x="613"/>
        <item x="502"/>
        <item x="936"/>
        <item x="82"/>
        <item x="975"/>
        <item x="521"/>
        <item x="132"/>
        <item x="105"/>
        <item x="760"/>
        <item x="15"/>
        <item x="444"/>
        <item x="431"/>
        <item x="617"/>
        <item x="121"/>
        <item x="629"/>
        <item x="144"/>
        <item x="71"/>
        <item x="605"/>
        <item x="995"/>
        <item x="271"/>
        <item x="941"/>
        <item x="153"/>
        <item x="618"/>
        <item x="817"/>
        <item x="336"/>
        <item x="762"/>
        <item x="537"/>
        <item x="11"/>
        <item x="595"/>
        <item x="967"/>
        <item x="96"/>
        <item x="910"/>
        <item x="373"/>
        <item x="380"/>
        <item x="498"/>
        <item x="142"/>
        <item x="524"/>
        <item x="38"/>
        <item x="57"/>
        <item x="326"/>
        <item x="648"/>
        <item x="42"/>
        <item x="731"/>
        <item x="394"/>
        <item x="750"/>
        <item x="95"/>
        <item x="236"/>
        <item x="656"/>
        <item x="313"/>
        <item x="576"/>
        <item x="523"/>
        <item x="992"/>
        <item x="953"/>
        <item x="190"/>
        <item x="275"/>
        <item x="32"/>
        <item x="141"/>
        <item x="130"/>
        <item x="300"/>
        <item x="696"/>
        <item x="779"/>
        <item x="212"/>
        <item x="477"/>
        <item x="290"/>
        <item x="358"/>
        <item x="415"/>
        <item x="487"/>
        <item x="112"/>
        <item x="301"/>
        <item x="91"/>
        <item x="795"/>
        <item x="680"/>
        <item x="930"/>
        <item x="972"/>
        <item x="803"/>
        <item x="826"/>
        <item x="513"/>
        <item x="522"/>
        <item x="241"/>
        <item x="87"/>
        <item x="915"/>
        <item x="678"/>
        <item x="454"/>
        <item x="556"/>
        <item x="463"/>
        <item x="317"/>
        <item x="940"/>
        <item x="759"/>
        <item x="819"/>
        <item x="25"/>
        <item x="644"/>
        <item x="927"/>
        <item x="296"/>
        <item x="221"/>
        <item x="559"/>
        <item x="735"/>
        <item x="29"/>
        <item x="35"/>
        <item x="973"/>
        <item x="823"/>
        <item x="289"/>
        <item x="852"/>
        <item x="214"/>
        <item x="924"/>
        <item x="458"/>
        <item x="911"/>
        <item x="774"/>
        <item x="626"/>
        <item x="844"/>
        <item x="668"/>
        <item x="766"/>
        <item x="421"/>
        <item x="359"/>
        <item x="531"/>
        <item x="472"/>
        <item x="539"/>
        <item x="748"/>
        <item x="392"/>
        <item x="703"/>
        <item x="699"/>
        <item x="877"/>
        <item x="24"/>
        <item x="738"/>
        <item x="70"/>
        <item x="598"/>
        <item x="690"/>
        <item x="486"/>
        <item x="272"/>
        <item x="895"/>
        <item x="868"/>
        <item x="357"/>
        <item x="921"/>
        <item x="886"/>
        <item x="12"/>
        <item x="172"/>
        <item x="475"/>
        <item x="669"/>
        <item x="835"/>
        <item x="131"/>
        <item x="366"/>
        <item x="538"/>
        <item x="898"/>
        <item x="976"/>
        <item x="492"/>
        <item x="805"/>
        <item x="249"/>
        <item x="493"/>
        <item x="586"/>
        <item x="67"/>
        <item x="479"/>
        <item x="954"/>
        <item x="799"/>
        <item x="318"/>
        <item x="900"/>
        <item x="381"/>
        <item x="163"/>
        <item x="899"/>
        <item x="747"/>
        <item x="494"/>
        <item x="979"/>
        <item x="567"/>
        <item x="310"/>
        <item x="905"/>
        <item x="665"/>
        <item x="645"/>
        <item x="85"/>
        <item x="740"/>
        <item x="643"/>
        <item x="361"/>
        <item x="122"/>
        <item x="243"/>
        <item x="200"/>
        <item x="653"/>
        <item x="640"/>
        <item x="390"/>
        <item x="802"/>
        <item x="923"/>
        <item x="147"/>
        <item x="129"/>
        <item x="354"/>
        <item x="687"/>
        <item x="103"/>
        <item x="784"/>
        <item x="573"/>
        <item x="159"/>
        <item x="649"/>
        <item x="528"/>
        <item x="971"/>
        <item x="764"/>
        <item x="320"/>
        <item x="151"/>
        <item x="478"/>
        <item x="286"/>
        <item x="232"/>
        <item x="100"/>
        <item x="53"/>
        <item x="565"/>
        <item x="355"/>
        <item x="944"/>
        <item x="165"/>
        <item x="305"/>
        <item x="749"/>
        <item x="65"/>
        <item x="845"/>
        <item x="108"/>
        <item x="442"/>
        <item x="737"/>
        <item x="858"/>
        <item x="402"/>
        <item x="247"/>
        <item x="607"/>
        <item x="239"/>
        <item x="651"/>
        <item x="676"/>
        <item x="744"/>
        <item x="37"/>
        <item x="166"/>
        <item x="708"/>
        <item x="86"/>
        <item x="768"/>
        <item x="530"/>
        <item x="333"/>
        <item x="780"/>
        <item x="808"/>
        <item x="848"/>
        <item x="590"/>
        <item x="325"/>
        <item x="943"/>
        <item x="916"/>
        <item x="883"/>
        <item x="939"/>
        <item x="21"/>
        <item x="464"/>
        <item x="555"/>
        <item x="187"/>
        <item x="934"/>
        <item x="922"/>
        <item x="371"/>
        <item x="662"/>
        <item x="80"/>
        <item x="171"/>
        <item x="726"/>
        <item x="452"/>
        <item x="552"/>
        <item x="909"/>
        <item x="547"/>
        <item x="0"/>
        <item x="777"/>
        <item x="182"/>
        <item x="302"/>
        <item x="661"/>
        <item x="711"/>
        <item x="791"/>
        <item x="156"/>
        <item x="76"/>
        <item x="507"/>
        <item x="840"/>
        <item x="231"/>
        <item x="124"/>
        <item x="46"/>
        <item x="987"/>
        <item x="370"/>
        <item x="828"/>
        <item x="981"/>
        <item x="428"/>
        <item x="211"/>
        <item x="730"/>
        <item x="919"/>
        <item x="238"/>
        <item x="54"/>
        <item x="564"/>
        <item x="892"/>
        <item x="278"/>
        <item x="686"/>
        <item x="591"/>
        <item x="980"/>
        <item x="282"/>
        <item x="337"/>
        <item x="438"/>
        <item x="242"/>
        <item x="265"/>
        <item x="948"/>
        <item x="127"/>
        <item x="959"/>
        <item x="135"/>
        <item x="514"/>
        <item x="532"/>
        <item x="616"/>
        <item x="853"/>
        <item x="179"/>
        <item x="527"/>
        <item x="926"/>
        <item x="365"/>
        <item x="655"/>
        <item x="482"/>
        <item x="660"/>
        <item x="818"/>
        <item x="177"/>
        <item x="838"/>
        <item x="949"/>
        <item x="863"/>
        <item x="90"/>
        <item x="966"/>
        <item x="952"/>
        <item x="790"/>
        <item x="903"/>
        <item x="327"/>
        <item x="917"/>
        <item x="216"/>
        <item x="260"/>
        <item x="627"/>
        <item x="516"/>
        <item x="720"/>
        <item x="297"/>
        <item x="912"/>
        <item x="441"/>
        <item x="529"/>
        <item x="13"/>
        <item x="164"/>
        <item x="414"/>
        <item x="813"/>
        <item x="234"/>
        <item x="396"/>
        <item x="570"/>
        <item x="982"/>
        <item x="319"/>
        <item x="566"/>
        <item x="867"/>
        <item x="704"/>
        <item x="9"/>
        <item x="376"/>
        <item x="364"/>
        <item x="280"/>
        <item x="545"/>
        <item x="106"/>
        <item x="16"/>
        <item x="846"/>
        <item x="261"/>
        <item x="604"/>
        <item x="440"/>
        <item x="950"/>
        <item x="223"/>
        <item x="792"/>
        <item x="800"/>
        <item x="789"/>
        <item x="167"/>
        <item x="709"/>
        <item x="688"/>
        <item x="990"/>
        <item x="113"/>
        <item x="14"/>
        <item x="641"/>
        <item x="422"/>
        <item x="419"/>
        <item x="228"/>
        <item x="307"/>
        <item x="399"/>
        <item x="170"/>
        <item x="515"/>
        <item x="393"/>
        <item x="18"/>
        <item x="316"/>
        <item x="913"/>
        <item x="578"/>
        <item x="984"/>
        <item x="869"/>
        <item x="460"/>
        <item x="146"/>
        <item x="192"/>
        <item x="338"/>
        <item x="84"/>
        <item x="742"/>
        <item x="871"/>
        <item x="955"/>
        <item x="20"/>
        <item x="79"/>
        <item x="39"/>
        <item x="219"/>
        <item x="994"/>
        <item x="693"/>
        <item x="295"/>
        <item x="500"/>
        <item x="505"/>
        <item x="831"/>
        <item x="143"/>
        <item x="252"/>
        <item x="362"/>
        <item x="933"/>
        <item x="671"/>
        <item x="194"/>
        <item x="349"/>
        <item x="255"/>
        <item x="670"/>
        <item x="162"/>
        <item x="683"/>
        <item x="409"/>
        <item x="185"/>
        <item x="119"/>
        <item x="377"/>
        <item x="663"/>
        <item x="75"/>
        <item x="488"/>
        <item x="548"/>
        <item x="652"/>
        <item x="562"/>
        <item x="728"/>
        <item x="101"/>
        <item x="833"/>
        <item x="769"/>
        <item x="293"/>
        <item x="718"/>
        <item x="600"/>
        <item x="324"/>
        <item x="712"/>
        <item x="356"/>
        <item x="161"/>
        <item x="445"/>
        <item x="406"/>
        <item x="820"/>
        <item x="197"/>
        <item x="66"/>
        <item x="133"/>
        <item x="970"/>
        <item x="78"/>
        <item x="832"/>
        <item x="685"/>
        <item x="331"/>
        <item x="125"/>
        <item x="186"/>
        <item x="587"/>
        <item x="876"/>
        <item x="274"/>
        <item x="611"/>
        <item x="961"/>
        <item x="50"/>
        <item x="83"/>
        <item x="495"/>
        <item x="906"/>
        <item x="152"/>
        <item x="481"/>
        <item x="893"/>
        <item x="7"/>
        <item x="786"/>
        <item x="827"/>
        <item x="557"/>
        <item x="368"/>
        <item x="861"/>
        <item x="273"/>
        <item x="449"/>
        <item x="19"/>
        <item x="546"/>
        <item x="701"/>
        <item x="847"/>
        <item x="49"/>
        <item x="721"/>
        <item x="168"/>
        <item x="483"/>
        <item x="654"/>
        <item x="624"/>
        <item x="43"/>
        <item x="470"/>
        <item x="245"/>
        <item x="3"/>
        <item x="306"/>
        <item x="689"/>
        <item x="582"/>
        <item x="110"/>
        <item x="870"/>
        <item x="2"/>
        <item x="184"/>
        <item x="114"/>
        <item x="351"/>
        <item x="549"/>
        <item x="391"/>
        <item x="207"/>
        <item x="405"/>
        <item x="580"/>
        <item x="603"/>
        <item x="36"/>
        <item x="466"/>
        <item x="938"/>
        <item x="224"/>
        <item x="244"/>
        <item x="650"/>
        <item x="526"/>
        <item x="204"/>
        <item x="706"/>
        <item x="385"/>
        <item x="717"/>
        <item x="622"/>
        <item x="599"/>
        <item x="925"/>
        <item x="657"/>
        <item x="41"/>
        <item x="602"/>
        <item x="74"/>
        <item x="785"/>
        <item x="928"/>
        <item x="117"/>
        <item x="201"/>
        <item x="978"/>
        <item x="679"/>
        <item x="963"/>
        <item x="490"/>
        <item x="169"/>
        <item x="68"/>
        <item x="44"/>
        <item x="88"/>
        <item x="713"/>
        <item x="427"/>
        <item x="404"/>
        <item x="330"/>
        <item x="782"/>
        <item x="425"/>
        <item x="636"/>
        <item x="434"/>
        <item x="619"/>
        <item x="291"/>
        <item x="181"/>
        <item x="137"/>
        <item x="312"/>
        <item x="568"/>
        <item x="501"/>
        <item x="889"/>
        <item x="150"/>
        <item x="986"/>
        <item f="1" x="996"/>
        <item f="1" x="997"/>
        <item f="1" x="998"/>
        <item f="1" x="999"/>
        <item f="1" x="1000"/>
        <item t="default"/>
      </items>
    </pivotField>
    <pivotField showAll="0"/>
    <pivotField showAll="0"/>
    <pivotField axis="axisRow" showAll="0">
      <items count="4">
        <item x="2"/>
        <item x="1"/>
        <item x="0"/>
        <item t="default"/>
      </items>
    </pivotField>
    <pivotField showAll="0"/>
    <pivotField showAll="0"/>
  </pivotFields>
  <rowFields count="1">
    <field x="11"/>
  </rowFields>
  <rowItems count="4">
    <i>
      <x/>
    </i>
    <i>
      <x v="1"/>
    </i>
    <i>
      <x v="2"/>
    </i>
    <i t="grand">
      <x/>
    </i>
  </rowItems>
  <colItems count="1">
    <i/>
  </colItems>
  <dataFields count="1">
    <dataField name="Count of EMP ID.1" fld="0" subtotal="count" baseField="0" baseItem="0"/>
  </dataFields>
  <chartFormats count="8">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 chart="2" format="1">
      <pivotArea type="data" outline="0" fieldPosition="0">
        <references count="2">
          <reference field="4294967294" count="1" selected="0">
            <x v="0"/>
          </reference>
          <reference field="11" count="1" selected="0">
            <x v="1"/>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1FECD0-6ABE-429F-9A9C-415137AA462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32" firstHeaderRow="1" firstDataRow="1" firstDataCol="0"/>
  <pivotFields count="14">
    <pivotField showAll="0"/>
    <pivotField showAll="0"/>
    <pivotField showAll="0">
      <items count="8">
        <item x="3"/>
        <item x="4"/>
        <item x="1"/>
        <item x="5"/>
        <item x="0"/>
        <item x="6"/>
        <item x="2"/>
        <item t="default"/>
      </items>
    </pivotField>
    <pivotField showAll="0">
      <items count="5">
        <item x="3"/>
        <item x="2"/>
        <item x="0"/>
        <item x="1"/>
        <item t="default"/>
      </items>
    </pivotField>
    <pivotField showAll="0">
      <items count="3">
        <item x="0"/>
        <item x="1"/>
        <item t="default"/>
      </items>
    </pivotField>
    <pivotField showAll="0"/>
    <pivotField showAll="0"/>
    <pivotField numFmtId="22" showAll="0"/>
    <pivotField showAll="0">
      <items count="1002">
        <item x="757"/>
        <item x="758"/>
        <item x="804"/>
        <item x="94"/>
        <item x="763"/>
        <item x="776"/>
        <item x="116"/>
        <item x="896"/>
        <item x="807"/>
        <item x="92"/>
        <item x="829"/>
        <item x="751"/>
        <item x="328"/>
        <item x="435"/>
        <item x="707"/>
        <item x="401"/>
        <item x="270"/>
        <item x="468"/>
        <item x="203"/>
        <item x="837"/>
        <item x="583"/>
        <item x="659"/>
        <item x="646"/>
        <item x="623"/>
        <item x="874"/>
        <item x="878"/>
        <item x="773"/>
        <item x="664"/>
        <item x="363"/>
        <item x="882"/>
        <item x="215"/>
        <item x="233"/>
        <item x="574"/>
        <item x="991"/>
        <item x="347"/>
        <item x="993"/>
        <item x="881"/>
        <item x="739"/>
        <item x="579"/>
        <item x="40"/>
        <item x="842"/>
        <item x="367"/>
        <item x="560"/>
        <item x="199"/>
        <item x="691"/>
        <item x="610"/>
        <item x="279"/>
        <item x="183"/>
        <item x="457"/>
        <item x="97"/>
        <item x="658"/>
        <item x="157"/>
        <item x="264"/>
        <item x="258"/>
        <item x="208"/>
        <item x="89"/>
        <item x="509"/>
        <item x="584"/>
        <item x="517"/>
        <item x="99"/>
        <item x="386"/>
        <item x="230"/>
        <item x="360"/>
        <item x="957"/>
        <item x="554"/>
        <item x="937"/>
        <item x="681"/>
        <item x="525"/>
        <item x="158"/>
        <item x="593"/>
        <item x="504"/>
        <item x="149"/>
        <item x="437"/>
        <item x="8"/>
        <item x="851"/>
        <item x="962"/>
        <item x="783"/>
        <item x="329"/>
        <item x="834"/>
        <item x="256"/>
        <item x="732"/>
        <item x="550"/>
        <item x="139"/>
        <item x="33"/>
        <item x="684"/>
        <item x="281"/>
        <item x="632"/>
        <item x="372"/>
        <item x="890"/>
        <item x="299"/>
        <item x="450"/>
        <item x="235"/>
        <item x="378"/>
        <item x="968"/>
        <item x="417"/>
        <item x="638"/>
        <item x="246"/>
        <item x="667"/>
        <item x="375"/>
        <item x="635"/>
        <item x="901"/>
        <item x="931"/>
        <item x="30"/>
        <item x="771"/>
        <item x="379"/>
        <item x="109"/>
        <item x="836"/>
        <item x="563"/>
        <item x="945"/>
        <item x="340"/>
        <item x="856"/>
        <item x="589"/>
        <item x="935"/>
        <item x="765"/>
        <item x="575"/>
        <item x="553"/>
        <item x="741"/>
        <item x="770"/>
        <item x="285"/>
        <item x="891"/>
        <item x="907"/>
        <item x="294"/>
        <item x="637"/>
        <item x="942"/>
        <item x="608"/>
        <item x="752"/>
        <item x="585"/>
        <item x="543"/>
        <item x="268"/>
        <item x="292"/>
        <item x="395"/>
        <item x="920"/>
        <item x="675"/>
        <item x="178"/>
        <item x="729"/>
        <item x="160"/>
        <item x="508"/>
        <item x="262"/>
        <item x="902"/>
        <item x="304"/>
        <item x="497"/>
        <item x="155"/>
        <item x="879"/>
        <item x="597"/>
        <item x="969"/>
        <item x="4"/>
        <item x="191"/>
        <item x="862"/>
        <item x="339"/>
        <item x="491"/>
        <item x="806"/>
        <item x="894"/>
        <item x="6"/>
        <item x="843"/>
        <item x="443"/>
        <item x="965"/>
        <item x="947"/>
        <item x="180"/>
        <item x="350"/>
        <item x="698"/>
        <item x="724"/>
        <item x="614"/>
        <item x="888"/>
        <item x="412"/>
        <item x="225"/>
        <item x="384"/>
        <item x="797"/>
        <item x="456"/>
        <item x="287"/>
        <item x="956"/>
        <item x="753"/>
        <item x="746"/>
        <item x="459"/>
        <item x="107"/>
        <item x="811"/>
        <item x="63"/>
        <item x="253"/>
        <item x="914"/>
        <item x="534"/>
        <item x="332"/>
        <item x="788"/>
        <item x="857"/>
        <item x="126"/>
        <item x="745"/>
        <item x="276"/>
        <item x="700"/>
        <item x="451"/>
        <item x="420"/>
        <item x="369"/>
        <item x="439"/>
        <item x="672"/>
        <item x="257"/>
        <item x="462"/>
        <item x="825"/>
        <item x="98"/>
        <item x="489"/>
        <item x="569"/>
        <item x="855"/>
        <item x="520"/>
        <item x="615"/>
        <item x="929"/>
        <item x="873"/>
        <item x="240"/>
        <item x="266"/>
        <item x="794"/>
        <item x="989"/>
        <item x="51"/>
        <item x="755"/>
        <item x="410"/>
        <item x="630"/>
        <item x="985"/>
        <item x="321"/>
        <item x="674"/>
        <item x="353"/>
        <item x="58"/>
        <item x="839"/>
        <item x="506"/>
        <item x="267"/>
        <item x="467"/>
        <item x="465"/>
        <item x="510"/>
        <item x="719"/>
        <item x="174"/>
        <item x="620"/>
        <item x="120"/>
        <item x="904"/>
        <item x="535"/>
        <item x="64"/>
        <item x="283"/>
        <item x="418"/>
        <item x="723"/>
        <item x="864"/>
        <item x="561"/>
        <item x="254"/>
        <item x="210"/>
        <item x="193"/>
        <item x="542"/>
        <item x="195"/>
        <item x="810"/>
        <item x="229"/>
        <item x="176"/>
        <item x="558"/>
        <item x="48"/>
        <item x="93"/>
        <item x="866"/>
        <item x="407"/>
        <item x="259"/>
        <item x="801"/>
        <item x="118"/>
        <item x="612"/>
        <item x="433"/>
        <item x="27"/>
        <item x="756"/>
        <item x="571"/>
        <item x="22"/>
        <item x="485"/>
        <item x="34"/>
        <item x="964"/>
        <item x="541"/>
        <item x="734"/>
        <item x="209"/>
        <item x="288"/>
        <item x="639"/>
        <item x="631"/>
        <item x="430"/>
        <item x="733"/>
        <item x="315"/>
        <item x="772"/>
        <item x="104"/>
        <item x="453"/>
        <item x="226"/>
        <item x="471"/>
        <item x="173"/>
        <item x="572"/>
        <item x="237"/>
        <item x="781"/>
        <item x="446"/>
        <item x="474"/>
        <item x="908"/>
        <item x="220"/>
        <item x="841"/>
        <item x="322"/>
        <item x="189"/>
        <item x="206"/>
        <item x="897"/>
        <item x="5"/>
        <item x="61"/>
        <item x="536"/>
        <item x="341"/>
        <item x="577"/>
        <item x="17"/>
        <item x="796"/>
        <item x="581"/>
        <item x="628"/>
        <item x="761"/>
        <item x="123"/>
        <item x="815"/>
        <item x="767"/>
        <item x="716"/>
        <item x="850"/>
        <item x="59"/>
        <item x="694"/>
        <item x="303"/>
        <item x="408"/>
        <item x="609"/>
        <item x="634"/>
        <item x="403"/>
        <item x="677"/>
        <item x="714"/>
        <item x="875"/>
        <item x="424"/>
        <item x="128"/>
        <item x="673"/>
        <item x="1"/>
        <item x="387"/>
        <item x="540"/>
        <item x="702"/>
        <item x="725"/>
        <item x="798"/>
        <item x="544"/>
        <item x="196"/>
        <item x="642"/>
        <item x="198"/>
        <item x="426"/>
        <item x="666"/>
        <item x="816"/>
        <item x="323"/>
        <item x="812"/>
        <item x="188"/>
        <item x="352"/>
        <item x="865"/>
        <item x="31"/>
        <item x="136"/>
        <item x="411"/>
        <item x="621"/>
        <item x="423"/>
        <item x="951"/>
        <item x="822"/>
        <item x="977"/>
        <item x="960"/>
        <item x="606"/>
        <item x="248"/>
        <item x="814"/>
        <item x="311"/>
        <item x="45"/>
        <item x="348"/>
        <item x="601"/>
        <item x="918"/>
        <item x="138"/>
        <item x="222"/>
        <item x="343"/>
        <item x="480"/>
        <item x="140"/>
        <item x="787"/>
        <item x="62"/>
        <item x="335"/>
        <item x="499"/>
        <item x="154"/>
        <item x="397"/>
        <item x="824"/>
        <item x="56"/>
        <item x="778"/>
        <item x="218"/>
        <item x="277"/>
        <item x="511"/>
        <item x="382"/>
        <item x="715"/>
        <item x="887"/>
        <item x="334"/>
        <item x="436"/>
        <item x="988"/>
        <item x="308"/>
        <item x="134"/>
        <item x="213"/>
        <item x="389"/>
        <item x="710"/>
        <item x="346"/>
        <item x="594"/>
        <item x="52"/>
        <item x="821"/>
        <item x="251"/>
        <item x="309"/>
        <item x="47"/>
        <item x="60"/>
        <item x="284"/>
        <item x="314"/>
        <item x="743"/>
        <item x="692"/>
        <item x="175"/>
        <item x="263"/>
        <item x="682"/>
        <item x="592"/>
        <item x="455"/>
        <item x="115"/>
        <item x="298"/>
        <item x="625"/>
        <item x="383"/>
        <item x="880"/>
        <item x="250"/>
        <item x="974"/>
        <item x="849"/>
        <item x="519"/>
        <item x="205"/>
        <item x="461"/>
        <item x="859"/>
        <item x="518"/>
        <item x="946"/>
        <item x="55"/>
        <item x="727"/>
        <item x="398"/>
        <item x="793"/>
        <item x="503"/>
        <item x="77"/>
        <item x="388"/>
        <item x="983"/>
        <item x="145"/>
        <item x="736"/>
        <item x="496"/>
        <item x="217"/>
        <item x="447"/>
        <item x="432"/>
        <item x="429"/>
        <item x="28"/>
        <item x="872"/>
        <item x="884"/>
        <item x="533"/>
        <item x="416"/>
        <item x="72"/>
        <item x="695"/>
        <item x="512"/>
        <item x="448"/>
        <item x="551"/>
        <item x="345"/>
        <item x="647"/>
        <item x="932"/>
        <item x="374"/>
        <item x="344"/>
        <item x="484"/>
        <item x="860"/>
        <item x="10"/>
        <item x="469"/>
        <item x="227"/>
        <item x="111"/>
        <item x="854"/>
        <item x="413"/>
        <item x="697"/>
        <item x="476"/>
        <item x="102"/>
        <item x="809"/>
        <item x="588"/>
        <item x="26"/>
        <item x="73"/>
        <item x="269"/>
        <item x="596"/>
        <item x="400"/>
        <item x="775"/>
        <item x="342"/>
        <item x="69"/>
        <item x="633"/>
        <item x="885"/>
        <item x="722"/>
        <item x="148"/>
        <item x="81"/>
        <item x="754"/>
        <item x="202"/>
        <item x="473"/>
        <item x="705"/>
        <item x="830"/>
        <item x="23"/>
        <item x="958"/>
        <item x="613"/>
        <item x="502"/>
        <item x="936"/>
        <item x="82"/>
        <item x="975"/>
        <item x="521"/>
        <item x="132"/>
        <item x="105"/>
        <item x="760"/>
        <item x="15"/>
        <item x="444"/>
        <item x="431"/>
        <item x="617"/>
        <item x="121"/>
        <item x="629"/>
        <item x="144"/>
        <item x="71"/>
        <item x="605"/>
        <item x="995"/>
        <item x="271"/>
        <item x="941"/>
        <item x="153"/>
        <item x="618"/>
        <item x="817"/>
        <item x="336"/>
        <item x="762"/>
        <item x="537"/>
        <item x="11"/>
        <item x="595"/>
        <item x="967"/>
        <item x="96"/>
        <item x="910"/>
        <item x="373"/>
        <item x="380"/>
        <item x="498"/>
        <item x="142"/>
        <item x="524"/>
        <item x="38"/>
        <item x="57"/>
        <item x="326"/>
        <item x="648"/>
        <item x="42"/>
        <item x="731"/>
        <item x="394"/>
        <item x="750"/>
        <item x="95"/>
        <item x="236"/>
        <item x="656"/>
        <item x="313"/>
        <item x="576"/>
        <item x="523"/>
        <item x="992"/>
        <item x="953"/>
        <item x="190"/>
        <item x="275"/>
        <item x="32"/>
        <item x="141"/>
        <item x="130"/>
        <item x="300"/>
        <item x="696"/>
        <item x="779"/>
        <item x="212"/>
        <item x="477"/>
        <item x="290"/>
        <item x="358"/>
        <item x="415"/>
        <item x="487"/>
        <item x="112"/>
        <item x="301"/>
        <item x="91"/>
        <item x="795"/>
        <item x="680"/>
        <item x="930"/>
        <item x="972"/>
        <item x="803"/>
        <item x="826"/>
        <item x="513"/>
        <item x="522"/>
        <item x="241"/>
        <item x="87"/>
        <item x="915"/>
        <item x="678"/>
        <item x="454"/>
        <item x="556"/>
        <item x="463"/>
        <item x="317"/>
        <item x="940"/>
        <item x="759"/>
        <item x="819"/>
        <item x="25"/>
        <item x="644"/>
        <item x="927"/>
        <item x="296"/>
        <item x="221"/>
        <item x="559"/>
        <item x="735"/>
        <item x="29"/>
        <item x="35"/>
        <item x="973"/>
        <item x="823"/>
        <item x="289"/>
        <item x="852"/>
        <item x="214"/>
        <item x="924"/>
        <item x="458"/>
        <item x="911"/>
        <item x="774"/>
        <item x="626"/>
        <item x="844"/>
        <item x="668"/>
        <item x="766"/>
        <item x="421"/>
        <item x="359"/>
        <item x="531"/>
        <item x="472"/>
        <item x="539"/>
        <item x="748"/>
        <item x="392"/>
        <item x="703"/>
        <item x="699"/>
        <item x="877"/>
        <item x="24"/>
        <item x="738"/>
        <item x="70"/>
        <item x="598"/>
        <item x="690"/>
        <item x="486"/>
        <item x="272"/>
        <item x="895"/>
        <item x="868"/>
        <item x="357"/>
        <item x="921"/>
        <item x="886"/>
        <item x="12"/>
        <item x="172"/>
        <item x="475"/>
        <item x="669"/>
        <item x="835"/>
        <item x="131"/>
        <item x="366"/>
        <item x="538"/>
        <item x="898"/>
        <item x="976"/>
        <item x="492"/>
        <item x="805"/>
        <item x="249"/>
        <item x="493"/>
        <item x="586"/>
        <item x="67"/>
        <item x="479"/>
        <item x="954"/>
        <item x="799"/>
        <item x="318"/>
        <item x="900"/>
        <item x="381"/>
        <item x="163"/>
        <item x="899"/>
        <item x="747"/>
        <item x="494"/>
        <item x="979"/>
        <item x="567"/>
        <item x="310"/>
        <item x="905"/>
        <item x="665"/>
        <item x="645"/>
        <item x="85"/>
        <item x="740"/>
        <item x="643"/>
        <item x="361"/>
        <item x="122"/>
        <item x="243"/>
        <item x="200"/>
        <item x="653"/>
        <item x="640"/>
        <item x="390"/>
        <item x="802"/>
        <item x="923"/>
        <item x="147"/>
        <item x="129"/>
        <item x="354"/>
        <item x="687"/>
        <item x="103"/>
        <item x="784"/>
        <item x="573"/>
        <item x="159"/>
        <item x="649"/>
        <item x="528"/>
        <item x="971"/>
        <item x="764"/>
        <item x="320"/>
        <item x="151"/>
        <item x="478"/>
        <item x="286"/>
        <item x="232"/>
        <item x="100"/>
        <item x="53"/>
        <item x="565"/>
        <item x="355"/>
        <item x="944"/>
        <item x="165"/>
        <item x="305"/>
        <item x="749"/>
        <item x="65"/>
        <item x="845"/>
        <item x="108"/>
        <item x="442"/>
        <item x="737"/>
        <item x="858"/>
        <item x="402"/>
        <item x="247"/>
        <item x="607"/>
        <item x="239"/>
        <item x="651"/>
        <item x="676"/>
        <item x="744"/>
        <item x="37"/>
        <item x="166"/>
        <item x="708"/>
        <item x="86"/>
        <item x="768"/>
        <item x="530"/>
        <item x="333"/>
        <item x="780"/>
        <item x="808"/>
        <item x="848"/>
        <item x="590"/>
        <item x="325"/>
        <item x="943"/>
        <item x="916"/>
        <item x="883"/>
        <item x="939"/>
        <item x="21"/>
        <item x="464"/>
        <item x="555"/>
        <item x="187"/>
        <item x="934"/>
        <item x="922"/>
        <item x="371"/>
        <item x="662"/>
        <item x="80"/>
        <item x="171"/>
        <item x="726"/>
        <item x="452"/>
        <item x="552"/>
        <item x="909"/>
        <item x="547"/>
        <item x="0"/>
        <item x="777"/>
        <item x="182"/>
        <item x="302"/>
        <item x="661"/>
        <item x="711"/>
        <item x="791"/>
        <item x="156"/>
        <item x="76"/>
        <item x="507"/>
        <item x="840"/>
        <item x="231"/>
        <item x="124"/>
        <item x="46"/>
        <item x="987"/>
        <item x="370"/>
        <item x="828"/>
        <item x="981"/>
        <item x="428"/>
        <item x="211"/>
        <item x="730"/>
        <item x="919"/>
        <item x="238"/>
        <item x="54"/>
        <item x="564"/>
        <item x="892"/>
        <item x="278"/>
        <item x="686"/>
        <item x="591"/>
        <item x="980"/>
        <item x="282"/>
        <item x="337"/>
        <item x="438"/>
        <item x="242"/>
        <item x="265"/>
        <item x="948"/>
        <item x="127"/>
        <item x="959"/>
        <item x="135"/>
        <item x="514"/>
        <item x="532"/>
        <item x="616"/>
        <item x="853"/>
        <item x="179"/>
        <item x="527"/>
        <item x="926"/>
        <item x="365"/>
        <item x="655"/>
        <item x="482"/>
        <item x="660"/>
        <item x="818"/>
        <item x="177"/>
        <item x="838"/>
        <item x="949"/>
        <item x="863"/>
        <item x="90"/>
        <item x="966"/>
        <item x="952"/>
        <item x="790"/>
        <item x="903"/>
        <item x="327"/>
        <item x="917"/>
        <item x="216"/>
        <item x="260"/>
        <item x="627"/>
        <item x="516"/>
        <item x="720"/>
        <item x="297"/>
        <item x="912"/>
        <item x="441"/>
        <item x="529"/>
        <item x="13"/>
        <item x="164"/>
        <item x="414"/>
        <item x="813"/>
        <item x="234"/>
        <item x="396"/>
        <item x="570"/>
        <item x="982"/>
        <item x="319"/>
        <item x="566"/>
        <item x="867"/>
        <item x="704"/>
        <item x="9"/>
        <item x="376"/>
        <item x="364"/>
        <item x="280"/>
        <item x="545"/>
        <item x="106"/>
        <item x="16"/>
        <item x="846"/>
        <item x="261"/>
        <item x="604"/>
        <item x="440"/>
        <item x="950"/>
        <item x="223"/>
        <item x="792"/>
        <item x="800"/>
        <item x="789"/>
        <item x="167"/>
        <item x="709"/>
        <item x="688"/>
        <item x="990"/>
        <item x="113"/>
        <item x="14"/>
        <item x="641"/>
        <item x="422"/>
        <item x="419"/>
        <item x="228"/>
        <item x="307"/>
        <item x="399"/>
        <item x="170"/>
        <item x="515"/>
        <item x="393"/>
        <item x="18"/>
        <item x="316"/>
        <item x="913"/>
        <item x="578"/>
        <item x="984"/>
        <item x="869"/>
        <item x="460"/>
        <item x="146"/>
        <item x="192"/>
        <item x="338"/>
        <item x="84"/>
        <item x="742"/>
        <item x="871"/>
        <item x="955"/>
        <item x="20"/>
        <item x="79"/>
        <item x="39"/>
        <item x="219"/>
        <item x="994"/>
        <item x="693"/>
        <item x="295"/>
        <item x="500"/>
        <item x="505"/>
        <item x="831"/>
        <item x="143"/>
        <item x="252"/>
        <item x="362"/>
        <item x="933"/>
        <item x="671"/>
        <item x="194"/>
        <item x="349"/>
        <item x="255"/>
        <item x="670"/>
        <item x="162"/>
        <item x="683"/>
        <item x="409"/>
        <item x="185"/>
        <item x="119"/>
        <item x="377"/>
        <item x="663"/>
        <item x="75"/>
        <item x="488"/>
        <item x="548"/>
        <item x="652"/>
        <item x="562"/>
        <item x="728"/>
        <item x="101"/>
        <item x="833"/>
        <item x="769"/>
        <item x="293"/>
        <item x="718"/>
        <item x="600"/>
        <item x="324"/>
        <item x="712"/>
        <item x="356"/>
        <item x="161"/>
        <item x="445"/>
        <item x="406"/>
        <item x="820"/>
        <item x="197"/>
        <item x="66"/>
        <item x="133"/>
        <item x="970"/>
        <item x="78"/>
        <item x="832"/>
        <item x="685"/>
        <item x="331"/>
        <item x="125"/>
        <item x="186"/>
        <item x="587"/>
        <item x="876"/>
        <item x="274"/>
        <item x="611"/>
        <item x="961"/>
        <item x="50"/>
        <item x="83"/>
        <item x="495"/>
        <item x="906"/>
        <item x="152"/>
        <item x="481"/>
        <item x="893"/>
        <item x="7"/>
        <item x="786"/>
        <item x="827"/>
        <item x="557"/>
        <item x="368"/>
        <item x="861"/>
        <item x="273"/>
        <item x="449"/>
        <item x="19"/>
        <item x="546"/>
        <item x="701"/>
        <item x="847"/>
        <item x="49"/>
        <item x="721"/>
        <item x="168"/>
        <item x="483"/>
        <item x="654"/>
        <item x="624"/>
        <item x="43"/>
        <item x="470"/>
        <item x="245"/>
        <item x="3"/>
        <item x="306"/>
        <item x="689"/>
        <item x="582"/>
        <item x="110"/>
        <item x="870"/>
        <item x="2"/>
        <item x="184"/>
        <item x="114"/>
        <item x="351"/>
        <item x="549"/>
        <item x="391"/>
        <item x="207"/>
        <item x="405"/>
        <item x="580"/>
        <item x="603"/>
        <item x="36"/>
        <item x="466"/>
        <item x="938"/>
        <item x="224"/>
        <item x="244"/>
        <item x="650"/>
        <item x="526"/>
        <item x="204"/>
        <item x="706"/>
        <item x="385"/>
        <item x="717"/>
        <item x="622"/>
        <item x="599"/>
        <item x="925"/>
        <item x="657"/>
        <item x="41"/>
        <item x="602"/>
        <item x="74"/>
        <item x="785"/>
        <item x="928"/>
        <item x="117"/>
        <item x="201"/>
        <item x="978"/>
        <item x="679"/>
        <item x="963"/>
        <item x="490"/>
        <item x="169"/>
        <item x="68"/>
        <item x="44"/>
        <item x="88"/>
        <item x="713"/>
        <item x="427"/>
        <item x="404"/>
        <item x="330"/>
        <item x="782"/>
        <item x="425"/>
        <item x="636"/>
        <item x="434"/>
        <item x="619"/>
        <item x="291"/>
        <item x="181"/>
        <item x="137"/>
        <item x="312"/>
        <item x="568"/>
        <item x="501"/>
        <item x="889"/>
        <item x="150"/>
        <item x="986"/>
        <item f="1" x="996"/>
        <item f="1" x="997"/>
        <item f="1" x="998"/>
        <item f="1" x="999"/>
        <item f="1" x="1000"/>
        <item t="default"/>
      </items>
    </pivotField>
    <pivotField showAll="0"/>
    <pivotField showAll="0"/>
    <pivotField showAll="0">
      <items count="4">
        <item x="2"/>
        <item x="1"/>
        <item x="0"/>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FCEC246-16BD-4F8B-8740-A9F221EF1FD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9:L22" firstHeaderRow="1" firstDataRow="1" firstDataCol="1"/>
  <pivotFields count="14">
    <pivotField dataField="1" showAll="0"/>
    <pivotField showAll="0"/>
    <pivotField showAll="0">
      <items count="8">
        <item x="3"/>
        <item x="4"/>
        <item x="1"/>
        <item x="5"/>
        <item x="0"/>
        <item x="6"/>
        <item x="2"/>
        <item t="default"/>
      </items>
    </pivotField>
    <pivotField showAll="0">
      <items count="5">
        <item x="3"/>
        <item x="2"/>
        <item x="0"/>
        <item x="1"/>
        <item t="default"/>
      </items>
    </pivotField>
    <pivotField axis="axisRow" showAll="0">
      <items count="3">
        <item x="0"/>
        <item x="1"/>
        <item t="default"/>
      </items>
    </pivotField>
    <pivotField showAll="0"/>
    <pivotField showAll="0"/>
    <pivotField numFmtId="22" showAll="0"/>
    <pivotField showAll="0">
      <items count="1002">
        <item x="757"/>
        <item x="758"/>
        <item x="804"/>
        <item x="94"/>
        <item x="763"/>
        <item x="776"/>
        <item x="116"/>
        <item x="896"/>
        <item x="807"/>
        <item x="92"/>
        <item x="829"/>
        <item x="751"/>
        <item x="328"/>
        <item x="435"/>
        <item x="707"/>
        <item x="401"/>
        <item x="270"/>
        <item x="468"/>
        <item x="203"/>
        <item x="837"/>
        <item x="583"/>
        <item x="659"/>
        <item x="646"/>
        <item x="623"/>
        <item x="874"/>
        <item x="878"/>
        <item x="773"/>
        <item x="664"/>
        <item x="363"/>
        <item x="882"/>
        <item x="215"/>
        <item x="233"/>
        <item x="574"/>
        <item x="991"/>
        <item x="347"/>
        <item x="993"/>
        <item x="881"/>
        <item x="739"/>
        <item x="579"/>
        <item x="40"/>
        <item x="842"/>
        <item x="367"/>
        <item x="560"/>
        <item x="199"/>
        <item x="691"/>
        <item x="610"/>
        <item x="279"/>
        <item x="183"/>
        <item x="457"/>
        <item x="97"/>
        <item x="658"/>
        <item x="157"/>
        <item x="264"/>
        <item x="258"/>
        <item x="208"/>
        <item x="89"/>
        <item x="509"/>
        <item x="584"/>
        <item x="517"/>
        <item x="99"/>
        <item x="386"/>
        <item x="230"/>
        <item x="360"/>
        <item x="957"/>
        <item x="554"/>
        <item x="937"/>
        <item x="681"/>
        <item x="525"/>
        <item x="158"/>
        <item x="593"/>
        <item x="504"/>
        <item x="149"/>
        <item x="437"/>
        <item x="8"/>
        <item x="851"/>
        <item x="962"/>
        <item x="783"/>
        <item x="329"/>
        <item x="834"/>
        <item x="256"/>
        <item x="732"/>
        <item x="550"/>
        <item x="139"/>
        <item x="33"/>
        <item x="684"/>
        <item x="281"/>
        <item x="632"/>
        <item x="372"/>
        <item x="890"/>
        <item x="299"/>
        <item x="450"/>
        <item x="235"/>
        <item x="378"/>
        <item x="968"/>
        <item x="417"/>
        <item x="638"/>
        <item x="246"/>
        <item x="667"/>
        <item x="375"/>
        <item x="635"/>
        <item x="901"/>
        <item x="931"/>
        <item x="30"/>
        <item x="771"/>
        <item x="379"/>
        <item x="109"/>
        <item x="836"/>
        <item x="563"/>
        <item x="945"/>
        <item x="340"/>
        <item x="856"/>
        <item x="589"/>
        <item x="935"/>
        <item x="765"/>
        <item x="575"/>
        <item x="553"/>
        <item x="741"/>
        <item x="770"/>
        <item x="285"/>
        <item x="891"/>
        <item x="907"/>
        <item x="294"/>
        <item x="637"/>
        <item x="942"/>
        <item x="608"/>
        <item x="752"/>
        <item x="585"/>
        <item x="543"/>
        <item x="268"/>
        <item x="292"/>
        <item x="395"/>
        <item x="920"/>
        <item x="675"/>
        <item x="178"/>
        <item x="729"/>
        <item x="160"/>
        <item x="508"/>
        <item x="262"/>
        <item x="902"/>
        <item x="304"/>
        <item x="497"/>
        <item x="155"/>
        <item x="879"/>
        <item x="597"/>
        <item x="969"/>
        <item x="4"/>
        <item x="191"/>
        <item x="862"/>
        <item x="339"/>
        <item x="491"/>
        <item x="806"/>
        <item x="894"/>
        <item x="6"/>
        <item x="843"/>
        <item x="443"/>
        <item x="965"/>
        <item x="947"/>
        <item x="180"/>
        <item x="350"/>
        <item x="698"/>
        <item x="724"/>
        <item x="614"/>
        <item x="888"/>
        <item x="412"/>
        <item x="225"/>
        <item x="384"/>
        <item x="797"/>
        <item x="456"/>
        <item x="287"/>
        <item x="956"/>
        <item x="753"/>
        <item x="746"/>
        <item x="459"/>
        <item x="107"/>
        <item x="811"/>
        <item x="63"/>
        <item x="253"/>
        <item x="914"/>
        <item x="534"/>
        <item x="332"/>
        <item x="788"/>
        <item x="857"/>
        <item x="126"/>
        <item x="745"/>
        <item x="276"/>
        <item x="700"/>
        <item x="451"/>
        <item x="420"/>
        <item x="369"/>
        <item x="439"/>
        <item x="672"/>
        <item x="257"/>
        <item x="462"/>
        <item x="825"/>
        <item x="98"/>
        <item x="489"/>
        <item x="569"/>
        <item x="855"/>
        <item x="520"/>
        <item x="615"/>
        <item x="929"/>
        <item x="873"/>
        <item x="240"/>
        <item x="266"/>
        <item x="794"/>
        <item x="989"/>
        <item x="51"/>
        <item x="755"/>
        <item x="410"/>
        <item x="630"/>
        <item x="985"/>
        <item x="321"/>
        <item x="674"/>
        <item x="353"/>
        <item x="58"/>
        <item x="839"/>
        <item x="506"/>
        <item x="267"/>
        <item x="467"/>
        <item x="465"/>
        <item x="510"/>
        <item x="719"/>
        <item x="174"/>
        <item x="620"/>
        <item x="120"/>
        <item x="904"/>
        <item x="535"/>
        <item x="64"/>
        <item x="283"/>
        <item x="418"/>
        <item x="723"/>
        <item x="864"/>
        <item x="561"/>
        <item x="254"/>
        <item x="210"/>
        <item x="193"/>
        <item x="542"/>
        <item x="195"/>
        <item x="810"/>
        <item x="229"/>
        <item x="176"/>
        <item x="558"/>
        <item x="48"/>
        <item x="93"/>
        <item x="866"/>
        <item x="407"/>
        <item x="259"/>
        <item x="801"/>
        <item x="118"/>
        <item x="612"/>
        <item x="433"/>
        <item x="27"/>
        <item x="756"/>
        <item x="571"/>
        <item x="22"/>
        <item x="485"/>
        <item x="34"/>
        <item x="964"/>
        <item x="541"/>
        <item x="734"/>
        <item x="209"/>
        <item x="288"/>
        <item x="639"/>
        <item x="631"/>
        <item x="430"/>
        <item x="733"/>
        <item x="315"/>
        <item x="772"/>
        <item x="104"/>
        <item x="453"/>
        <item x="226"/>
        <item x="471"/>
        <item x="173"/>
        <item x="572"/>
        <item x="237"/>
        <item x="781"/>
        <item x="446"/>
        <item x="474"/>
        <item x="908"/>
        <item x="220"/>
        <item x="841"/>
        <item x="322"/>
        <item x="189"/>
        <item x="206"/>
        <item x="897"/>
        <item x="5"/>
        <item x="61"/>
        <item x="536"/>
        <item x="341"/>
        <item x="577"/>
        <item x="17"/>
        <item x="796"/>
        <item x="581"/>
        <item x="628"/>
        <item x="761"/>
        <item x="123"/>
        <item x="815"/>
        <item x="767"/>
        <item x="716"/>
        <item x="850"/>
        <item x="59"/>
        <item x="694"/>
        <item x="303"/>
        <item x="408"/>
        <item x="609"/>
        <item x="634"/>
        <item x="403"/>
        <item x="677"/>
        <item x="714"/>
        <item x="875"/>
        <item x="424"/>
        <item x="128"/>
        <item x="673"/>
        <item x="1"/>
        <item x="387"/>
        <item x="540"/>
        <item x="702"/>
        <item x="725"/>
        <item x="798"/>
        <item x="544"/>
        <item x="196"/>
        <item x="642"/>
        <item x="198"/>
        <item x="426"/>
        <item x="666"/>
        <item x="816"/>
        <item x="323"/>
        <item x="812"/>
        <item x="188"/>
        <item x="352"/>
        <item x="865"/>
        <item x="31"/>
        <item x="136"/>
        <item x="411"/>
        <item x="621"/>
        <item x="423"/>
        <item x="951"/>
        <item x="822"/>
        <item x="977"/>
        <item x="960"/>
        <item x="606"/>
        <item x="248"/>
        <item x="814"/>
        <item x="311"/>
        <item x="45"/>
        <item x="348"/>
        <item x="601"/>
        <item x="918"/>
        <item x="138"/>
        <item x="222"/>
        <item x="343"/>
        <item x="480"/>
        <item x="140"/>
        <item x="787"/>
        <item x="62"/>
        <item x="335"/>
        <item x="499"/>
        <item x="154"/>
        <item x="397"/>
        <item x="824"/>
        <item x="56"/>
        <item x="778"/>
        <item x="218"/>
        <item x="277"/>
        <item x="511"/>
        <item x="382"/>
        <item x="715"/>
        <item x="887"/>
        <item x="334"/>
        <item x="436"/>
        <item x="988"/>
        <item x="308"/>
        <item x="134"/>
        <item x="213"/>
        <item x="389"/>
        <item x="710"/>
        <item x="346"/>
        <item x="594"/>
        <item x="52"/>
        <item x="821"/>
        <item x="251"/>
        <item x="309"/>
        <item x="47"/>
        <item x="60"/>
        <item x="284"/>
        <item x="314"/>
        <item x="743"/>
        <item x="692"/>
        <item x="175"/>
        <item x="263"/>
        <item x="682"/>
        <item x="592"/>
        <item x="455"/>
        <item x="115"/>
        <item x="298"/>
        <item x="625"/>
        <item x="383"/>
        <item x="880"/>
        <item x="250"/>
        <item x="974"/>
        <item x="849"/>
        <item x="519"/>
        <item x="205"/>
        <item x="461"/>
        <item x="859"/>
        <item x="518"/>
        <item x="946"/>
        <item x="55"/>
        <item x="727"/>
        <item x="398"/>
        <item x="793"/>
        <item x="503"/>
        <item x="77"/>
        <item x="388"/>
        <item x="983"/>
        <item x="145"/>
        <item x="736"/>
        <item x="496"/>
        <item x="217"/>
        <item x="447"/>
        <item x="432"/>
        <item x="429"/>
        <item x="28"/>
        <item x="872"/>
        <item x="884"/>
        <item x="533"/>
        <item x="416"/>
        <item x="72"/>
        <item x="695"/>
        <item x="512"/>
        <item x="448"/>
        <item x="551"/>
        <item x="345"/>
        <item x="647"/>
        <item x="932"/>
        <item x="374"/>
        <item x="344"/>
        <item x="484"/>
        <item x="860"/>
        <item x="10"/>
        <item x="469"/>
        <item x="227"/>
        <item x="111"/>
        <item x="854"/>
        <item x="413"/>
        <item x="697"/>
        <item x="476"/>
        <item x="102"/>
        <item x="809"/>
        <item x="588"/>
        <item x="26"/>
        <item x="73"/>
        <item x="269"/>
        <item x="596"/>
        <item x="400"/>
        <item x="775"/>
        <item x="342"/>
        <item x="69"/>
        <item x="633"/>
        <item x="885"/>
        <item x="722"/>
        <item x="148"/>
        <item x="81"/>
        <item x="754"/>
        <item x="202"/>
        <item x="473"/>
        <item x="705"/>
        <item x="830"/>
        <item x="23"/>
        <item x="958"/>
        <item x="613"/>
        <item x="502"/>
        <item x="936"/>
        <item x="82"/>
        <item x="975"/>
        <item x="521"/>
        <item x="132"/>
        <item x="105"/>
        <item x="760"/>
        <item x="15"/>
        <item x="444"/>
        <item x="431"/>
        <item x="617"/>
        <item x="121"/>
        <item x="629"/>
        <item x="144"/>
        <item x="71"/>
        <item x="605"/>
        <item x="995"/>
        <item x="271"/>
        <item x="941"/>
        <item x="153"/>
        <item x="618"/>
        <item x="817"/>
        <item x="336"/>
        <item x="762"/>
        <item x="537"/>
        <item x="11"/>
        <item x="595"/>
        <item x="967"/>
        <item x="96"/>
        <item x="910"/>
        <item x="373"/>
        <item x="380"/>
        <item x="498"/>
        <item x="142"/>
        <item x="524"/>
        <item x="38"/>
        <item x="57"/>
        <item x="326"/>
        <item x="648"/>
        <item x="42"/>
        <item x="731"/>
        <item x="394"/>
        <item x="750"/>
        <item x="95"/>
        <item x="236"/>
        <item x="656"/>
        <item x="313"/>
        <item x="576"/>
        <item x="523"/>
        <item x="992"/>
        <item x="953"/>
        <item x="190"/>
        <item x="275"/>
        <item x="32"/>
        <item x="141"/>
        <item x="130"/>
        <item x="300"/>
        <item x="696"/>
        <item x="779"/>
        <item x="212"/>
        <item x="477"/>
        <item x="290"/>
        <item x="358"/>
        <item x="415"/>
        <item x="487"/>
        <item x="112"/>
        <item x="301"/>
        <item x="91"/>
        <item x="795"/>
        <item x="680"/>
        <item x="930"/>
        <item x="972"/>
        <item x="803"/>
        <item x="826"/>
        <item x="513"/>
        <item x="522"/>
        <item x="241"/>
        <item x="87"/>
        <item x="915"/>
        <item x="678"/>
        <item x="454"/>
        <item x="556"/>
        <item x="463"/>
        <item x="317"/>
        <item x="940"/>
        <item x="759"/>
        <item x="819"/>
        <item x="25"/>
        <item x="644"/>
        <item x="927"/>
        <item x="296"/>
        <item x="221"/>
        <item x="559"/>
        <item x="735"/>
        <item x="29"/>
        <item x="35"/>
        <item x="973"/>
        <item x="823"/>
        <item x="289"/>
        <item x="852"/>
        <item x="214"/>
        <item x="924"/>
        <item x="458"/>
        <item x="911"/>
        <item x="774"/>
        <item x="626"/>
        <item x="844"/>
        <item x="668"/>
        <item x="766"/>
        <item x="421"/>
        <item x="359"/>
        <item x="531"/>
        <item x="472"/>
        <item x="539"/>
        <item x="748"/>
        <item x="392"/>
        <item x="703"/>
        <item x="699"/>
        <item x="877"/>
        <item x="24"/>
        <item x="738"/>
        <item x="70"/>
        <item x="598"/>
        <item x="690"/>
        <item x="486"/>
        <item x="272"/>
        <item x="895"/>
        <item x="868"/>
        <item x="357"/>
        <item x="921"/>
        <item x="886"/>
        <item x="12"/>
        <item x="172"/>
        <item x="475"/>
        <item x="669"/>
        <item x="835"/>
        <item x="131"/>
        <item x="366"/>
        <item x="538"/>
        <item x="898"/>
        <item x="976"/>
        <item x="492"/>
        <item x="805"/>
        <item x="249"/>
        <item x="493"/>
        <item x="586"/>
        <item x="67"/>
        <item x="479"/>
        <item x="954"/>
        <item x="799"/>
        <item x="318"/>
        <item x="900"/>
        <item x="381"/>
        <item x="163"/>
        <item x="899"/>
        <item x="747"/>
        <item x="494"/>
        <item x="979"/>
        <item x="567"/>
        <item x="310"/>
        <item x="905"/>
        <item x="665"/>
        <item x="645"/>
        <item x="85"/>
        <item x="740"/>
        <item x="643"/>
        <item x="361"/>
        <item x="122"/>
        <item x="243"/>
        <item x="200"/>
        <item x="653"/>
        <item x="640"/>
        <item x="390"/>
        <item x="802"/>
        <item x="923"/>
        <item x="147"/>
        <item x="129"/>
        <item x="354"/>
        <item x="687"/>
        <item x="103"/>
        <item x="784"/>
        <item x="573"/>
        <item x="159"/>
        <item x="649"/>
        <item x="528"/>
        <item x="971"/>
        <item x="764"/>
        <item x="320"/>
        <item x="151"/>
        <item x="478"/>
        <item x="286"/>
        <item x="232"/>
        <item x="100"/>
        <item x="53"/>
        <item x="565"/>
        <item x="355"/>
        <item x="944"/>
        <item x="165"/>
        <item x="305"/>
        <item x="749"/>
        <item x="65"/>
        <item x="845"/>
        <item x="108"/>
        <item x="442"/>
        <item x="737"/>
        <item x="858"/>
        <item x="402"/>
        <item x="247"/>
        <item x="607"/>
        <item x="239"/>
        <item x="651"/>
        <item x="676"/>
        <item x="744"/>
        <item x="37"/>
        <item x="166"/>
        <item x="708"/>
        <item x="86"/>
        <item x="768"/>
        <item x="530"/>
        <item x="333"/>
        <item x="780"/>
        <item x="808"/>
        <item x="848"/>
        <item x="590"/>
        <item x="325"/>
        <item x="943"/>
        <item x="916"/>
        <item x="883"/>
        <item x="939"/>
        <item x="21"/>
        <item x="464"/>
        <item x="555"/>
        <item x="187"/>
        <item x="934"/>
        <item x="922"/>
        <item x="371"/>
        <item x="662"/>
        <item x="80"/>
        <item x="171"/>
        <item x="726"/>
        <item x="452"/>
        <item x="552"/>
        <item x="909"/>
        <item x="547"/>
        <item x="0"/>
        <item x="777"/>
        <item x="182"/>
        <item x="302"/>
        <item x="661"/>
        <item x="711"/>
        <item x="791"/>
        <item x="156"/>
        <item x="76"/>
        <item x="507"/>
        <item x="840"/>
        <item x="231"/>
        <item x="124"/>
        <item x="46"/>
        <item x="987"/>
        <item x="370"/>
        <item x="828"/>
        <item x="981"/>
        <item x="428"/>
        <item x="211"/>
        <item x="730"/>
        <item x="919"/>
        <item x="238"/>
        <item x="54"/>
        <item x="564"/>
        <item x="892"/>
        <item x="278"/>
        <item x="686"/>
        <item x="591"/>
        <item x="980"/>
        <item x="282"/>
        <item x="337"/>
        <item x="438"/>
        <item x="242"/>
        <item x="265"/>
        <item x="948"/>
        <item x="127"/>
        <item x="959"/>
        <item x="135"/>
        <item x="514"/>
        <item x="532"/>
        <item x="616"/>
        <item x="853"/>
        <item x="179"/>
        <item x="527"/>
        <item x="926"/>
        <item x="365"/>
        <item x="655"/>
        <item x="482"/>
        <item x="660"/>
        <item x="818"/>
        <item x="177"/>
        <item x="838"/>
        <item x="949"/>
        <item x="863"/>
        <item x="90"/>
        <item x="966"/>
        <item x="952"/>
        <item x="790"/>
        <item x="903"/>
        <item x="327"/>
        <item x="917"/>
        <item x="216"/>
        <item x="260"/>
        <item x="627"/>
        <item x="516"/>
        <item x="720"/>
        <item x="297"/>
        <item x="912"/>
        <item x="441"/>
        <item x="529"/>
        <item x="13"/>
        <item x="164"/>
        <item x="414"/>
        <item x="813"/>
        <item x="234"/>
        <item x="396"/>
        <item x="570"/>
        <item x="982"/>
        <item x="319"/>
        <item x="566"/>
        <item x="867"/>
        <item x="704"/>
        <item x="9"/>
        <item x="376"/>
        <item x="364"/>
        <item x="280"/>
        <item x="545"/>
        <item x="106"/>
        <item x="16"/>
        <item x="846"/>
        <item x="261"/>
        <item x="604"/>
        <item x="440"/>
        <item x="950"/>
        <item x="223"/>
        <item x="792"/>
        <item x="800"/>
        <item x="789"/>
        <item x="167"/>
        <item x="709"/>
        <item x="688"/>
        <item x="990"/>
        <item x="113"/>
        <item x="14"/>
        <item x="641"/>
        <item x="422"/>
        <item x="419"/>
        <item x="228"/>
        <item x="307"/>
        <item x="399"/>
        <item x="170"/>
        <item x="515"/>
        <item x="393"/>
        <item x="18"/>
        <item x="316"/>
        <item x="913"/>
        <item x="578"/>
        <item x="984"/>
        <item x="869"/>
        <item x="460"/>
        <item x="146"/>
        <item x="192"/>
        <item x="338"/>
        <item x="84"/>
        <item x="742"/>
        <item x="871"/>
        <item x="955"/>
        <item x="20"/>
        <item x="79"/>
        <item x="39"/>
        <item x="219"/>
        <item x="994"/>
        <item x="693"/>
        <item x="295"/>
        <item x="500"/>
        <item x="505"/>
        <item x="831"/>
        <item x="143"/>
        <item x="252"/>
        <item x="362"/>
        <item x="933"/>
        <item x="671"/>
        <item x="194"/>
        <item x="349"/>
        <item x="255"/>
        <item x="670"/>
        <item x="162"/>
        <item x="683"/>
        <item x="409"/>
        <item x="185"/>
        <item x="119"/>
        <item x="377"/>
        <item x="663"/>
        <item x="75"/>
        <item x="488"/>
        <item x="548"/>
        <item x="652"/>
        <item x="562"/>
        <item x="728"/>
        <item x="101"/>
        <item x="833"/>
        <item x="769"/>
        <item x="293"/>
        <item x="718"/>
        <item x="600"/>
        <item x="324"/>
        <item x="712"/>
        <item x="356"/>
        <item x="161"/>
        <item x="445"/>
        <item x="406"/>
        <item x="820"/>
        <item x="197"/>
        <item x="66"/>
        <item x="133"/>
        <item x="970"/>
        <item x="78"/>
        <item x="832"/>
        <item x="685"/>
        <item x="331"/>
        <item x="125"/>
        <item x="186"/>
        <item x="587"/>
        <item x="876"/>
        <item x="274"/>
        <item x="611"/>
        <item x="961"/>
        <item x="50"/>
        <item x="83"/>
        <item x="495"/>
        <item x="906"/>
        <item x="152"/>
        <item x="481"/>
        <item x="893"/>
        <item x="7"/>
        <item x="786"/>
        <item x="827"/>
        <item x="557"/>
        <item x="368"/>
        <item x="861"/>
        <item x="273"/>
        <item x="449"/>
        <item x="19"/>
        <item x="546"/>
        <item x="701"/>
        <item x="847"/>
        <item x="49"/>
        <item x="721"/>
        <item x="168"/>
        <item x="483"/>
        <item x="654"/>
        <item x="624"/>
        <item x="43"/>
        <item x="470"/>
        <item x="245"/>
        <item x="3"/>
        <item x="306"/>
        <item x="689"/>
        <item x="582"/>
        <item x="110"/>
        <item x="870"/>
        <item x="2"/>
        <item x="184"/>
        <item x="114"/>
        <item x="351"/>
        <item x="549"/>
        <item x="391"/>
        <item x="207"/>
        <item x="405"/>
        <item x="580"/>
        <item x="603"/>
        <item x="36"/>
        <item x="466"/>
        <item x="938"/>
        <item x="224"/>
        <item x="244"/>
        <item x="650"/>
        <item x="526"/>
        <item x="204"/>
        <item x="706"/>
        <item x="385"/>
        <item x="717"/>
        <item x="622"/>
        <item x="599"/>
        <item x="925"/>
        <item x="657"/>
        <item x="41"/>
        <item x="602"/>
        <item x="74"/>
        <item x="785"/>
        <item x="928"/>
        <item x="117"/>
        <item x="201"/>
        <item x="978"/>
        <item x="679"/>
        <item x="963"/>
        <item x="490"/>
        <item x="169"/>
        <item x="68"/>
        <item x="44"/>
        <item x="88"/>
        <item x="713"/>
        <item x="427"/>
        <item x="404"/>
        <item x="330"/>
        <item x="782"/>
        <item x="425"/>
        <item x="636"/>
        <item x="434"/>
        <item x="619"/>
        <item x="291"/>
        <item x="181"/>
        <item x="137"/>
        <item x="312"/>
        <item x="568"/>
        <item x="501"/>
        <item x="889"/>
        <item x="150"/>
        <item x="986"/>
        <item f="1" x="996"/>
        <item f="1" x="997"/>
        <item f="1" x="998"/>
        <item f="1" x="999"/>
        <item f="1" x="1000"/>
        <item t="default"/>
      </items>
    </pivotField>
    <pivotField showAll="0"/>
    <pivotField showAll="0"/>
    <pivotField showAll="0">
      <items count="4">
        <item x="2"/>
        <item x="1"/>
        <item x="0"/>
        <item t="default"/>
      </items>
    </pivotField>
    <pivotField showAll="0"/>
    <pivotField showAll="0"/>
  </pivotFields>
  <rowFields count="1">
    <field x="4"/>
  </rowFields>
  <rowItems count="3">
    <i>
      <x/>
    </i>
    <i>
      <x v="1"/>
    </i>
    <i t="grand">
      <x/>
    </i>
  </rowItems>
  <colItems count="1">
    <i/>
  </colItems>
  <dataFields count="1">
    <dataField name="Count of EMP ID.1"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37F99F1-EE30-423C-806E-96C2534B90B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9" firstHeaderRow="1" firstDataRow="1" firstDataCol="1"/>
  <pivotFields count="14">
    <pivotField showAll="0"/>
    <pivotField showAll="0"/>
    <pivotField axis="axisRow" showAll="0">
      <items count="8">
        <item x="3"/>
        <item x="4"/>
        <item x="1"/>
        <item x="5"/>
        <item x="0"/>
        <item x="6"/>
        <item x="2"/>
        <item t="default"/>
      </items>
    </pivotField>
    <pivotField showAll="0"/>
    <pivotField showAll="0">
      <items count="3">
        <item x="0"/>
        <item x="1"/>
        <item t="default"/>
      </items>
    </pivotField>
    <pivotField showAll="0"/>
    <pivotField showAll="0"/>
    <pivotField numFmtId="22" showAll="0"/>
    <pivotField showAll="0">
      <items count="1002">
        <item x="757"/>
        <item x="758"/>
        <item x="804"/>
        <item x="94"/>
        <item x="763"/>
        <item x="776"/>
        <item x="116"/>
        <item x="896"/>
        <item x="807"/>
        <item x="92"/>
        <item x="829"/>
        <item x="751"/>
        <item x="328"/>
        <item x="435"/>
        <item x="707"/>
        <item x="401"/>
        <item x="270"/>
        <item x="468"/>
        <item x="203"/>
        <item x="837"/>
        <item x="583"/>
        <item x="659"/>
        <item x="646"/>
        <item x="623"/>
        <item x="874"/>
        <item x="878"/>
        <item x="773"/>
        <item x="664"/>
        <item x="363"/>
        <item x="882"/>
        <item x="215"/>
        <item x="233"/>
        <item x="574"/>
        <item x="991"/>
        <item x="347"/>
        <item x="993"/>
        <item x="881"/>
        <item x="739"/>
        <item x="579"/>
        <item x="40"/>
        <item x="842"/>
        <item x="367"/>
        <item x="560"/>
        <item x="199"/>
        <item x="691"/>
        <item x="610"/>
        <item x="279"/>
        <item x="183"/>
        <item x="457"/>
        <item x="97"/>
        <item x="658"/>
        <item x="157"/>
        <item x="264"/>
        <item x="258"/>
        <item x="208"/>
        <item x="89"/>
        <item x="509"/>
        <item x="584"/>
        <item x="517"/>
        <item x="99"/>
        <item x="386"/>
        <item x="230"/>
        <item x="360"/>
        <item x="957"/>
        <item x="554"/>
        <item x="937"/>
        <item x="681"/>
        <item x="525"/>
        <item x="158"/>
        <item x="593"/>
        <item x="504"/>
        <item x="149"/>
        <item x="437"/>
        <item x="8"/>
        <item x="851"/>
        <item x="962"/>
        <item x="783"/>
        <item x="329"/>
        <item x="834"/>
        <item x="256"/>
        <item x="732"/>
        <item x="550"/>
        <item x="139"/>
        <item x="33"/>
        <item x="684"/>
        <item x="281"/>
        <item x="632"/>
        <item x="372"/>
        <item x="890"/>
        <item x="299"/>
        <item x="450"/>
        <item x="235"/>
        <item x="378"/>
        <item x="968"/>
        <item x="417"/>
        <item x="638"/>
        <item x="246"/>
        <item x="667"/>
        <item x="375"/>
        <item x="635"/>
        <item x="901"/>
        <item x="931"/>
        <item x="30"/>
        <item x="771"/>
        <item x="379"/>
        <item x="109"/>
        <item x="836"/>
        <item x="563"/>
        <item x="945"/>
        <item x="340"/>
        <item x="856"/>
        <item x="589"/>
        <item x="935"/>
        <item x="765"/>
        <item x="575"/>
        <item x="553"/>
        <item x="741"/>
        <item x="770"/>
        <item x="285"/>
        <item x="891"/>
        <item x="907"/>
        <item x="294"/>
        <item x="637"/>
        <item x="942"/>
        <item x="608"/>
        <item x="752"/>
        <item x="585"/>
        <item x="543"/>
        <item x="268"/>
        <item x="292"/>
        <item x="395"/>
        <item x="920"/>
        <item x="675"/>
        <item x="178"/>
        <item x="729"/>
        <item x="160"/>
        <item x="508"/>
        <item x="262"/>
        <item x="902"/>
        <item x="304"/>
        <item x="497"/>
        <item x="155"/>
        <item x="879"/>
        <item x="597"/>
        <item x="969"/>
        <item x="4"/>
        <item x="191"/>
        <item x="862"/>
        <item x="339"/>
        <item x="491"/>
        <item x="806"/>
        <item x="894"/>
        <item x="6"/>
        <item x="843"/>
        <item x="443"/>
        <item x="965"/>
        <item x="947"/>
        <item x="180"/>
        <item x="350"/>
        <item x="698"/>
        <item x="724"/>
        <item x="614"/>
        <item x="888"/>
        <item x="412"/>
        <item x="225"/>
        <item x="384"/>
        <item x="797"/>
        <item x="456"/>
        <item x="287"/>
        <item x="956"/>
        <item x="753"/>
        <item x="746"/>
        <item x="459"/>
        <item x="107"/>
        <item x="811"/>
        <item x="63"/>
        <item x="253"/>
        <item x="914"/>
        <item x="534"/>
        <item x="332"/>
        <item x="788"/>
        <item x="857"/>
        <item x="126"/>
        <item x="745"/>
        <item x="276"/>
        <item x="700"/>
        <item x="451"/>
        <item x="420"/>
        <item x="369"/>
        <item x="439"/>
        <item x="672"/>
        <item x="257"/>
        <item x="462"/>
        <item x="825"/>
        <item x="98"/>
        <item x="489"/>
        <item x="569"/>
        <item x="855"/>
        <item x="520"/>
        <item x="615"/>
        <item x="929"/>
        <item x="873"/>
        <item x="240"/>
        <item x="266"/>
        <item x="794"/>
        <item x="989"/>
        <item x="51"/>
        <item x="755"/>
        <item x="410"/>
        <item x="630"/>
        <item x="985"/>
        <item x="321"/>
        <item x="674"/>
        <item x="353"/>
        <item x="58"/>
        <item x="839"/>
        <item x="506"/>
        <item x="267"/>
        <item x="467"/>
        <item x="465"/>
        <item x="510"/>
        <item x="719"/>
        <item x="174"/>
        <item x="620"/>
        <item x="120"/>
        <item x="904"/>
        <item x="535"/>
        <item x="64"/>
        <item x="283"/>
        <item x="418"/>
        <item x="723"/>
        <item x="864"/>
        <item x="561"/>
        <item x="254"/>
        <item x="210"/>
        <item x="193"/>
        <item x="542"/>
        <item x="195"/>
        <item x="810"/>
        <item x="229"/>
        <item x="176"/>
        <item x="558"/>
        <item x="48"/>
        <item x="93"/>
        <item x="866"/>
        <item x="407"/>
        <item x="259"/>
        <item x="801"/>
        <item x="118"/>
        <item x="612"/>
        <item x="433"/>
        <item x="27"/>
        <item x="756"/>
        <item x="571"/>
        <item x="22"/>
        <item x="485"/>
        <item x="34"/>
        <item x="964"/>
        <item x="541"/>
        <item x="734"/>
        <item x="209"/>
        <item x="288"/>
        <item x="639"/>
        <item x="631"/>
        <item x="430"/>
        <item x="733"/>
        <item x="315"/>
        <item x="772"/>
        <item x="104"/>
        <item x="453"/>
        <item x="226"/>
        <item x="471"/>
        <item x="173"/>
        <item x="572"/>
        <item x="237"/>
        <item x="781"/>
        <item x="446"/>
        <item x="474"/>
        <item x="908"/>
        <item x="220"/>
        <item x="841"/>
        <item x="322"/>
        <item x="189"/>
        <item x="206"/>
        <item x="897"/>
        <item x="5"/>
        <item x="61"/>
        <item x="536"/>
        <item x="341"/>
        <item x="577"/>
        <item x="17"/>
        <item x="796"/>
        <item x="581"/>
        <item x="628"/>
        <item x="761"/>
        <item x="123"/>
        <item x="815"/>
        <item x="767"/>
        <item x="716"/>
        <item x="850"/>
        <item x="59"/>
        <item x="694"/>
        <item x="303"/>
        <item x="408"/>
        <item x="609"/>
        <item x="634"/>
        <item x="403"/>
        <item x="677"/>
        <item x="714"/>
        <item x="875"/>
        <item x="424"/>
        <item x="128"/>
        <item x="673"/>
        <item x="1"/>
        <item x="387"/>
        <item x="540"/>
        <item x="702"/>
        <item x="725"/>
        <item x="798"/>
        <item x="544"/>
        <item x="196"/>
        <item x="642"/>
        <item x="198"/>
        <item x="426"/>
        <item x="666"/>
        <item x="816"/>
        <item x="323"/>
        <item x="812"/>
        <item x="188"/>
        <item x="352"/>
        <item x="865"/>
        <item x="31"/>
        <item x="136"/>
        <item x="411"/>
        <item x="621"/>
        <item x="423"/>
        <item x="951"/>
        <item x="822"/>
        <item x="977"/>
        <item x="960"/>
        <item x="606"/>
        <item x="248"/>
        <item x="814"/>
        <item x="311"/>
        <item x="45"/>
        <item x="348"/>
        <item x="601"/>
        <item x="918"/>
        <item x="138"/>
        <item x="222"/>
        <item x="343"/>
        <item x="480"/>
        <item x="140"/>
        <item x="787"/>
        <item x="62"/>
        <item x="335"/>
        <item x="499"/>
        <item x="154"/>
        <item x="397"/>
        <item x="824"/>
        <item x="56"/>
        <item x="778"/>
        <item x="218"/>
        <item x="277"/>
        <item x="511"/>
        <item x="382"/>
        <item x="715"/>
        <item x="887"/>
        <item x="334"/>
        <item x="436"/>
        <item x="988"/>
        <item x="308"/>
        <item x="134"/>
        <item x="213"/>
        <item x="389"/>
        <item x="710"/>
        <item x="346"/>
        <item x="594"/>
        <item x="52"/>
        <item x="821"/>
        <item x="251"/>
        <item x="309"/>
        <item x="47"/>
        <item x="60"/>
        <item x="284"/>
        <item x="314"/>
        <item x="743"/>
        <item x="692"/>
        <item x="175"/>
        <item x="263"/>
        <item x="682"/>
        <item x="592"/>
        <item x="455"/>
        <item x="115"/>
        <item x="298"/>
        <item x="625"/>
        <item x="383"/>
        <item x="880"/>
        <item x="250"/>
        <item x="974"/>
        <item x="849"/>
        <item x="519"/>
        <item x="205"/>
        <item x="461"/>
        <item x="859"/>
        <item x="518"/>
        <item x="946"/>
        <item x="55"/>
        <item x="727"/>
        <item x="398"/>
        <item x="793"/>
        <item x="503"/>
        <item x="77"/>
        <item x="388"/>
        <item x="983"/>
        <item x="145"/>
        <item x="736"/>
        <item x="496"/>
        <item x="217"/>
        <item x="447"/>
        <item x="432"/>
        <item x="429"/>
        <item x="28"/>
        <item x="872"/>
        <item x="884"/>
        <item x="533"/>
        <item x="416"/>
        <item x="72"/>
        <item x="695"/>
        <item x="512"/>
        <item x="448"/>
        <item x="551"/>
        <item x="345"/>
        <item x="647"/>
        <item x="932"/>
        <item x="374"/>
        <item x="344"/>
        <item x="484"/>
        <item x="860"/>
        <item x="10"/>
        <item x="469"/>
        <item x="227"/>
        <item x="111"/>
        <item x="854"/>
        <item x="413"/>
        <item x="697"/>
        <item x="476"/>
        <item x="102"/>
        <item x="809"/>
        <item x="588"/>
        <item x="26"/>
        <item x="73"/>
        <item x="269"/>
        <item x="596"/>
        <item x="400"/>
        <item x="775"/>
        <item x="342"/>
        <item x="69"/>
        <item x="633"/>
        <item x="885"/>
        <item x="722"/>
        <item x="148"/>
        <item x="81"/>
        <item x="754"/>
        <item x="202"/>
        <item x="473"/>
        <item x="705"/>
        <item x="830"/>
        <item x="23"/>
        <item x="958"/>
        <item x="613"/>
        <item x="502"/>
        <item x="936"/>
        <item x="82"/>
        <item x="975"/>
        <item x="521"/>
        <item x="132"/>
        <item x="105"/>
        <item x="760"/>
        <item x="15"/>
        <item x="444"/>
        <item x="431"/>
        <item x="617"/>
        <item x="121"/>
        <item x="629"/>
        <item x="144"/>
        <item x="71"/>
        <item x="605"/>
        <item x="995"/>
        <item x="271"/>
        <item x="941"/>
        <item x="153"/>
        <item x="618"/>
        <item x="817"/>
        <item x="336"/>
        <item x="762"/>
        <item x="537"/>
        <item x="11"/>
        <item x="595"/>
        <item x="967"/>
        <item x="96"/>
        <item x="910"/>
        <item x="373"/>
        <item x="380"/>
        <item x="498"/>
        <item x="142"/>
        <item x="524"/>
        <item x="38"/>
        <item x="57"/>
        <item x="326"/>
        <item x="648"/>
        <item x="42"/>
        <item x="731"/>
        <item x="394"/>
        <item x="750"/>
        <item x="95"/>
        <item x="236"/>
        <item x="656"/>
        <item x="313"/>
        <item x="576"/>
        <item x="523"/>
        <item x="992"/>
        <item x="953"/>
        <item x="190"/>
        <item x="275"/>
        <item x="32"/>
        <item x="141"/>
        <item x="130"/>
        <item x="300"/>
        <item x="696"/>
        <item x="779"/>
        <item x="212"/>
        <item x="477"/>
        <item x="290"/>
        <item x="358"/>
        <item x="415"/>
        <item x="487"/>
        <item x="112"/>
        <item x="301"/>
        <item x="91"/>
        <item x="795"/>
        <item x="680"/>
        <item x="930"/>
        <item x="972"/>
        <item x="803"/>
        <item x="826"/>
        <item x="513"/>
        <item x="522"/>
        <item x="241"/>
        <item x="87"/>
        <item x="915"/>
        <item x="678"/>
        <item x="454"/>
        <item x="556"/>
        <item x="463"/>
        <item x="317"/>
        <item x="940"/>
        <item x="759"/>
        <item x="819"/>
        <item x="25"/>
        <item x="644"/>
        <item x="927"/>
        <item x="296"/>
        <item x="221"/>
        <item x="559"/>
        <item x="735"/>
        <item x="29"/>
        <item x="35"/>
        <item x="973"/>
        <item x="823"/>
        <item x="289"/>
        <item x="852"/>
        <item x="214"/>
        <item x="924"/>
        <item x="458"/>
        <item x="911"/>
        <item x="774"/>
        <item x="626"/>
        <item x="844"/>
        <item x="668"/>
        <item x="766"/>
        <item x="421"/>
        <item x="359"/>
        <item x="531"/>
        <item x="472"/>
        <item x="539"/>
        <item x="748"/>
        <item x="392"/>
        <item x="703"/>
        <item x="699"/>
        <item x="877"/>
        <item x="24"/>
        <item x="738"/>
        <item x="70"/>
        <item x="598"/>
        <item x="690"/>
        <item x="486"/>
        <item x="272"/>
        <item x="895"/>
        <item x="868"/>
        <item x="357"/>
        <item x="921"/>
        <item x="886"/>
        <item x="12"/>
        <item x="172"/>
        <item x="475"/>
        <item x="669"/>
        <item x="835"/>
        <item x="131"/>
        <item x="366"/>
        <item x="538"/>
        <item x="898"/>
        <item x="976"/>
        <item x="492"/>
        <item x="805"/>
        <item x="249"/>
        <item x="493"/>
        <item x="586"/>
        <item x="67"/>
        <item x="479"/>
        <item x="954"/>
        <item x="799"/>
        <item x="318"/>
        <item x="900"/>
        <item x="381"/>
        <item x="163"/>
        <item x="899"/>
        <item x="747"/>
        <item x="494"/>
        <item x="979"/>
        <item x="567"/>
        <item x="310"/>
        <item x="905"/>
        <item x="665"/>
        <item x="645"/>
        <item x="85"/>
        <item x="740"/>
        <item x="643"/>
        <item x="361"/>
        <item x="122"/>
        <item x="243"/>
        <item x="200"/>
        <item x="653"/>
        <item x="640"/>
        <item x="390"/>
        <item x="802"/>
        <item x="923"/>
        <item x="147"/>
        <item x="129"/>
        <item x="354"/>
        <item x="687"/>
        <item x="103"/>
        <item x="784"/>
        <item x="573"/>
        <item x="159"/>
        <item x="649"/>
        <item x="528"/>
        <item x="971"/>
        <item x="764"/>
        <item x="320"/>
        <item x="151"/>
        <item x="478"/>
        <item x="286"/>
        <item x="232"/>
        <item x="100"/>
        <item x="53"/>
        <item x="565"/>
        <item x="355"/>
        <item x="944"/>
        <item x="165"/>
        <item x="305"/>
        <item x="749"/>
        <item x="65"/>
        <item x="845"/>
        <item x="108"/>
        <item x="442"/>
        <item x="737"/>
        <item x="858"/>
        <item x="402"/>
        <item x="247"/>
        <item x="607"/>
        <item x="239"/>
        <item x="651"/>
        <item x="676"/>
        <item x="744"/>
        <item x="37"/>
        <item x="166"/>
        <item x="708"/>
        <item x="86"/>
        <item x="768"/>
        <item x="530"/>
        <item x="333"/>
        <item x="780"/>
        <item x="808"/>
        <item x="848"/>
        <item x="590"/>
        <item x="325"/>
        <item x="943"/>
        <item x="916"/>
        <item x="883"/>
        <item x="939"/>
        <item x="21"/>
        <item x="464"/>
        <item x="555"/>
        <item x="187"/>
        <item x="934"/>
        <item x="922"/>
        <item x="371"/>
        <item x="662"/>
        <item x="80"/>
        <item x="171"/>
        <item x="726"/>
        <item x="452"/>
        <item x="552"/>
        <item x="909"/>
        <item x="547"/>
        <item x="0"/>
        <item x="777"/>
        <item x="182"/>
        <item x="302"/>
        <item x="661"/>
        <item x="711"/>
        <item x="791"/>
        <item x="156"/>
        <item x="76"/>
        <item x="507"/>
        <item x="840"/>
        <item x="231"/>
        <item x="124"/>
        <item x="46"/>
        <item x="987"/>
        <item x="370"/>
        <item x="828"/>
        <item x="981"/>
        <item x="428"/>
        <item x="211"/>
        <item x="730"/>
        <item x="919"/>
        <item x="238"/>
        <item x="54"/>
        <item x="564"/>
        <item x="892"/>
        <item x="278"/>
        <item x="686"/>
        <item x="591"/>
        <item x="980"/>
        <item x="282"/>
        <item x="337"/>
        <item x="438"/>
        <item x="242"/>
        <item x="265"/>
        <item x="948"/>
        <item x="127"/>
        <item x="959"/>
        <item x="135"/>
        <item x="514"/>
        <item x="532"/>
        <item x="616"/>
        <item x="853"/>
        <item x="179"/>
        <item x="527"/>
        <item x="926"/>
        <item x="365"/>
        <item x="655"/>
        <item x="482"/>
        <item x="660"/>
        <item x="818"/>
        <item x="177"/>
        <item x="838"/>
        <item x="949"/>
        <item x="863"/>
        <item x="90"/>
        <item x="966"/>
        <item x="952"/>
        <item x="790"/>
        <item x="903"/>
        <item x="327"/>
        <item x="917"/>
        <item x="216"/>
        <item x="260"/>
        <item x="627"/>
        <item x="516"/>
        <item x="720"/>
        <item x="297"/>
        <item x="912"/>
        <item x="441"/>
        <item x="529"/>
        <item x="13"/>
        <item x="164"/>
        <item x="414"/>
        <item x="813"/>
        <item x="234"/>
        <item x="396"/>
        <item x="570"/>
        <item x="982"/>
        <item x="319"/>
        <item x="566"/>
        <item x="867"/>
        <item x="704"/>
        <item x="9"/>
        <item x="376"/>
        <item x="364"/>
        <item x="280"/>
        <item x="545"/>
        <item x="106"/>
        <item x="16"/>
        <item x="846"/>
        <item x="261"/>
        <item x="604"/>
        <item x="440"/>
        <item x="950"/>
        <item x="223"/>
        <item x="792"/>
        <item x="800"/>
        <item x="789"/>
        <item x="167"/>
        <item x="709"/>
        <item x="688"/>
        <item x="990"/>
        <item x="113"/>
        <item x="14"/>
        <item x="641"/>
        <item x="422"/>
        <item x="419"/>
        <item x="228"/>
        <item x="307"/>
        <item x="399"/>
        <item x="170"/>
        <item x="515"/>
        <item x="393"/>
        <item x="18"/>
        <item x="316"/>
        <item x="913"/>
        <item x="578"/>
        <item x="984"/>
        <item x="869"/>
        <item x="460"/>
        <item x="146"/>
        <item x="192"/>
        <item x="338"/>
        <item x="84"/>
        <item x="742"/>
        <item x="871"/>
        <item x="955"/>
        <item x="20"/>
        <item x="79"/>
        <item x="39"/>
        <item x="219"/>
        <item x="994"/>
        <item x="693"/>
        <item x="295"/>
        <item x="500"/>
        <item x="505"/>
        <item x="831"/>
        <item x="143"/>
        <item x="252"/>
        <item x="362"/>
        <item x="933"/>
        <item x="671"/>
        <item x="194"/>
        <item x="349"/>
        <item x="255"/>
        <item x="670"/>
        <item x="162"/>
        <item x="683"/>
        <item x="409"/>
        <item x="185"/>
        <item x="119"/>
        <item x="377"/>
        <item x="663"/>
        <item x="75"/>
        <item x="488"/>
        <item x="548"/>
        <item x="652"/>
        <item x="562"/>
        <item x="728"/>
        <item x="101"/>
        <item x="833"/>
        <item x="769"/>
        <item x="293"/>
        <item x="718"/>
        <item x="600"/>
        <item x="324"/>
        <item x="712"/>
        <item x="356"/>
        <item x="161"/>
        <item x="445"/>
        <item x="406"/>
        <item x="820"/>
        <item x="197"/>
        <item x="66"/>
        <item x="133"/>
        <item x="970"/>
        <item x="78"/>
        <item x="832"/>
        <item x="685"/>
        <item x="331"/>
        <item x="125"/>
        <item x="186"/>
        <item x="587"/>
        <item x="876"/>
        <item x="274"/>
        <item x="611"/>
        <item x="961"/>
        <item x="50"/>
        <item x="83"/>
        <item x="495"/>
        <item x="906"/>
        <item x="152"/>
        <item x="481"/>
        <item x="893"/>
        <item x="7"/>
        <item x="786"/>
        <item x="827"/>
        <item x="557"/>
        <item x="368"/>
        <item x="861"/>
        <item x="273"/>
        <item x="449"/>
        <item x="19"/>
        <item x="546"/>
        <item x="701"/>
        <item x="847"/>
        <item x="49"/>
        <item x="721"/>
        <item x="168"/>
        <item x="483"/>
        <item x="654"/>
        <item x="624"/>
        <item x="43"/>
        <item x="470"/>
        <item x="245"/>
        <item x="3"/>
        <item x="306"/>
        <item x="689"/>
        <item x="582"/>
        <item x="110"/>
        <item x="870"/>
        <item x="2"/>
        <item x="184"/>
        <item x="114"/>
        <item x="351"/>
        <item x="549"/>
        <item x="391"/>
        <item x="207"/>
        <item x="405"/>
        <item x="580"/>
        <item x="603"/>
        <item x="36"/>
        <item x="466"/>
        <item x="938"/>
        <item x="224"/>
        <item x="244"/>
        <item x="650"/>
        <item x="526"/>
        <item x="204"/>
        <item x="706"/>
        <item x="385"/>
        <item x="717"/>
        <item x="622"/>
        <item x="599"/>
        <item x="925"/>
        <item x="657"/>
        <item x="41"/>
        <item x="602"/>
        <item x="74"/>
        <item x="785"/>
        <item x="928"/>
        <item x="117"/>
        <item x="201"/>
        <item x="978"/>
        <item x="679"/>
        <item x="963"/>
        <item x="490"/>
        <item x="169"/>
        <item x="68"/>
        <item x="44"/>
        <item x="88"/>
        <item x="713"/>
        <item x="427"/>
        <item x="404"/>
        <item x="330"/>
        <item x="782"/>
        <item x="425"/>
        <item x="636"/>
        <item x="434"/>
        <item x="619"/>
        <item x="291"/>
        <item x="181"/>
        <item x="137"/>
        <item x="312"/>
        <item x="568"/>
        <item x="501"/>
        <item x="889"/>
        <item x="150"/>
        <item x="986"/>
        <item f="1" x="996"/>
        <item f="1" x="997"/>
        <item f="1" x="998"/>
        <item f="1" x="999"/>
        <item f="1" x="1000"/>
        <item t="default"/>
      </items>
    </pivotField>
    <pivotField showAll="0"/>
    <pivotField showAll="0"/>
    <pivotField showAll="0">
      <items count="4">
        <item x="2"/>
        <item x="1"/>
        <item x="0"/>
        <item t="default"/>
      </items>
    </pivotField>
    <pivotField showAll="0"/>
    <pivotField showAll="0"/>
  </pivotFields>
  <rowFields count="1">
    <field x="2"/>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CE678D5-E6E9-4A1E-907A-FC66D3806B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6" firstHeaderRow="1" firstDataRow="1" firstDataCol="1"/>
  <pivotFields count="14">
    <pivotField showAll="0"/>
    <pivotField showAll="0"/>
    <pivotField showAll="0">
      <items count="8">
        <item x="3"/>
        <item x="4"/>
        <item x="1"/>
        <item x="5"/>
        <item x="0"/>
        <item x="6"/>
        <item x="2"/>
        <item t="default"/>
      </items>
    </pivotField>
    <pivotField showAll="0">
      <items count="5">
        <item x="3"/>
        <item x="2"/>
        <item x="0"/>
        <item x="1"/>
        <item t="default"/>
      </items>
    </pivotField>
    <pivotField showAll="0">
      <items count="3">
        <item x="0"/>
        <item x="1"/>
        <item t="default"/>
      </items>
    </pivotField>
    <pivotField showAll="0"/>
    <pivotField showAll="0"/>
    <pivotField numFmtId="22" showAll="0"/>
    <pivotField showAll="0">
      <items count="1002">
        <item x="757"/>
        <item x="758"/>
        <item x="804"/>
        <item x="94"/>
        <item x="763"/>
        <item x="776"/>
        <item x="116"/>
        <item x="896"/>
        <item x="807"/>
        <item x="92"/>
        <item x="829"/>
        <item x="751"/>
        <item x="328"/>
        <item x="435"/>
        <item x="707"/>
        <item x="401"/>
        <item x="270"/>
        <item x="468"/>
        <item x="203"/>
        <item x="837"/>
        <item x="583"/>
        <item x="659"/>
        <item x="646"/>
        <item x="623"/>
        <item x="874"/>
        <item x="878"/>
        <item x="773"/>
        <item x="664"/>
        <item x="363"/>
        <item x="882"/>
        <item x="215"/>
        <item x="233"/>
        <item x="574"/>
        <item x="991"/>
        <item x="347"/>
        <item x="993"/>
        <item x="881"/>
        <item x="739"/>
        <item x="579"/>
        <item x="40"/>
        <item x="842"/>
        <item x="367"/>
        <item x="560"/>
        <item x="199"/>
        <item x="691"/>
        <item x="610"/>
        <item x="279"/>
        <item x="183"/>
        <item x="457"/>
        <item x="97"/>
        <item x="658"/>
        <item x="157"/>
        <item x="264"/>
        <item x="258"/>
        <item x="208"/>
        <item x="89"/>
        <item x="509"/>
        <item x="584"/>
        <item x="517"/>
        <item x="99"/>
        <item x="386"/>
        <item x="230"/>
        <item x="360"/>
        <item x="957"/>
        <item x="554"/>
        <item x="937"/>
        <item x="681"/>
        <item x="525"/>
        <item x="158"/>
        <item x="593"/>
        <item x="504"/>
        <item x="149"/>
        <item x="437"/>
        <item x="8"/>
        <item x="851"/>
        <item x="962"/>
        <item x="783"/>
        <item x="329"/>
        <item x="834"/>
        <item x="256"/>
        <item x="732"/>
        <item x="550"/>
        <item x="139"/>
        <item x="33"/>
        <item x="684"/>
        <item x="281"/>
        <item x="632"/>
        <item x="372"/>
        <item x="890"/>
        <item x="299"/>
        <item x="450"/>
        <item x="235"/>
        <item x="378"/>
        <item x="968"/>
        <item x="417"/>
        <item x="638"/>
        <item x="246"/>
        <item x="667"/>
        <item x="375"/>
        <item x="635"/>
        <item x="901"/>
        <item x="931"/>
        <item x="30"/>
        <item x="771"/>
        <item x="379"/>
        <item x="109"/>
        <item x="836"/>
        <item x="563"/>
        <item x="945"/>
        <item x="340"/>
        <item x="856"/>
        <item x="589"/>
        <item x="935"/>
        <item x="765"/>
        <item x="575"/>
        <item x="553"/>
        <item x="741"/>
        <item x="770"/>
        <item x="285"/>
        <item x="891"/>
        <item x="907"/>
        <item x="294"/>
        <item x="637"/>
        <item x="942"/>
        <item x="608"/>
        <item x="752"/>
        <item x="585"/>
        <item x="543"/>
        <item x="268"/>
        <item x="292"/>
        <item x="395"/>
        <item x="920"/>
        <item x="675"/>
        <item x="178"/>
        <item x="729"/>
        <item x="160"/>
        <item x="508"/>
        <item x="262"/>
        <item x="902"/>
        <item x="304"/>
        <item x="497"/>
        <item x="155"/>
        <item x="879"/>
        <item x="597"/>
        <item x="969"/>
        <item x="4"/>
        <item x="191"/>
        <item x="862"/>
        <item x="339"/>
        <item x="491"/>
        <item x="806"/>
        <item x="894"/>
        <item x="6"/>
        <item x="843"/>
        <item x="443"/>
        <item x="965"/>
        <item x="947"/>
        <item x="180"/>
        <item x="350"/>
        <item x="698"/>
        <item x="724"/>
        <item x="614"/>
        <item x="888"/>
        <item x="412"/>
        <item x="225"/>
        <item x="384"/>
        <item x="797"/>
        <item x="456"/>
        <item x="287"/>
        <item x="956"/>
        <item x="753"/>
        <item x="746"/>
        <item x="459"/>
        <item x="107"/>
        <item x="811"/>
        <item x="63"/>
        <item x="253"/>
        <item x="914"/>
        <item x="534"/>
        <item x="332"/>
        <item x="788"/>
        <item x="857"/>
        <item x="126"/>
        <item x="745"/>
        <item x="276"/>
        <item x="700"/>
        <item x="451"/>
        <item x="420"/>
        <item x="369"/>
        <item x="439"/>
        <item x="672"/>
        <item x="257"/>
        <item x="462"/>
        <item x="825"/>
        <item x="98"/>
        <item x="489"/>
        <item x="569"/>
        <item x="855"/>
        <item x="520"/>
        <item x="615"/>
        <item x="929"/>
        <item x="873"/>
        <item x="240"/>
        <item x="266"/>
        <item x="794"/>
        <item x="989"/>
        <item x="51"/>
        <item x="755"/>
        <item x="410"/>
        <item x="630"/>
        <item x="985"/>
        <item x="321"/>
        <item x="674"/>
        <item x="353"/>
        <item x="58"/>
        <item x="839"/>
        <item x="506"/>
        <item x="267"/>
        <item x="467"/>
        <item x="465"/>
        <item x="510"/>
        <item x="719"/>
        <item x="174"/>
        <item x="620"/>
        <item x="120"/>
        <item x="904"/>
        <item x="535"/>
        <item x="64"/>
        <item x="283"/>
        <item x="418"/>
        <item x="723"/>
        <item x="864"/>
        <item x="561"/>
        <item x="254"/>
        <item x="210"/>
        <item x="193"/>
        <item x="542"/>
        <item x="195"/>
        <item x="810"/>
        <item x="229"/>
        <item x="176"/>
        <item x="558"/>
        <item x="48"/>
        <item x="93"/>
        <item x="866"/>
        <item x="407"/>
        <item x="259"/>
        <item x="801"/>
        <item x="118"/>
        <item x="612"/>
        <item x="433"/>
        <item x="27"/>
        <item x="756"/>
        <item x="571"/>
        <item x="22"/>
        <item x="485"/>
        <item x="34"/>
        <item x="964"/>
        <item x="541"/>
        <item x="734"/>
        <item x="209"/>
        <item x="288"/>
        <item x="639"/>
        <item x="631"/>
        <item x="430"/>
        <item x="733"/>
        <item x="315"/>
        <item x="772"/>
        <item x="104"/>
        <item x="453"/>
        <item x="226"/>
        <item x="471"/>
        <item x="173"/>
        <item x="572"/>
        <item x="237"/>
        <item x="781"/>
        <item x="446"/>
        <item x="474"/>
        <item x="908"/>
        <item x="220"/>
        <item x="841"/>
        <item x="322"/>
        <item x="189"/>
        <item x="206"/>
        <item x="897"/>
        <item x="5"/>
        <item x="61"/>
        <item x="536"/>
        <item x="341"/>
        <item x="577"/>
        <item x="17"/>
        <item x="796"/>
        <item x="581"/>
        <item x="628"/>
        <item x="761"/>
        <item x="123"/>
        <item x="815"/>
        <item x="767"/>
        <item x="716"/>
        <item x="850"/>
        <item x="59"/>
        <item x="694"/>
        <item x="303"/>
        <item x="408"/>
        <item x="609"/>
        <item x="634"/>
        <item x="403"/>
        <item x="677"/>
        <item x="714"/>
        <item x="875"/>
        <item x="424"/>
        <item x="128"/>
        <item x="673"/>
        <item x="1"/>
        <item x="387"/>
        <item x="540"/>
        <item x="702"/>
        <item x="725"/>
        <item x="798"/>
        <item x="544"/>
        <item x="196"/>
        <item x="642"/>
        <item x="198"/>
        <item x="426"/>
        <item x="666"/>
        <item x="816"/>
        <item x="323"/>
        <item x="812"/>
        <item x="188"/>
        <item x="352"/>
        <item x="865"/>
        <item x="31"/>
        <item x="136"/>
        <item x="411"/>
        <item x="621"/>
        <item x="423"/>
        <item x="951"/>
        <item x="822"/>
        <item x="977"/>
        <item x="960"/>
        <item x="606"/>
        <item x="248"/>
        <item x="814"/>
        <item x="311"/>
        <item x="45"/>
        <item x="348"/>
        <item x="601"/>
        <item x="918"/>
        <item x="138"/>
        <item x="222"/>
        <item x="343"/>
        <item x="480"/>
        <item x="140"/>
        <item x="787"/>
        <item x="62"/>
        <item x="335"/>
        <item x="499"/>
        <item x="154"/>
        <item x="397"/>
        <item x="824"/>
        <item x="56"/>
        <item x="778"/>
        <item x="218"/>
        <item x="277"/>
        <item x="511"/>
        <item x="382"/>
        <item x="715"/>
        <item x="887"/>
        <item x="334"/>
        <item x="436"/>
        <item x="988"/>
        <item x="308"/>
        <item x="134"/>
        <item x="213"/>
        <item x="389"/>
        <item x="710"/>
        <item x="346"/>
        <item x="594"/>
        <item x="52"/>
        <item x="821"/>
        <item x="251"/>
        <item x="309"/>
        <item x="47"/>
        <item x="60"/>
        <item x="284"/>
        <item x="314"/>
        <item x="743"/>
        <item x="692"/>
        <item x="175"/>
        <item x="263"/>
        <item x="682"/>
        <item x="592"/>
        <item x="455"/>
        <item x="115"/>
        <item x="298"/>
        <item x="625"/>
        <item x="383"/>
        <item x="880"/>
        <item x="250"/>
        <item x="974"/>
        <item x="849"/>
        <item x="519"/>
        <item x="205"/>
        <item x="461"/>
        <item x="859"/>
        <item x="518"/>
        <item x="946"/>
        <item x="55"/>
        <item x="727"/>
        <item x="398"/>
        <item x="793"/>
        <item x="503"/>
        <item x="77"/>
        <item x="388"/>
        <item x="983"/>
        <item x="145"/>
        <item x="736"/>
        <item x="496"/>
        <item x="217"/>
        <item x="447"/>
        <item x="432"/>
        <item x="429"/>
        <item x="28"/>
        <item x="872"/>
        <item x="884"/>
        <item x="533"/>
        <item x="416"/>
        <item x="72"/>
        <item x="695"/>
        <item x="512"/>
        <item x="448"/>
        <item x="551"/>
        <item x="345"/>
        <item x="647"/>
        <item x="932"/>
        <item x="374"/>
        <item x="344"/>
        <item x="484"/>
        <item x="860"/>
        <item x="10"/>
        <item x="469"/>
        <item x="227"/>
        <item x="111"/>
        <item x="854"/>
        <item x="413"/>
        <item x="697"/>
        <item x="476"/>
        <item x="102"/>
        <item x="809"/>
        <item x="588"/>
        <item x="26"/>
        <item x="73"/>
        <item x="269"/>
        <item x="596"/>
        <item x="400"/>
        <item x="775"/>
        <item x="342"/>
        <item x="69"/>
        <item x="633"/>
        <item x="885"/>
        <item x="722"/>
        <item x="148"/>
        <item x="81"/>
        <item x="754"/>
        <item x="202"/>
        <item x="473"/>
        <item x="705"/>
        <item x="830"/>
        <item x="23"/>
        <item x="958"/>
        <item x="613"/>
        <item x="502"/>
        <item x="936"/>
        <item x="82"/>
        <item x="975"/>
        <item x="521"/>
        <item x="132"/>
        <item x="105"/>
        <item x="760"/>
        <item x="15"/>
        <item x="444"/>
        <item x="431"/>
        <item x="617"/>
        <item x="121"/>
        <item x="629"/>
        <item x="144"/>
        <item x="71"/>
        <item x="605"/>
        <item x="995"/>
        <item x="271"/>
        <item x="941"/>
        <item x="153"/>
        <item x="618"/>
        <item x="817"/>
        <item x="336"/>
        <item x="762"/>
        <item x="537"/>
        <item x="11"/>
        <item x="595"/>
        <item x="967"/>
        <item x="96"/>
        <item x="910"/>
        <item x="373"/>
        <item x="380"/>
        <item x="498"/>
        <item x="142"/>
        <item x="524"/>
        <item x="38"/>
        <item x="57"/>
        <item x="326"/>
        <item x="648"/>
        <item x="42"/>
        <item x="731"/>
        <item x="394"/>
        <item x="750"/>
        <item x="95"/>
        <item x="236"/>
        <item x="656"/>
        <item x="313"/>
        <item x="576"/>
        <item x="523"/>
        <item x="992"/>
        <item x="953"/>
        <item x="190"/>
        <item x="275"/>
        <item x="32"/>
        <item x="141"/>
        <item x="130"/>
        <item x="300"/>
        <item x="696"/>
        <item x="779"/>
        <item x="212"/>
        <item x="477"/>
        <item x="290"/>
        <item x="358"/>
        <item x="415"/>
        <item x="487"/>
        <item x="112"/>
        <item x="301"/>
        <item x="91"/>
        <item x="795"/>
        <item x="680"/>
        <item x="930"/>
        <item x="972"/>
        <item x="803"/>
        <item x="826"/>
        <item x="513"/>
        <item x="522"/>
        <item x="241"/>
        <item x="87"/>
        <item x="915"/>
        <item x="678"/>
        <item x="454"/>
        <item x="556"/>
        <item x="463"/>
        <item x="317"/>
        <item x="940"/>
        <item x="759"/>
        <item x="819"/>
        <item x="25"/>
        <item x="644"/>
        <item x="927"/>
        <item x="296"/>
        <item x="221"/>
        <item x="559"/>
        <item x="735"/>
        <item x="29"/>
        <item x="35"/>
        <item x="973"/>
        <item x="823"/>
        <item x="289"/>
        <item x="852"/>
        <item x="214"/>
        <item x="924"/>
        <item x="458"/>
        <item x="911"/>
        <item x="774"/>
        <item x="626"/>
        <item x="844"/>
        <item x="668"/>
        <item x="766"/>
        <item x="421"/>
        <item x="359"/>
        <item x="531"/>
        <item x="472"/>
        <item x="539"/>
        <item x="748"/>
        <item x="392"/>
        <item x="703"/>
        <item x="699"/>
        <item x="877"/>
        <item x="24"/>
        <item x="738"/>
        <item x="70"/>
        <item x="598"/>
        <item x="690"/>
        <item x="486"/>
        <item x="272"/>
        <item x="895"/>
        <item x="868"/>
        <item x="357"/>
        <item x="921"/>
        <item x="886"/>
        <item x="12"/>
        <item x="172"/>
        <item x="475"/>
        <item x="669"/>
        <item x="835"/>
        <item x="131"/>
        <item x="366"/>
        <item x="538"/>
        <item x="898"/>
        <item x="976"/>
        <item x="492"/>
        <item x="805"/>
        <item x="249"/>
        <item x="493"/>
        <item x="586"/>
        <item x="67"/>
        <item x="479"/>
        <item x="954"/>
        <item x="799"/>
        <item x="318"/>
        <item x="900"/>
        <item x="381"/>
        <item x="163"/>
        <item x="899"/>
        <item x="747"/>
        <item x="494"/>
        <item x="979"/>
        <item x="567"/>
        <item x="310"/>
        <item x="905"/>
        <item x="665"/>
        <item x="645"/>
        <item x="85"/>
        <item x="740"/>
        <item x="643"/>
        <item x="361"/>
        <item x="122"/>
        <item x="243"/>
        <item x="200"/>
        <item x="653"/>
        <item x="640"/>
        <item x="390"/>
        <item x="802"/>
        <item x="923"/>
        <item x="147"/>
        <item x="129"/>
        <item x="354"/>
        <item x="687"/>
        <item x="103"/>
        <item x="784"/>
        <item x="573"/>
        <item x="159"/>
        <item x="649"/>
        <item x="528"/>
        <item x="971"/>
        <item x="764"/>
        <item x="320"/>
        <item x="151"/>
        <item x="478"/>
        <item x="286"/>
        <item x="232"/>
        <item x="100"/>
        <item x="53"/>
        <item x="565"/>
        <item x="355"/>
        <item x="944"/>
        <item x="165"/>
        <item x="305"/>
        <item x="749"/>
        <item x="65"/>
        <item x="845"/>
        <item x="108"/>
        <item x="442"/>
        <item x="737"/>
        <item x="858"/>
        <item x="402"/>
        <item x="247"/>
        <item x="607"/>
        <item x="239"/>
        <item x="651"/>
        <item x="676"/>
        <item x="744"/>
        <item x="37"/>
        <item x="166"/>
        <item x="708"/>
        <item x="86"/>
        <item x="768"/>
        <item x="530"/>
        <item x="333"/>
        <item x="780"/>
        <item x="808"/>
        <item x="848"/>
        <item x="590"/>
        <item x="325"/>
        <item x="943"/>
        <item x="916"/>
        <item x="883"/>
        <item x="939"/>
        <item x="21"/>
        <item x="464"/>
        <item x="555"/>
        <item x="187"/>
        <item x="934"/>
        <item x="922"/>
        <item x="371"/>
        <item x="662"/>
        <item x="80"/>
        <item x="171"/>
        <item x="726"/>
        <item x="452"/>
        <item x="552"/>
        <item x="909"/>
        <item x="547"/>
        <item x="0"/>
        <item x="777"/>
        <item x="182"/>
        <item x="302"/>
        <item x="661"/>
        <item x="711"/>
        <item x="791"/>
        <item x="156"/>
        <item x="76"/>
        <item x="507"/>
        <item x="840"/>
        <item x="231"/>
        <item x="124"/>
        <item x="46"/>
        <item x="987"/>
        <item x="370"/>
        <item x="828"/>
        <item x="981"/>
        <item x="428"/>
        <item x="211"/>
        <item x="730"/>
        <item x="919"/>
        <item x="238"/>
        <item x="54"/>
        <item x="564"/>
        <item x="892"/>
        <item x="278"/>
        <item x="686"/>
        <item x="591"/>
        <item x="980"/>
        <item x="282"/>
        <item x="337"/>
        <item x="438"/>
        <item x="242"/>
        <item x="265"/>
        <item x="948"/>
        <item x="127"/>
        <item x="959"/>
        <item x="135"/>
        <item x="514"/>
        <item x="532"/>
        <item x="616"/>
        <item x="853"/>
        <item x="179"/>
        <item x="527"/>
        <item x="926"/>
        <item x="365"/>
        <item x="655"/>
        <item x="482"/>
        <item x="660"/>
        <item x="818"/>
        <item x="177"/>
        <item x="838"/>
        <item x="949"/>
        <item x="863"/>
        <item x="90"/>
        <item x="966"/>
        <item x="952"/>
        <item x="790"/>
        <item x="903"/>
        <item x="327"/>
        <item x="917"/>
        <item x="216"/>
        <item x="260"/>
        <item x="627"/>
        <item x="516"/>
        <item x="720"/>
        <item x="297"/>
        <item x="912"/>
        <item x="441"/>
        <item x="529"/>
        <item x="13"/>
        <item x="164"/>
        <item x="414"/>
        <item x="813"/>
        <item x="234"/>
        <item x="396"/>
        <item x="570"/>
        <item x="982"/>
        <item x="319"/>
        <item x="566"/>
        <item x="867"/>
        <item x="704"/>
        <item x="9"/>
        <item x="376"/>
        <item x="364"/>
        <item x="280"/>
        <item x="545"/>
        <item x="106"/>
        <item x="16"/>
        <item x="846"/>
        <item x="261"/>
        <item x="604"/>
        <item x="440"/>
        <item x="950"/>
        <item x="223"/>
        <item x="792"/>
        <item x="800"/>
        <item x="789"/>
        <item x="167"/>
        <item x="709"/>
        <item x="688"/>
        <item x="990"/>
        <item x="113"/>
        <item x="14"/>
        <item x="641"/>
        <item x="422"/>
        <item x="419"/>
        <item x="228"/>
        <item x="307"/>
        <item x="399"/>
        <item x="170"/>
        <item x="515"/>
        <item x="393"/>
        <item x="18"/>
        <item x="316"/>
        <item x="913"/>
        <item x="578"/>
        <item x="984"/>
        <item x="869"/>
        <item x="460"/>
        <item x="146"/>
        <item x="192"/>
        <item x="338"/>
        <item x="84"/>
        <item x="742"/>
        <item x="871"/>
        <item x="955"/>
        <item x="20"/>
        <item x="79"/>
        <item x="39"/>
        <item x="219"/>
        <item x="994"/>
        <item x="693"/>
        <item x="295"/>
        <item x="500"/>
        <item x="505"/>
        <item x="831"/>
        <item x="143"/>
        <item x="252"/>
        <item x="362"/>
        <item x="933"/>
        <item x="671"/>
        <item x="194"/>
        <item x="349"/>
        <item x="255"/>
        <item x="670"/>
        <item x="162"/>
        <item x="683"/>
        <item x="409"/>
        <item x="185"/>
        <item x="119"/>
        <item x="377"/>
        <item x="663"/>
        <item x="75"/>
        <item x="488"/>
        <item x="548"/>
        <item x="652"/>
        <item x="562"/>
        <item x="728"/>
        <item x="101"/>
        <item x="833"/>
        <item x="769"/>
        <item x="293"/>
        <item x="718"/>
        <item x="600"/>
        <item x="324"/>
        <item x="712"/>
        <item x="356"/>
        <item x="161"/>
        <item x="445"/>
        <item x="406"/>
        <item x="820"/>
        <item x="197"/>
        <item x="66"/>
        <item x="133"/>
        <item x="970"/>
        <item x="78"/>
        <item x="832"/>
        <item x="685"/>
        <item x="331"/>
        <item x="125"/>
        <item x="186"/>
        <item x="587"/>
        <item x="876"/>
        <item x="274"/>
        <item x="611"/>
        <item x="961"/>
        <item x="50"/>
        <item x="83"/>
        <item x="495"/>
        <item x="906"/>
        <item x="152"/>
        <item x="481"/>
        <item x="893"/>
        <item x="7"/>
        <item x="786"/>
        <item x="827"/>
        <item x="557"/>
        <item x="368"/>
        <item x="861"/>
        <item x="273"/>
        <item x="449"/>
        <item x="19"/>
        <item x="546"/>
        <item x="701"/>
        <item x="847"/>
        <item x="49"/>
        <item x="721"/>
        <item x="168"/>
        <item x="483"/>
        <item x="654"/>
        <item x="624"/>
        <item x="43"/>
        <item x="470"/>
        <item x="245"/>
        <item x="3"/>
        <item x="306"/>
        <item x="689"/>
        <item x="582"/>
        <item x="110"/>
        <item x="870"/>
        <item x="2"/>
        <item x="184"/>
        <item x="114"/>
        <item x="351"/>
        <item x="549"/>
        <item x="391"/>
        <item x="207"/>
        <item x="405"/>
        <item x="580"/>
        <item x="603"/>
        <item x="36"/>
        <item x="466"/>
        <item x="938"/>
        <item x="224"/>
        <item x="244"/>
        <item x="650"/>
        <item x="526"/>
        <item x="204"/>
        <item x="706"/>
        <item x="385"/>
        <item x="717"/>
        <item x="622"/>
        <item x="599"/>
        <item x="925"/>
        <item x="657"/>
        <item x="41"/>
        <item x="602"/>
        <item x="74"/>
        <item x="785"/>
        <item x="928"/>
        <item x="117"/>
        <item x="201"/>
        <item x="978"/>
        <item x="679"/>
        <item x="963"/>
        <item x="490"/>
        <item x="169"/>
        <item x="68"/>
        <item x="44"/>
        <item x="88"/>
        <item x="713"/>
        <item x="427"/>
        <item x="404"/>
        <item x="330"/>
        <item x="782"/>
        <item x="425"/>
        <item x="636"/>
        <item x="434"/>
        <item x="619"/>
        <item x="291"/>
        <item x="181"/>
        <item x="137"/>
        <item x="312"/>
        <item x="568"/>
        <item x="501"/>
        <item x="889"/>
        <item x="150"/>
        <item x="986"/>
        <item f="1" x="996"/>
        <item f="1" x="997"/>
        <item f="1" x="998"/>
        <item f="1" x="999"/>
        <item f="1" x="1000"/>
        <item t="default"/>
      </items>
    </pivotField>
    <pivotField showAll="0"/>
    <pivotField showAll="0"/>
    <pivotField axis="axisRow" showAll="0">
      <items count="4">
        <item x="2"/>
        <item x="1"/>
        <item x="0"/>
        <item t="default"/>
      </items>
    </pivotField>
    <pivotField showAll="0"/>
    <pivotField showAll="0"/>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0FD270E-2794-49B8-8F24-C43DED50C6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1000" firstHeaderRow="1" firstDataRow="1" firstDataCol="1"/>
  <pivotFields count="14">
    <pivotField showAll="0"/>
    <pivotField showAll="0"/>
    <pivotField showAll="0">
      <items count="8">
        <item x="3"/>
        <item x="4"/>
        <item x="1"/>
        <item x="5"/>
        <item x="0"/>
        <item x="6"/>
        <item x="2"/>
        <item t="default"/>
      </items>
    </pivotField>
    <pivotField showAll="0">
      <items count="5">
        <item x="3"/>
        <item x="2"/>
        <item x="0"/>
        <item x="1"/>
        <item t="default"/>
      </items>
    </pivotField>
    <pivotField showAll="0">
      <items count="3">
        <item x="0"/>
        <item x="1"/>
        <item t="default"/>
      </items>
    </pivotField>
    <pivotField showAll="0"/>
    <pivotField showAll="0"/>
    <pivotField numFmtId="22" showAll="0"/>
    <pivotField axis="axisRow" showAll="0">
      <items count="1002">
        <item h="1" x="757"/>
        <item h="1" f="1" x="998"/>
        <item h="1" f="1" x="999"/>
        <item h="1" f="1" x="1000"/>
        <item h="1" f="1" x="996"/>
        <item h="1" f="1" x="997"/>
        <item h="1" x="758"/>
        <item x="804"/>
        <item x="94"/>
        <item x="763"/>
        <item x="776"/>
        <item x="116"/>
        <item x="896"/>
        <item x="807"/>
        <item x="92"/>
        <item x="829"/>
        <item x="751"/>
        <item x="328"/>
        <item x="435"/>
        <item x="707"/>
        <item x="401"/>
        <item x="270"/>
        <item x="468"/>
        <item x="203"/>
        <item x="837"/>
        <item x="583"/>
        <item x="659"/>
        <item x="646"/>
        <item x="623"/>
        <item x="874"/>
        <item x="878"/>
        <item x="773"/>
        <item x="664"/>
        <item x="363"/>
        <item x="882"/>
        <item x="215"/>
        <item x="233"/>
        <item x="574"/>
        <item x="991"/>
        <item x="347"/>
        <item x="993"/>
        <item x="881"/>
        <item x="739"/>
        <item x="579"/>
        <item x="40"/>
        <item x="842"/>
        <item x="367"/>
        <item x="560"/>
        <item x="199"/>
        <item x="691"/>
        <item x="610"/>
        <item x="279"/>
        <item x="183"/>
        <item x="457"/>
        <item x="97"/>
        <item x="658"/>
        <item x="157"/>
        <item x="264"/>
        <item x="258"/>
        <item x="208"/>
        <item x="89"/>
        <item x="509"/>
        <item x="584"/>
        <item x="517"/>
        <item x="99"/>
        <item x="386"/>
        <item x="230"/>
        <item x="360"/>
        <item x="957"/>
        <item x="554"/>
        <item x="937"/>
        <item x="681"/>
        <item x="525"/>
        <item x="158"/>
        <item x="593"/>
        <item x="504"/>
        <item x="149"/>
        <item x="437"/>
        <item x="8"/>
        <item x="851"/>
        <item x="962"/>
        <item x="783"/>
        <item x="329"/>
        <item x="834"/>
        <item x="256"/>
        <item x="732"/>
        <item x="550"/>
        <item x="139"/>
        <item x="33"/>
        <item x="684"/>
        <item x="281"/>
        <item x="632"/>
        <item x="372"/>
        <item x="890"/>
        <item x="299"/>
        <item x="450"/>
        <item x="235"/>
        <item x="378"/>
        <item x="968"/>
        <item x="417"/>
        <item x="638"/>
        <item x="246"/>
        <item x="667"/>
        <item x="375"/>
        <item x="635"/>
        <item x="901"/>
        <item x="931"/>
        <item x="30"/>
        <item x="771"/>
        <item x="379"/>
        <item x="109"/>
        <item x="836"/>
        <item x="563"/>
        <item x="945"/>
        <item x="340"/>
        <item x="856"/>
        <item x="589"/>
        <item x="935"/>
        <item x="765"/>
        <item x="575"/>
        <item x="553"/>
        <item x="741"/>
        <item x="770"/>
        <item x="285"/>
        <item x="891"/>
        <item x="907"/>
        <item x="294"/>
        <item x="637"/>
        <item x="942"/>
        <item x="608"/>
        <item x="752"/>
        <item x="585"/>
        <item x="543"/>
        <item x="268"/>
        <item x="292"/>
        <item x="395"/>
        <item x="920"/>
        <item x="675"/>
        <item x="178"/>
        <item x="729"/>
        <item x="160"/>
        <item x="508"/>
        <item x="262"/>
        <item x="902"/>
        <item x="304"/>
        <item x="497"/>
        <item x="155"/>
        <item x="879"/>
        <item x="597"/>
        <item x="969"/>
        <item x="4"/>
        <item x="191"/>
        <item x="862"/>
        <item x="339"/>
        <item x="491"/>
        <item x="806"/>
        <item x="894"/>
        <item x="6"/>
        <item x="843"/>
        <item x="443"/>
        <item x="965"/>
        <item x="947"/>
        <item x="180"/>
        <item x="350"/>
        <item x="698"/>
        <item x="724"/>
        <item x="614"/>
        <item x="888"/>
        <item x="412"/>
        <item x="225"/>
        <item x="384"/>
        <item x="797"/>
        <item x="456"/>
        <item x="287"/>
        <item x="956"/>
        <item x="753"/>
        <item x="746"/>
        <item x="459"/>
        <item x="107"/>
        <item x="811"/>
        <item x="63"/>
        <item x="253"/>
        <item x="914"/>
        <item x="534"/>
        <item x="332"/>
        <item x="788"/>
        <item x="857"/>
        <item x="126"/>
        <item x="745"/>
        <item x="276"/>
        <item x="700"/>
        <item x="451"/>
        <item x="420"/>
        <item x="369"/>
        <item x="439"/>
        <item x="672"/>
        <item x="257"/>
        <item x="462"/>
        <item x="825"/>
        <item x="98"/>
        <item x="489"/>
        <item x="569"/>
        <item x="855"/>
        <item x="520"/>
        <item x="615"/>
        <item x="929"/>
        <item x="873"/>
        <item x="240"/>
        <item x="266"/>
        <item x="794"/>
        <item x="989"/>
        <item x="51"/>
        <item x="755"/>
        <item x="410"/>
        <item x="630"/>
        <item x="985"/>
        <item x="321"/>
        <item x="674"/>
        <item x="353"/>
        <item x="58"/>
        <item x="839"/>
        <item x="506"/>
        <item x="267"/>
        <item x="467"/>
        <item x="465"/>
        <item x="510"/>
        <item x="719"/>
        <item x="174"/>
        <item x="620"/>
        <item x="120"/>
        <item x="904"/>
        <item x="535"/>
        <item x="64"/>
        <item x="283"/>
        <item x="418"/>
        <item x="723"/>
        <item x="864"/>
        <item x="561"/>
        <item x="254"/>
        <item x="210"/>
        <item x="193"/>
        <item x="542"/>
        <item x="195"/>
        <item x="810"/>
        <item x="229"/>
        <item x="176"/>
        <item x="558"/>
        <item x="48"/>
        <item x="93"/>
        <item x="866"/>
        <item x="407"/>
        <item x="259"/>
        <item x="801"/>
        <item x="118"/>
        <item x="612"/>
        <item x="433"/>
        <item x="27"/>
        <item x="756"/>
        <item x="571"/>
        <item x="22"/>
        <item x="485"/>
        <item x="34"/>
        <item x="964"/>
        <item x="541"/>
        <item x="734"/>
        <item x="209"/>
        <item x="288"/>
        <item x="639"/>
        <item x="631"/>
        <item x="430"/>
        <item x="733"/>
        <item x="315"/>
        <item x="772"/>
        <item x="104"/>
        <item x="453"/>
        <item x="226"/>
        <item x="471"/>
        <item x="173"/>
        <item x="572"/>
        <item x="237"/>
        <item x="781"/>
        <item x="446"/>
        <item x="474"/>
        <item x="908"/>
        <item x="220"/>
        <item x="841"/>
        <item x="322"/>
        <item x="189"/>
        <item x="206"/>
        <item x="897"/>
        <item x="5"/>
        <item x="61"/>
        <item x="536"/>
        <item x="341"/>
        <item x="577"/>
        <item x="17"/>
        <item x="796"/>
        <item x="581"/>
        <item x="628"/>
        <item x="761"/>
        <item x="123"/>
        <item x="815"/>
        <item x="767"/>
        <item x="716"/>
        <item x="850"/>
        <item x="59"/>
        <item x="694"/>
        <item x="303"/>
        <item x="408"/>
        <item x="609"/>
        <item x="634"/>
        <item x="403"/>
        <item x="677"/>
        <item x="714"/>
        <item x="875"/>
        <item x="424"/>
        <item x="128"/>
        <item x="673"/>
        <item x="1"/>
        <item x="387"/>
        <item x="540"/>
        <item x="702"/>
        <item x="725"/>
        <item x="798"/>
        <item x="544"/>
        <item x="196"/>
        <item x="642"/>
        <item x="198"/>
        <item x="426"/>
        <item x="666"/>
        <item x="816"/>
        <item x="323"/>
        <item x="812"/>
        <item x="188"/>
        <item x="352"/>
        <item x="865"/>
        <item x="31"/>
        <item x="136"/>
        <item x="411"/>
        <item x="621"/>
        <item x="423"/>
        <item x="951"/>
        <item x="822"/>
        <item x="977"/>
        <item x="960"/>
        <item x="606"/>
        <item x="248"/>
        <item x="814"/>
        <item x="311"/>
        <item x="45"/>
        <item x="348"/>
        <item x="601"/>
        <item x="918"/>
        <item x="138"/>
        <item x="222"/>
        <item x="343"/>
        <item x="480"/>
        <item x="140"/>
        <item x="787"/>
        <item x="62"/>
        <item x="335"/>
        <item x="499"/>
        <item x="154"/>
        <item x="397"/>
        <item x="824"/>
        <item x="56"/>
        <item x="778"/>
        <item x="218"/>
        <item x="277"/>
        <item x="511"/>
        <item x="382"/>
        <item x="715"/>
        <item x="887"/>
        <item x="334"/>
        <item x="436"/>
        <item x="988"/>
        <item x="308"/>
        <item x="134"/>
        <item x="213"/>
        <item x="389"/>
        <item x="710"/>
        <item x="346"/>
        <item x="594"/>
        <item x="52"/>
        <item x="821"/>
        <item x="251"/>
        <item x="309"/>
        <item x="47"/>
        <item x="60"/>
        <item x="284"/>
        <item x="314"/>
        <item x="743"/>
        <item x="692"/>
        <item x="175"/>
        <item x="263"/>
        <item x="682"/>
        <item x="592"/>
        <item x="455"/>
        <item x="115"/>
        <item x="298"/>
        <item x="625"/>
        <item x="383"/>
        <item x="880"/>
        <item x="250"/>
        <item x="974"/>
        <item x="849"/>
        <item x="519"/>
        <item x="205"/>
        <item x="461"/>
        <item x="859"/>
        <item x="518"/>
        <item x="946"/>
        <item x="55"/>
        <item x="727"/>
        <item x="398"/>
        <item x="793"/>
        <item x="503"/>
        <item x="77"/>
        <item x="388"/>
        <item x="983"/>
        <item x="145"/>
        <item x="736"/>
        <item x="496"/>
        <item x="217"/>
        <item x="447"/>
        <item x="432"/>
        <item x="429"/>
        <item x="28"/>
        <item x="872"/>
        <item x="884"/>
        <item x="533"/>
        <item x="416"/>
        <item x="72"/>
        <item x="695"/>
        <item x="512"/>
        <item x="448"/>
        <item x="551"/>
        <item x="345"/>
        <item x="647"/>
        <item x="932"/>
        <item x="374"/>
        <item x="344"/>
        <item x="484"/>
        <item x="860"/>
        <item x="10"/>
        <item x="469"/>
        <item x="227"/>
        <item x="111"/>
        <item x="854"/>
        <item x="413"/>
        <item x="697"/>
        <item x="476"/>
        <item x="102"/>
        <item x="809"/>
        <item x="588"/>
        <item x="26"/>
        <item x="73"/>
        <item x="269"/>
        <item x="596"/>
        <item x="400"/>
        <item x="775"/>
        <item x="342"/>
        <item x="69"/>
        <item x="633"/>
        <item x="885"/>
        <item x="722"/>
        <item x="148"/>
        <item x="81"/>
        <item x="754"/>
        <item x="202"/>
        <item x="473"/>
        <item x="705"/>
        <item x="830"/>
        <item x="23"/>
        <item x="958"/>
        <item x="613"/>
        <item x="502"/>
        <item x="936"/>
        <item x="82"/>
        <item x="975"/>
        <item x="521"/>
        <item x="132"/>
        <item x="105"/>
        <item x="760"/>
        <item x="15"/>
        <item x="444"/>
        <item x="431"/>
        <item x="617"/>
        <item x="121"/>
        <item x="629"/>
        <item x="144"/>
        <item x="71"/>
        <item x="605"/>
        <item x="995"/>
        <item x="271"/>
        <item x="941"/>
        <item x="153"/>
        <item x="618"/>
        <item x="817"/>
        <item x="336"/>
        <item x="762"/>
        <item x="537"/>
        <item x="11"/>
        <item x="595"/>
        <item x="967"/>
        <item x="96"/>
        <item x="910"/>
        <item x="373"/>
        <item x="380"/>
        <item x="498"/>
        <item x="142"/>
        <item x="524"/>
        <item x="38"/>
        <item x="57"/>
        <item x="326"/>
        <item x="648"/>
        <item x="42"/>
        <item x="731"/>
        <item x="394"/>
        <item x="750"/>
        <item x="95"/>
        <item x="236"/>
        <item x="656"/>
        <item x="313"/>
        <item x="576"/>
        <item x="523"/>
        <item x="992"/>
        <item x="953"/>
        <item x="190"/>
        <item x="275"/>
        <item x="32"/>
        <item x="141"/>
        <item x="130"/>
        <item x="300"/>
        <item x="696"/>
        <item x="779"/>
        <item x="212"/>
        <item x="477"/>
        <item x="290"/>
        <item x="358"/>
        <item x="415"/>
        <item x="487"/>
        <item x="112"/>
        <item x="301"/>
        <item x="91"/>
        <item x="795"/>
        <item x="680"/>
        <item x="930"/>
        <item x="972"/>
        <item x="803"/>
        <item x="826"/>
        <item x="513"/>
        <item x="522"/>
        <item x="241"/>
        <item x="87"/>
        <item x="915"/>
        <item x="678"/>
        <item x="454"/>
        <item x="556"/>
        <item x="463"/>
        <item x="317"/>
        <item x="940"/>
        <item x="759"/>
        <item x="819"/>
        <item x="25"/>
        <item x="644"/>
        <item x="927"/>
        <item x="296"/>
        <item x="221"/>
        <item x="559"/>
        <item x="735"/>
        <item x="29"/>
        <item x="35"/>
        <item x="973"/>
        <item x="823"/>
        <item x="289"/>
        <item x="852"/>
        <item x="214"/>
        <item x="924"/>
        <item x="458"/>
        <item x="911"/>
        <item x="774"/>
        <item x="626"/>
        <item x="844"/>
        <item x="668"/>
        <item x="766"/>
        <item x="421"/>
        <item x="359"/>
        <item x="531"/>
        <item x="472"/>
        <item x="539"/>
        <item x="748"/>
        <item x="392"/>
        <item x="703"/>
        <item x="699"/>
        <item x="877"/>
        <item x="24"/>
        <item x="738"/>
        <item x="70"/>
        <item x="598"/>
        <item x="690"/>
        <item x="486"/>
        <item x="272"/>
        <item x="895"/>
        <item x="868"/>
        <item x="357"/>
        <item x="921"/>
        <item x="886"/>
        <item x="12"/>
        <item x="172"/>
        <item x="475"/>
        <item x="669"/>
        <item x="835"/>
        <item x="131"/>
        <item x="366"/>
        <item x="538"/>
        <item x="898"/>
        <item x="976"/>
        <item x="492"/>
        <item x="805"/>
        <item x="249"/>
        <item x="493"/>
        <item x="586"/>
        <item x="67"/>
        <item x="479"/>
        <item x="954"/>
        <item x="799"/>
        <item x="318"/>
        <item x="900"/>
        <item x="381"/>
        <item x="163"/>
        <item x="899"/>
        <item x="747"/>
        <item x="494"/>
        <item x="979"/>
        <item x="567"/>
        <item x="310"/>
        <item x="905"/>
        <item x="665"/>
        <item x="645"/>
        <item x="85"/>
        <item x="740"/>
        <item x="643"/>
        <item x="361"/>
        <item x="122"/>
        <item x="243"/>
        <item x="200"/>
        <item x="653"/>
        <item x="640"/>
        <item x="390"/>
        <item x="802"/>
        <item x="923"/>
        <item x="147"/>
        <item x="129"/>
        <item x="354"/>
        <item x="687"/>
        <item x="103"/>
        <item x="784"/>
        <item x="573"/>
        <item x="159"/>
        <item x="649"/>
        <item x="528"/>
        <item x="971"/>
        <item x="764"/>
        <item x="320"/>
        <item x="151"/>
        <item x="478"/>
        <item x="286"/>
        <item x="232"/>
        <item x="100"/>
        <item x="53"/>
        <item x="565"/>
        <item x="355"/>
        <item x="944"/>
        <item x="165"/>
        <item x="305"/>
        <item x="749"/>
        <item x="65"/>
        <item x="845"/>
        <item x="108"/>
        <item x="442"/>
        <item x="737"/>
        <item x="858"/>
        <item x="402"/>
        <item x="247"/>
        <item x="607"/>
        <item x="239"/>
        <item x="651"/>
        <item x="676"/>
        <item x="744"/>
        <item x="37"/>
        <item x="166"/>
        <item x="708"/>
        <item x="86"/>
        <item x="768"/>
        <item x="530"/>
        <item x="333"/>
        <item x="780"/>
        <item x="808"/>
        <item x="848"/>
        <item x="590"/>
        <item x="325"/>
        <item x="943"/>
        <item x="916"/>
        <item x="883"/>
        <item x="939"/>
        <item x="21"/>
        <item x="464"/>
        <item x="555"/>
        <item x="187"/>
        <item x="934"/>
        <item x="922"/>
        <item x="371"/>
        <item x="662"/>
        <item x="80"/>
        <item x="171"/>
        <item x="726"/>
        <item x="452"/>
        <item x="552"/>
        <item x="909"/>
        <item x="547"/>
        <item x="0"/>
        <item x="777"/>
        <item x="182"/>
        <item x="302"/>
        <item x="661"/>
        <item x="711"/>
        <item x="791"/>
        <item x="156"/>
        <item x="76"/>
        <item x="507"/>
        <item x="840"/>
        <item x="231"/>
        <item x="124"/>
        <item x="46"/>
        <item x="987"/>
        <item x="370"/>
        <item x="828"/>
        <item x="981"/>
        <item x="428"/>
        <item x="211"/>
        <item x="730"/>
        <item x="919"/>
        <item x="238"/>
        <item x="54"/>
        <item x="564"/>
        <item x="892"/>
        <item x="278"/>
        <item x="686"/>
        <item x="591"/>
        <item x="980"/>
        <item x="282"/>
        <item x="337"/>
        <item x="438"/>
        <item x="242"/>
        <item x="265"/>
        <item x="948"/>
        <item x="127"/>
        <item x="959"/>
        <item x="135"/>
        <item x="514"/>
        <item x="532"/>
        <item x="616"/>
        <item x="853"/>
        <item x="179"/>
        <item x="527"/>
        <item x="926"/>
        <item x="365"/>
        <item x="655"/>
        <item x="482"/>
        <item x="660"/>
        <item x="818"/>
        <item x="177"/>
        <item x="838"/>
        <item x="949"/>
        <item x="863"/>
        <item x="90"/>
        <item x="966"/>
        <item x="952"/>
        <item x="790"/>
        <item x="903"/>
        <item x="327"/>
        <item x="917"/>
        <item x="216"/>
        <item x="260"/>
        <item x="627"/>
        <item x="516"/>
        <item x="720"/>
        <item x="297"/>
        <item x="912"/>
        <item x="441"/>
        <item x="529"/>
        <item x="13"/>
        <item x="164"/>
        <item x="414"/>
        <item x="813"/>
        <item x="234"/>
        <item x="396"/>
        <item x="570"/>
        <item x="982"/>
        <item x="319"/>
        <item x="566"/>
        <item x="867"/>
        <item x="704"/>
        <item x="9"/>
        <item x="376"/>
        <item x="364"/>
        <item x="280"/>
        <item x="545"/>
        <item x="106"/>
        <item x="16"/>
        <item x="846"/>
        <item x="261"/>
        <item x="604"/>
        <item x="440"/>
        <item x="950"/>
        <item x="223"/>
        <item x="792"/>
        <item x="800"/>
        <item x="789"/>
        <item x="167"/>
        <item x="709"/>
        <item x="688"/>
        <item x="990"/>
        <item x="113"/>
        <item x="14"/>
        <item x="641"/>
        <item x="422"/>
        <item x="419"/>
        <item x="228"/>
        <item x="307"/>
        <item x="399"/>
        <item x="170"/>
        <item x="515"/>
        <item x="393"/>
        <item x="18"/>
        <item x="316"/>
        <item x="913"/>
        <item x="578"/>
        <item x="984"/>
        <item x="869"/>
        <item x="460"/>
        <item x="146"/>
        <item x="192"/>
        <item x="338"/>
        <item x="84"/>
        <item x="742"/>
        <item x="871"/>
        <item x="955"/>
        <item x="20"/>
        <item x="79"/>
        <item x="39"/>
        <item x="219"/>
        <item x="994"/>
        <item x="693"/>
        <item x="295"/>
        <item x="500"/>
        <item x="505"/>
        <item x="831"/>
        <item x="143"/>
        <item x="252"/>
        <item x="362"/>
        <item x="933"/>
        <item x="671"/>
        <item x="194"/>
        <item x="349"/>
        <item x="255"/>
        <item x="670"/>
        <item x="162"/>
        <item x="683"/>
        <item x="409"/>
        <item x="185"/>
        <item x="119"/>
        <item x="377"/>
        <item x="663"/>
        <item x="75"/>
        <item x="488"/>
        <item x="548"/>
        <item x="652"/>
        <item x="562"/>
        <item x="728"/>
        <item x="101"/>
        <item x="833"/>
        <item x="769"/>
        <item x="293"/>
        <item x="718"/>
        <item x="600"/>
        <item x="324"/>
        <item x="712"/>
        <item x="356"/>
        <item x="161"/>
        <item x="445"/>
        <item x="406"/>
        <item x="820"/>
        <item x="197"/>
        <item x="66"/>
        <item x="133"/>
        <item x="970"/>
        <item x="78"/>
        <item x="832"/>
        <item x="685"/>
        <item x="331"/>
        <item x="125"/>
        <item x="186"/>
        <item x="587"/>
        <item x="876"/>
        <item x="274"/>
        <item x="611"/>
        <item x="961"/>
        <item x="50"/>
        <item x="83"/>
        <item x="495"/>
        <item x="906"/>
        <item x="152"/>
        <item x="481"/>
        <item x="893"/>
        <item x="7"/>
        <item x="786"/>
        <item x="827"/>
        <item x="557"/>
        <item x="368"/>
        <item x="861"/>
        <item x="273"/>
        <item x="449"/>
        <item x="19"/>
        <item x="546"/>
        <item x="701"/>
        <item x="847"/>
        <item x="49"/>
        <item x="721"/>
        <item x="168"/>
        <item x="483"/>
        <item x="654"/>
        <item x="624"/>
        <item x="43"/>
        <item x="470"/>
        <item x="245"/>
        <item x="3"/>
        <item x="306"/>
        <item x="689"/>
        <item x="582"/>
        <item x="110"/>
        <item x="870"/>
        <item x="2"/>
        <item x="184"/>
        <item x="114"/>
        <item x="351"/>
        <item x="549"/>
        <item x="391"/>
        <item x="207"/>
        <item x="405"/>
        <item x="580"/>
        <item x="603"/>
        <item x="36"/>
        <item x="466"/>
        <item x="938"/>
        <item x="224"/>
        <item x="244"/>
        <item x="650"/>
        <item x="526"/>
        <item x="204"/>
        <item x="706"/>
        <item x="385"/>
        <item x="717"/>
        <item x="622"/>
        <item x="599"/>
        <item x="925"/>
        <item x="657"/>
        <item x="41"/>
        <item x="602"/>
        <item x="74"/>
        <item x="785"/>
        <item x="928"/>
        <item x="117"/>
        <item x="201"/>
        <item x="978"/>
        <item x="679"/>
        <item x="963"/>
        <item x="490"/>
        <item x="169"/>
        <item x="68"/>
        <item x="44"/>
        <item x="88"/>
        <item x="713"/>
        <item x="427"/>
        <item x="404"/>
        <item x="330"/>
        <item x="782"/>
        <item x="425"/>
        <item x="636"/>
        <item x="434"/>
        <item x="619"/>
        <item x="291"/>
        <item x="181"/>
        <item x="137"/>
        <item x="312"/>
        <item x="568"/>
        <item x="501"/>
        <item x="889"/>
        <item x="150"/>
        <item x="986"/>
        <item t="default"/>
      </items>
    </pivotField>
    <pivotField showAll="0"/>
    <pivotField showAll="0"/>
    <pivotField showAll="0">
      <items count="4">
        <item x="2"/>
        <item x="1"/>
        <item x="0"/>
        <item t="default"/>
      </items>
    </pivotField>
    <pivotField showAll="0"/>
    <pivotField showAll="0"/>
  </pivotFields>
  <rowFields count="1">
    <field x="8"/>
  </rowFields>
  <rowItems count="995">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82DB4E8-4E8B-4749-BA20-2EF744A389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4">
    <pivotField dataField="1" showAll="0"/>
    <pivotField showAll="0"/>
    <pivotField showAll="0"/>
    <pivotField showAll="0"/>
    <pivotField showAll="0">
      <items count="3">
        <item x="0"/>
        <item x="1"/>
        <item t="default"/>
      </items>
    </pivotField>
    <pivotField showAll="0"/>
    <pivotField showAll="0"/>
    <pivotField numFmtId="22" showAll="0"/>
    <pivotField showAll="0">
      <items count="1002">
        <item x="757"/>
        <item x="758"/>
        <item x="804"/>
        <item x="94"/>
        <item x="763"/>
        <item x="776"/>
        <item x="116"/>
        <item x="896"/>
        <item x="807"/>
        <item x="92"/>
        <item x="829"/>
        <item x="751"/>
        <item x="328"/>
        <item x="435"/>
        <item x="707"/>
        <item x="401"/>
        <item x="270"/>
        <item x="468"/>
        <item x="203"/>
        <item x="837"/>
        <item x="583"/>
        <item x="659"/>
        <item x="646"/>
        <item x="623"/>
        <item x="874"/>
        <item x="878"/>
        <item x="773"/>
        <item x="664"/>
        <item x="363"/>
        <item x="882"/>
        <item x="215"/>
        <item x="233"/>
        <item x="574"/>
        <item x="991"/>
        <item x="347"/>
        <item x="993"/>
        <item x="881"/>
        <item x="739"/>
        <item x="579"/>
        <item x="40"/>
        <item x="842"/>
        <item x="367"/>
        <item x="560"/>
        <item x="199"/>
        <item x="691"/>
        <item x="610"/>
        <item x="279"/>
        <item x="183"/>
        <item x="457"/>
        <item x="97"/>
        <item x="658"/>
        <item x="157"/>
        <item x="264"/>
        <item x="258"/>
        <item x="208"/>
        <item x="89"/>
        <item x="509"/>
        <item x="584"/>
        <item x="517"/>
        <item x="99"/>
        <item x="386"/>
        <item x="230"/>
        <item x="360"/>
        <item x="957"/>
        <item x="554"/>
        <item x="937"/>
        <item x="681"/>
        <item x="525"/>
        <item x="158"/>
        <item x="593"/>
        <item x="504"/>
        <item x="149"/>
        <item x="437"/>
        <item x="8"/>
        <item x="851"/>
        <item x="962"/>
        <item x="783"/>
        <item x="329"/>
        <item x="834"/>
        <item x="256"/>
        <item x="732"/>
        <item x="550"/>
        <item x="139"/>
        <item x="33"/>
        <item x="684"/>
        <item x="281"/>
        <item x="632"/>
        <item x="372"/>
        <item x="890"/>
        <item x="299"/>
        <item x="450"/>
        <item x="235"/>
        <item x="378"/>
        <item x="968"/>
        <item x="417"/>
        <item x="638"/>
        <item x="246"/>
        <item x="667"/>
        <item x="375"/>
        <item x="635"/>
        <item x="901"/>
        <item x="931"/>
        <item x="30"/>
        <item x="771"/>
        <item x="379"/>
        <item x="109"/>
        <item x="836"/>
        <item x="563"/>
        <item x="945"/>
        <item x="340"/>
        <item x="856"/>
        <item x="589"/>
        <item x="935"/>
        <item x="765"/>
        <item x="575"/>
        <item x="553"/>
        <item x="741"/>
        <item x="770"/>
        <item x="285"/>
        <item x="891"/>
        <item x="907"/>
        <item x="294"/>
        <item x="637"/>
        <item x="942"/>
        <item x="608"/>
        <item x="752"/>
        <item x="585"/>
        <item x="543"/>
        <item x="268"/>
        <item x="292"/>
        <item x="395"/>
        <item x="920"/>
        <item x="675"/>
        <item x="178"/>
        <item x="729"/>
        <item x="160"/>
        <item x="508"/>
        <item x="262"/>
        <item x="902"/>
        <item x="304"/>
        <item x="497"/>
        <item x="155"/>
        <item x="879"/>
        <item x="597"/>
        <item x="969"/>
        <item x="4"/>
        <item x="191"/>
        <item x="862"/>
        <item x="339"/>
        <item x="491"/>
        <item x="806"/>
        <item x="894"/>
        <item x="6"/>
        <item x="843"/>
        <item x="443"/>
        <item x="965"/>
        <item x="947"/>
        <item x="180"/>
        <item x="350"/>
        <item x="698"/>
        <item x="724"/>
        <item x="614"/>
        <item x="888"/>
        <item x="412"/>
        <item x="225"/>
        <item x="384"/>
        <item x="797"/>
        <item x="456"/>
        <item x="287"/>
        <item x="956"/>
        <item x="753"/>
        <item x="746"/>
        <item x="459"/>
        <item x="107"/>
        <item x="811"/>
        <item x="63"/>
        <item x="253"/>
        <item x="914"/>
        <item x="534"/>
        <item x="332"/>
        <item x="788"/>
        <item x="857"/>
        <item x="126"/>
        <item x="745"/>
        <item x="276"/>
        <item x="700"/>
        <item x="451"/>
        <item x="420"/>
        <item x="369"/>
        <item x="439"/>
        <item x="672"/>
        <item x="257"/>
        <item x="462"/>
        <item x="825"/>
        <item x="98"/>
        <item x="489"/>
        <item x="569"/>
        <item x="855"/>
        <item x="520"/>
        <item x="615"/>
        <item x="929"/>
        <item x="873"/>
        <item x="240"/>
        <item x="266"/>
        <item x="794"/>
        <item x="989"/>
        <item x="51"/>
        <item x="755"/>
        <item x="410"/>
        <item x="630"/>
        <item x="985"/>
        <item x="321"/>
        <item x="674"/>
        <item x="353"/>
        <item x="58"/>
        <item x="839"/>
        <item x="506"/>
        <item x="267"/>
        <item x="467"/>
        <item x="465"/>
        <item x="510"/>
        <item x="719"/>
        <item x="174"/>
        <item x="620"/>
        <item x="120"/>
        <item x="904"/>
        <item x="535"/>
        <item x="64"/>
        <item x="283"/>
        <item x="418"/>
        <item x="723"/>
        <item x="864"/>
        <item x="561"/>
        <item x="254"/>
        <item x="210"/>
        <item x="193"/>
        <item x="542"/>
        <item x="195"/>
        <item x="810"/>
        <item x="229"/>
        <item x="176"/>
        <item x="558"/>
        <item x="48"/>
        <item x="93"/>
        <item x="866"/>
        <item x="407"/>
        <item x="259"/>
        <item x="801"/>
        <item x="118"/>
        <item x="612"/>
        <item x="433"/>
        <item x="27"/>
        <item x="756"/>
        <item x="571"/>
        <item x="22"/>
        <item x="485"/>
        <item x="34"/>
        <item x="964"/>
        <item x="541"/>
        <item x="734"/>
        <item x="209"/>
        <item x="288"/>
        <item x="639"/>
        <item x="631"/>
        <item x="430"/>
        <item x="733"/>
        <item x="315"/>
        <item x="772"/>
        <item x="104"/>
        <item x="453"/>
        <item x="226"/>
        <item x="471"/>
        <item x="173"/>
        <item x="572"/>
        <item x="237"/>
        <item x="781"/>
        <item x="446"/>
        <item x="474"/>
        <item x="908"/>
        <item x="220"/>
        <item x="841"/>
        <item x="322"/>
        <item x="189"/>
        <item x="206"/>
        <item x="897"/>
        <item x="5"/>
        <item x="61"/>
        <item x="536"/>
        <item x="341"/>
        <item x="577"/>
        <item x="17"/>
        <item x="796"/>
        <item x="581"/>
        <item x="628"/>
        <item x="761"/>
        <item x="123"/>
        <item x="815"/>
        <item x="767"/>
        <item x="716"/>
        <item x="850"/>
        <item x="59"/>
        <item x="694"/>
        <item x="303"/>
        <item x="408"/>
        <item x="609"/>
        <item x="634"/>
        <item x="403"/>
        <item x="677"/>
        <item x="714"/>
        <item x="875"/>
        <item x="424"/>
        <item x="128"/>
        <item x="673"/>
        <item x="1"/>
        <item x="387"/>
        <item x="540"/>
        <item x="702"/>
        <item x="725"/>
        <item x="798"/>
        <item x="544"/>
        <item x="196"/>
        <item x="642"/>
        <item x="198"/>
        <item x="426"/>
        <item x="666"/>
        <item x="816"/>
        <item x="323"/>
        <item x="812"/>
        <item x="188"/>
        <item x="352"/>
        <item x="865"/>
        <item x="31"/>
        <item x="136"/>
        <item x="411"/>
        <item x="621"/>
        <item x="423"/>
        <item x="951"/>
        <item x="822"/>
        <item x="977"/>
        <item x="960"/>
        <item x="606"/>
        <item x="248"/>
        <item x="814"/>
        <item x="311"/>
        <item x="45"/>
        <item x="348"/>
        <item x="601"/>
        <item x="918"/>
        <item x="138"/>
        <item x="222"/>
        <item x="343"/>
        <item x="480"/>
        <item x="140"/>
        <item x="787"/>
        <item x="62"/>
        <item x="335"/>
        <item x="499"/>
        <item x="154"/>
        <item x="397"/>
        <item x="824"/>
        <item x="56"/>
        <item x="778"/>
        <item x="218"/>
        <item x="277"/>
        <item x="511"/>
        <item x="382"/>
        <item x="715"/>
        <item x="887"/>
        <item x="334"/>
        <item x="436"/>
        <item x="988"/>
        <item x="308"/>
        <item x="134"/>
        <item x="213"/>
        <item x="389"/>
        <item x="710"/>
        <item x="346"/>
        <item x="594"/>
        <item x="52"/>
        <item x="821"/>
        <item x="251"/>
        <item x="309"/>
        <item x="47"/>
        <item x="60"/>
        <item x="284"/>
        <item x="314"/>
        <item x="743"/>
        <item x="692"/>
        <item x="175"/>
        <item x="263"/>
        <item x="682"/>
        <item x="592"/>
        <item x="455"/>
        <item x="115"/>
        <item x="298"/>
        <item x="625"/>
        <item x="383"/>
        <item x="880"/>
        <item x="250"/>
        <item x="974"/>
        <item x="849"/>
        <item x="519"/>
        <item x="205"/>
        <item x="461"/>
        <item x="859"/>
        <item x="518"/>
        <item x="946"/>
        <item x="55"/>
        <item x="727"/>
        <item x="398"/>
        <item x="793"/>
        <item x="503"/>
        <item x="77"/>
        <item x="388"/>
        <item x="983"/>
        <item x="145"/>
        <item x="736"/>
        <item x="496"/>
        <item x="217"/>
        <item x="447"/>
        <item x="432"/>
        <item x="429"/>
        <item x="28"/>
        <item x="872"/>
        <item x="884"/>
        <item x="533"/>
        <item x="416"/>
        <item x="72"/>
        <item x="695"/>
        <item x="512"/>
        <item x="448"/>
        <item x="551"/>
        <item x="345"/>
        <item x="647"/>
        <item x="932"/>
        <item x="374"/>
        <item x="344"/>
        <item x="484"/>
        <item x="860"/>
        <item x="10"/>
        <item x="469"/>
        <item x="227"/>
        <item x="111"/>
        <item x="854"/>
        <item x="413"/>
        <item x="697"/>
        <item x="476"/>
        <item x="102"/>
        <item x="809"/>
        <item x="588"/>
        <item x="26"/>
        <item x="73"/>
        <item x="269"/>
        <item x="596"/>
        <item x="400"/>
        <item x="775"/>
        <item x="342"/>
        <item x="69"/>
        <item x="633"/>
        <item x="885"/>
        <item x="722"/>
        <item x="148"/>
        <item x="81"/>
        <item x="754"/>
        <item x="202"/>
        <item x="473"/>
        <item x="705"/>
        <item x="830"/>
        <item x="23"/>
        <item x="958"/>
        <item x="613"/>
        <item x="502"/>
        <item x="936"/>
        <item x="82"/>
        <item x="975"/>
        <item x="521"/>
        <item x="132"/>
        <item x="105"/>
        <item x="760"/>
        <item x="15"/>
        <item x="444"/>
        <item x="431"/>
        <item x="617"/>
        <item x="121"/>
        <item x="629"/>
        <item x="144"/>
        <item x="71"/>
        <item x="605"/>
        <item x="995"/>
        <item x="271"/>
        <item x="941"/>
        <item x="153"/>
        <item x="618"/>
        <item x="817"/>
        <item x="336"/>
        <item x="762"/>
        <item x="537"/>
        <item x="11"/>
        <item x="595"/>
        <item x="967"/>
        <item x="96"/>
        <item x="910"/>
        <item x="373"/>
        <item x="380"/>
        <item x="498"/>
        <item x="142"/>
        <item x="524"/>
        <item x="38"/>
        <item x="57"/>
        <item x="326"/>
        <item x="648"/>
        <item x="42"/>
        <item x="731"/>
        <item x="394"/>
        <item x="750"/>
        <item x="95"/>
        <item x="236"/>
        <item x="656"/>
        <item x="313"/>
        <item x="576"/>
        <item x="523"/>
        <item x="992"/>
        <item x="953"/>
        <item x="190"/>
        <item x="275"/>
        <item x="32"/>
        <item x="141"/>
        <item x="130"/>
        <item x="300"/>
        <item x="696"/>
        <item x="779"/>
        <item x="212"/>
        <item x="477"/>
        <item x="290"/>
        <item x="358"/>
        <item x="415"/>
        <item x="487"/>
        <item x="112"/>
        <item x="301"/>
        <item x="91"/>
        <item x="795"/>
        <item x="680"/>
        <item x="930"/>
        <item x="972"/>
        <item x="803"/>
        <item x="826"/>
        <item x="513"/>
        <item x="522"/>
        <item x="241"/>
        <item x="87"/>
        <item x="915"/>
        <item x="678"/>
        <item x="454"/>
        <item x="556"/>
        <item x="463"/>
        <item x="317"/>
        <item x="940"/>
        <item x="759"/>
        <item x="819"/>
        <item x="25"/>
        <item x="644"/>
        <item x="927"/>
        <item x="296"/>
        <item x="221"/>
        <item x="559"/>
        <item x="735"/>
        <item x="29"/>
        <item x="35"/>
        <item x="973"/>
        <item x="823"/>
        <item x="289"/>
        <item x="852"/>
        <item x="214"/>
        <item x="924"/>
        <item x="458"/>
        <item x="911"/>
        <item x="774"/>
        <item x="626"/>
        <item x="844"/>
        <item x="668"/>
        <item x="766"/>
        <item x="421"/>
        <item x="359"/>
        <item x="531"/>
        <item x="472"/>
        <item x="539"/>
        <item x="748"/>
        <item x="392"/>
        <item x="703"/>
        <item x="699"/>
        <item x="877"/>
        <item x="24"/>
        <item x="738"/>
        <item x="70"/>
        <item x="598"/>
        <item x="690"/>
        <item x="486"/>
        <item x="272"/>
        <item x="895"/>
        <item x="868"/>
        <item x="357"/>
        <item x="921"/>
        <item x="886"/>
        <item x="12"/>
        <item x="172"/>
        <item x="475"/>
        <item x="669"/>
        <item x="835"/>
        <item x="131"/>
        <item x="366"/>
        <item x="538"/>
        <item x="898"/>
        <item x="976"/>
        <item x="492"/>
        <item x="805"/>
        <item x="249"/>
        <item x="493"/>
        <item x="586"/>
        <item x="67"/>
        <item x="479"/>
        <item x="954"/>
        <item x="799"/>
        <item x="318"/>
        <item x="900"/>
        <item x="381"/>
        <item x="163"/>
        <item x="899"/>
        <item x="747"/>
        <item x="494"/>
        <item x="979"/>
        <item x="567"/>
        <item x="310"/>
        <item x="905"/>
        <item x="665"/>
        <item x="645"/>
        <item x="85"/>
        <item x="740"/>
        <item x="643"/>
        <item x="361"/>
        <item x="122"/>
        <item x="243"/>
        <item x="200"/>
        <item x="653"/>
        <item x="640"/>
        <item x="390"/>
        <item x="802"/>
        <item x="923"/>
        <item x="147"/>
        <item x="129"/>
        <item x="354"/>
        <item x="687"/>
        <item x="103"/>
        <item x="784"/>
        <item x="573"/>
        <item x="159"/>
        <item x="649"/>
        <item x="528"/>
        <item x="971"/>
        <item x="764"/>
        <item x="320"/>
        <item x="151"/>
        <item x="478"/>
        <item x="286"/>
        <item x="232"/>
        <item x="100"/>
        <item x="53"/>
        <item x="565"/>
        <item x="355"/>
        <item x="944"/>
        <item x="165"/>
        <item x="305"/>
        <item x="749"/>
        <item x="65"/>
        <item x="845"/>
        <item x="108"/>
        <item x="442"/>
        <item x="737"/>
        <item x="858"/>
        <item x="402"/>
        <item x="247"/>
        <item x="607"/>
        <item x="239"/>
        <item x="651"/>
        <item x="676"/>
        <item x="744"/>
        <item x="37"/>
        <item x="166"/>
        <item x="708"/>
        <item x="86"/>
        <item x="768"/>
        <item x="530"/>
        <item x="333"/>
        <item x="780"/>
        <item x="808"/>
        <item x="848"/>
        <item x="590"/>
        <item x="325"/>
        <item x="943"/>
        <item x="916"/>
        <item x="883"/>
        <item x="939"/>
        <item x="21"/>
        <item x="464"/>
        <item x="555"/>
        <item x="187"/>
        <item x="934"/>
        <item x="922"/>
        <item x="371"/>
        <item x="662"/>
        <item x="80"/>
        <item x="171"/>
        <item x="726"/>
        <item x="452"/>
        <item x="552"/>
        <item x="909"/>
        <item x="547"/>
        <item x="0"/>
        <item x="777"/>
        <item x="182"/>
        <item x="302"/>
        <item x="661"/>
        <item x="711"/>
        <item x="791"/>
        <item x="156"/>
        <item x="76"/>
        <item x="507"/>
        <item x="840"/>
        <item x="231"/>
        <item x="124"/>
        <item x="46"/>
        <item x="987"/>
        <item x="370"/>
        <item x="828"/>
        <item x="981"/>
        <item x="428"/>
        <item x="211"/>
        <item x="730"/>
        <item x="919"/>
        <item x="238"/>
        <item x="54"/>
        <item x="564"/>
        <item x="892"/>
        <item x="278"/>
        <item x="686"/>
        <item x="591"/>
        <item x="980"/>
        <item x="282"/>
        <item x="337"/>
        <item x="438"/>
        <item x="242"/>
        <item x="265"/>
        <item x="948"/>
        <item x="127"/>
        <item x="959"/>
        <item x="135"/>
        <item x="514"/>
        <item x="532"/>
        <item x="616"/>
        <item x="853"/>
        <item x="179"/>
        <item x="527"/>
        <item x="926"/>
        <item x="365"/>
        <item x="655"/>
        <item x="482"/>
        <item x="660"/>
        <item x="818"/>
        <item x="177"/>
        <item x="838"/>
        <item x="949"/>
        <item x="863"/>
        <item x="90"/>
        <item x="966"/>
        <item x="952"/>
        <item x="790"/>
        <item x="903"/>
        <item x="327"/>
        <item x="917"/>
        <item x="216"/>
        <item x="260"/>
        <item x="627"/>
        <item x="516"/>
        <item x="720"/>
        <item x="297"/>
        <item x="912"/>
        <item x="441"/>
        <item x="529"/>
        <item x="13"/>
        <item x="164"/>
        <item x="414"/>
        <item x="813"/>
        <item x="234"/>
        <item x="396"/>
        <item x="570"/>
        <item x="982"/>
        <item x="319"/>
        <item x="566"/>
        <item x="867"/>
        <item x="704"/>
        <item x="9"/>
        <item x="376"/>
        <item x="364"/>
        <item x="280"/>
        <item x="545"/>
        <item x="106"/>
        <item x="16"/>
        <item x="846"/>
        <item x="261"/>
        <item x="604"/>
        <item x="440"/>
        <item x="950"/>
        <item x="223"/>
        <item x="792"/>
        <item x="800"/>
        <item x="789"/>
        <item x="167"/>
        <item x="709"/>
        <item x="688"/>
        <item x="990"/>
        <item x="113"/>
        <item x="14"/>
        <item x="641"/>
        <item x="422"/>
        <item x="419"/>
        <item x="228"/>
        <item x="307"/>
        <item x="399"/>
        <item x="170"/>
        <item x="515"/>
        <item x="393"/>
        <item x="18"/>
        <item x="316"/>
        <item x="913"/>
        <item x="578"/>
        <item x="984"/>
        <item x="869"/>
        <item x="460"/>
        <item x="146"/>
        <item x="192"/>
        <item x="338"/>
        <item x="84"/>
        <item x="742"/>
        <item x="871"/>
        <item x="955"/>
        <item x="20"/>
        <item x="79"/>
        <item x="39"/>
        <item x="219"/>
        <item x="994"/>
        <item x="693"/>
        <item x="295"/>
        <item x="500"/>
        <item x="505"/>
        <item x="831"/>
        <item x="143"/>
        <item x="252"/>
        <item x="362"/>
        <item x="933"/>
        <item x="671"/>
        <item x="194"/>
        <item x="349"/>
        <item x="255"/>
        <item x="670"/>
        <item x="162"/>
        <item x="683"/>
        <item x="409"/>
        <item x="185"/>
        <item x="119"/>
        <item x="377"/>
        <item x="663"/>
        <item x="75"/>
        <item x="488"/>
        <item x="548"/>
        <item x="652"/>
        <item x="562"/>
        <item x="728"/>
        <item x="101"/>
        <item x="833"/>
        <item x="769"/>
        <item x="293"/>
        <item x="718"/>
        <item x="600"/>
        <item x="324"/>
        <item x="712"/>
        <item x="356"/>
        <item x="161"/>
        <item x="445"/>
        <item x="406"/>
        <item x="820"/>
        <item x="197"/>
        <item x="66"/>
        <item x="133"/>
        <item x="970"/>
        <item x="78"/>
        <item x="832"/>
        <item x="685"/>
        <item x="331"/>
        <item x="125"/>
        <item x="186"/>
        <item x="587"/>
        <item x="876"/>
        <item x="274"/>
        <item x="611"/>
        <item x="961"/>
        <item x="50"/>
        <item x="83"/>
        <item x="495"/>
        <item x="906"/>
        <item x="152"/>
        <item x="481"/>
        <item x="893"/>
        <item x="7"/>
        <item x="786"/>
        <item x="827"/>
        <item x="557"/>
        <item x="368"/>
        <item x="861"/>
        <item x="273"/>
        <item x="449"/>
        <item x="19"/>
        <item x="546"/>
        <item x="701"/>
        <item x="847"/>
        <item x="49"/>
        <item x="721"/>
        <item x="168"/>
        <item x="483"/>
        <item x="654"/>
        <item x="624"/>
        <item x="43"/>
        <item x="470"/>
        <item x="245"/>
        <item x="3"/>
        <item x="306"/>
        <item x="689"/>
        <item x="582"/>
        <item x="110"/>
        <item x="870"/>
        <item x="2"/>
        <item x="184"/>
        <item x="114"/>
        <item x="351"/>
        <item x="549"/>
        <item x="391"/>
        <item x="207"/>
        <item x="405"/>
        <item x="580"/>
        <item x="603"/>
        <item x="36"/>
        <item x="466"/>
        <item x="938"/>
        <item x="224"/>
        <item x="244"/>
        <item x="650"/>
        <item x="526"/>
        <item x="204"/>
        <item x="706"/>
        <item x="385"/>
        <item x="717"/>
        <item x="622"/>
        <item x="599"/>
        <item x="925"/>
        <item x="657"/>
        <item x="41"/>
        <item x="602"/>
        <item x="74"/>
        <item x="785"/>
        <item x="928"/>
        <item x="117"/>
        <item x="201"/>
        <item x="978"/>
        <item x="679"/>
        <item x="963"/>
        <item x="490"/>
        <item x="169"/>
        <item x="68"/>
        <item x="44"/>
        <item x="88"/>
        <item x="713"/>
        <item x="427"/>
        <item x="404"/>
        <item x="330"/>
        <item x="782"/>
        <item x="425"/>
        <item x="636"/>
        <item x="434"/>
        <item x="619"/>
        <item x="291"/>
        <item x="181"/>
        <item x="137"/>
        <item x="312"/>
        <item x="568"/>
        <item x="501"/>
        <item x="889"/>
        <item x="150"/>
        <item x="986"/>
        <item f="1" x="996"/>
        <item f="1" x="997"/>
        <item f="1" x="998"/>
        <item f="1" x="999"/>
        <item f="1" x="1000"/>
        <item t="default"/>
      </items>
    </pivotField>
    <pivotField showAll="0"/>
    <pivotField showAll="0"/>
    <pivotField showAll="0">
      <items count="4">
        <item x="2"/>
        <item x="1"/>
        <item x="0"/>
        <item t="default"/>
      </items>
    </pivotField>
    <pivotField showAll="0"/>
    <pivotField showAll="0"/>
  </pivotFields>
  <rowItems count="1">
    <i/>
  </rowItems>
  <colItems count="1">
    <i/>
  </colItems>
  <dataFields count="1">
    <dataField name="Count of EMP ID.1"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E822879-EDAE-438A-AEDA-A19C5F164DD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28:P62" firstHeaderRow="1" firstDataRow="1" firstDataCol="1"/>
  <pivotFields count="14">
    <pivotField dataField="1" showAll="0"/>
    <pivotField axis="axisRow" showAll="0">
      <items count="34">
        <item x="28"/>
        <item x="15"/>
        <item x="7"/>
        <item x="19"/>
        <item x="32"/>
        <item x="14"/>
        <item x="4"/>
        <item x="9"/>
        <item x="5"/>
        <item x="6"/>
        <item x="25"/>
        <item x="13"/>
        <item x="8"/>
        <item x="31"/>
        <item x="26"/>
        <item x="27"/>
        <item x="12"/>
        <item x="30"/>
        <item x="23"/>
        <item x="20"/>
        <item x="16"/>
        <item x="18"/>
        <item x="29"/>
        <item x="22"/>
        <item x="10"/>
        <item x="1"/>
        <item x="24"/>
        <item x="0"/>
        <item x="11"/>
        <item x="17"/>
        <item x="21"/>
        <item x="3"/>
        <item x="2"/>
        <item t="default"/>
      </items>
    </pivotField>
    <pivotField showAll="0">
      <items count="8">
        <item x="3"/>
        <item x="4"/>
        <item x="1"/>
        <item x="5"/>
        <item x="0"/>
        <item x="6"/>
        <item x="2"/>
        <item t="default"/>
      </items>
    </pivotField>
    <pivotField showAll="0">
      <items count="5">
        <item x="3"/>
        <item x="2"/>
        <item x="0"/>
        <item x="1"/>
        <item t="default"/>
      </items>
    </pivotField>
    <pivotField showAll="0">
      <items count="3">
        <item x="0"/>
        <item x="1"/>
        <item t="default"/>
      </items>
    </pivotField>
    <pivotField showAll="0"/>
    <pivotField showAll="0"/>
    <pivotField numFmtId="22" showAll="0"/>
    <pivotField showAll="0">
      <items count="1002">
        <item x="757"/>
        <item x="758"/>
        <item x="804"/>
        <item x="94"/>
        <item x="763"/>
        <item x="776"/>
        <item x="116"/>
        <item x="896"/>
        <item x="807"/>
        <item x="92"/>
        <item x="829"/>
        <item x="751"/>
        <item x="328"/>
        <item x="435"/>
        <item x="707"/>
        <item x="401"/>
        <item x="270"/>
        <item x="468"/>
        <item x="203"/>
        <item x="837"/>
        <item x="583"/>
        <item x="659"/>
        <item x="646"/>
        <item x="623"/>
        <item x="874"/>
        <item x="878"/>
        <item x="773"/>
        <item x="664"/>
        <item x="363"/>
        <item x="882"/>
        <item x="215"/>
        <item x="233"/>
        <item x="574"/>
        <item x="991"/>
        <item x="347"/>
        <item x="993"/>
        <item x="881"/>
        <item x="739"/>
        <item x="579"/>
        <item x="40"/>
        <item x="842"/>
        <item x="367"/>
        <item x="560"/>
        <item x="199"/>
        <item x="691"/>
        <item x="610"/>
        <item x="279"/>
        <item x="183"/>
        <item x="457"/>
        <item x="97"/>
        <item x="658"/>
        <item x="157"/>
        <item x="264"/>
        <item x="258"/>
        <item x="208"/>
        <item x="89"/>
        <item x="509"/>
        <item x="584"/>
        <item x="517"/>
        <item x="99"/>
        <item x="386"/>
        <item x="230"/>
        <item x="360"/>
        <item x="957"/>
        <item x="554"/>
        <item x="937"/>
        <item x="681"/>
        <item x="525"/>
        <item x="158"/>
        <item x="593"/>
        <item x="504"/>
        <item x="149"/>
        <item x="437"/>
        <item x="8"/>
        <item x="851"/>
        <item x="962"/>
        <item x="783"/>
        <item x="329"/>
        <item x="834"/>
        <item x="256"/>
        <item x="732"/>
        <item x="550"/>
        <item x="139"/>
        <item x="33"/>
        <item x="684"/>
        <item x="281"/>
        <item x="632"/>
        <item x="372"/>
        <item x="890"/>
        <item x="299"/>
        <item x="450"/>
        <item x="235"/>
        <item x="378"/>
        <item x="968"/>
        <item x="417"/>
        <item x="638"/>
        <item x="246"/>
        <item x="667"/>
        <item x="375"/>
        <item x="635"/>
        <item x="901"/>
        <item x="931"/>
        <item x="30"/>
        <item x="771"/>
        <item x="379"/>
        <item x="109"/>
        <item x="836"/>
        <item x="563"/>
        <item x="945"/>
        <item x="340"/>
        <item x="856"/>
        <item x="589"/>
        <item x="935"/>
        <item x="765"/>
        <item x="575"/>
        <item x="553"/>
        <item x="741"/>
        <item x="770"/>
        <item x="285"/>
        <item x="891"/>
        <item x="907"/>
        <item x="294"/>
        <item x="637"/>
        <item x="942"/>
        <item x="608"/>
        <item x="752"/>
        <item x="585"/>
        <item x="543"/>
        <item x="268"/>
        <item x="292"/>
        <item x="395"/>
        <item x="920"/>
        <item x="675"/>
        <item x="178"/>
        <item x="729"/>
        <item x="160"/>
        <item x="508"/>
        <item x="262"/>
        <item x="902"/>
        <item x="304"/>
        <item x="497"/>
        <item x="155"/>
        <item x="879"/>
        <item x="597"/>
        <item x="969"/>
        <item x="4"/>
        <item x="191"/>
        <item x="862"/>
        <item x="339"/>
        <item x="491"/>
        <item x="806"/>
        <item x="894"/>
        <item x="6"/>
        <item x="843"/>
        <item x="443"/>
        <item x="965"/>
        <item x="947"/>
        <item x="180"/>
        <item x="350"/>
        <item x="698"/>
        <item x="724"/>
        <item x="614"/>
        <item x="888"/>
        <item x="412"/>
        <item x="225"/>
        <item x="384"/>
        <item x="797"/>
        <item x="456"/>
        <item x="287"/>
        <item x="956"/>
        <item x="753"/>
        <item x="746"/>
        <item x="459"/>
        <item x="107"/>
        <item x="811"/>
        <item x="63"/>
        <item x="253"/>
        <item x="914"/>
        <item x="534"/>
        <item x="332"/>
        <item x="788"/>
        <item x="857"/>
        <item x="126"/>
        <item x="745"/>
        <item x="276"/>
        <item x="700"/>
        <item x="451"/>
        <item x="420"/>
        <item x="369"/>
        <item x="439"/>
        <item x="672"/>
        <item x="257"/>
        <item x="462"/>
        <item x="825"/>
        <item x="98"/>
        <item x="489"/>
        <item x="569"/>
        <item x="855"/>
        <item x="520"/>
        <item x="615"/>
        <item x="929"/>
        <item x="873"/>
        <item x="240"/>
        <item x="266"/>
        <item x="794"/>
        <item x="989"/>
        <item x="51"/>
        <item x="755"/>
        <item x="410"/>
        <item x="630"/>
        <item x="985"/>
        <item x="321"/>
        <item x="674"/>
        <item x="353"/>
        <item x="58"/>
        <item x="839"/>
        <item x="506"/>
        <item x="267"/>
        <item x="467"/>
        <item x="465"/>
        <item x="510"/>
        <item x="719"/>
        <item x="174"/>
        <item x="620"/>
        <item x="120"/>
        <item x="904"/>
        <item x="535"/>
        <item x="64"/>
        <item x="283"/>
        <item x="418"/>
        <item x="723"/>
        <item x="864"/>
        <item x="561"/>
        <item x="254"/>
        <item x="210"/>
        <item x="193"/>
        <item x="542"/>
        <item x="195"/>
        <item x="810"/>
        <item x="229"/>
        <item x="176"/>
        <item x="558"/>
        <item x="48"/>
        <item x="93"/>
        <item x="866"/>
        <item x="407"/>
        <item x="259"/>
        <item x="801"/>
        <item x="118"/>
        <item x="612"/>
        <item x="433"/>
        <item x="27"/>
        <item x="756"/>
        <item x="571"/>
        <item x="22"/>
        <item x="485"/>
        <item x="34"/>
        <item x="964"/>
        <item x="541"/>
        <item x="734"/>
        <item x="209"/>
        <item x="288"/>
        <item x="639"/>
        <item x="631"/>
        <item x="430"/>
        <item x="733"/>
        <item x="315"/>
        <item x="772"/>
        <item x="104"/>
        <item x="453"/>
        <item x="226"/>
        <item x="471"/>
        <item x="173"/>
        <item x="572"/>
        <item x="237"/>
        <item x="781"/>
        <item x="446"/>
        <item x="474"/>
        <item x="908"/>
        <item x="220"/>
        <item x="841"/>
        <item x="322"/>
        <item x="189"/>
        <item x="206"/>
        <item x="897"/>
        <item x="5"/>
        <item x="61"/>
        <item x="536"/>
        <item x="341"/>
        <item x="577"/>
        <item x="17"/>
        <item x="796"/>
        <item x="581"/>
        <item x="628"/>
        <item x="761"/>
        <item x="123"/>
        <item x="815"/>
        <item x="767"/>
        <item x="716"/>
        <item x="850"/>
        <item x="59"/>
        <item x="694"/>
        <item x="303"/>
        <item x="408"/>
        <item x="609"/>
        <item x="634"/>
        <item x="403"/>
        <item x="677"/>
        <item x="714"/>
        <item x="875"/>
        <item x="424"/>
        <item x="128"/>
        <item x="673"/>
        <item x="1"/>
        <item x="387"/>
        <item x="540"/>
        <item x="702"/>
        <item x="725"/>
        <item x="798"/>
        <item x="544"/>
        <item x="196"/>
        <item x="642"/>
        <item x="198"/>
        <item x="426"/>
        <item x="666"/>
        <item x="816"/>
        <item x="323"/>
        <item x="812"/>
        <item x="188"/>
        <item x="352"/>
        <item x="865"/>
        <item x="31"/>
        <item x="136"/>
        <item x="411"/>
        <item x="621"/>
        <item x="423"/>
        <item x="951"/>
        <item x="822"/>
        <item x="977"/>
        <item x="960"/>
        <item x="606"/>
        <item x="248"/>
        <item x="814"/>
        <item x="311"/>
        <item x="45"/>
        <item x="348"/>
        <item x="601"/>
        <item x="918"/>
        <item x="138"/>
        <item x="222"/>
        <item x="343"/>
        <item x="480"/>
        <item x="140"/>
        <item x="787"/>
        <item x="62"/>
        <item x="335"/>
        <item x="499"/>
        <item x="154"/>
        <item x="397"/>
        <item x="824"/>
        <item x="56"/>
        <item x="778"/>
        <item x="218"/>
        <item x="277"/>
        <item x="511"/>
        <item x="382"/>
        <item x="715"/>
        <item x="887"/>
        <item x="334"/>
        <item x="436"/>
        <item x="988"/>
        <item x="308"/>
        <item x="134"/>
        <item x="213"/>
        <item x="389"/>
        <item x="710"/>
        <item x="346"/>
        <item x="594"/>
        <item x="52"/>
        <item x="821"/>
        <item x="251"/>
        <item x="309"/>
        <item x="47"/>
        <item x="60"/>
        <item x="284"/>
        <item x="314"/>
        <item x="743"/>
        <item x="692"/>
        <item x="175"/>
        <item x="263"/>
        <item x="682"/>
        <item x="592"/>
        <item x="455"/>
        <item x="115"/>
        <item x="298"/>
        <item x="625"/>
        <item x="383"/>
        <item x="880"/>
        <item x="250"/>
        <item x="974"/>
        <item x="849"/>
        <item x="519"/>
        <item x="205"/>
        <item x="461"/>
        <item x="859"/>
        <item x="518"/>
        <item x="946"/>
        <item x="55"/>
        <item x="727"/>
        <item x="398"/>
        <item x="793"/>
        <item x="503"/>
        <item x="77"/>
        <item x="388"/>
        <item x="983"/>
        <item x="145"/>
        <item x="736"/>
        <item x="496"/>
        <item x="217"/>
        <item x="447"/>
        <item x="432"/>
        <item x="429"/>
        <item x="28"/>
        <item x="872"/>
        <item x="884"/>
        <item x="533"/>
        <item x="416"/>
        <item x="72"/>
        <item x="695"/>
        <item x="512"/>
        <item x="448"/>
        <item x="551"/>
        <item x="345"/>
        <item x="647"/>
        <item x="932"/>
        <item x="374"/>
        <item x="344"/>
        <item x="484"/>
        <item x="860"/>
        <item x="10"/>
        <item x="469"/>
        <item x="227"/>
        <item x="111"/>
        <item x="854"/>
        <item x="413"/>
        <item x="697"/>
        <item x="476"/>
        <item x="102"/>
        <item x="809"/>
        <item x="588"/>
        <item x="26"/>
        <item x="73"/>
        <item x="269"/>
        <item x="596"/>
        <item x="400"/>
        <item x="775"/>
        <item x="342"/>
        <item x="69"/>
        <item x="633"/>
        <item x="885"/>
        <item x="722"/>
        <item x="148"/>
        <item x="81"/>
        <item x="754"/>
        <item x="202"/>
        <item x="473"/>
        <item x="705"/>
        <item x="830"/>
        <item x="23"/>
        <item x="958"/>
        <item x="613"/>
        <item x="502"/>
        <item x="936"/>
        <item x="82"/>
        <item x="975"/>
        <item x="521"/>
        <item x="132"/>
        <item x="105"/>
        <item x="760"/>
        <item x="15"/>
        <item x="444"/>
        <item x="431"/>
        <item x="617"/>
        <item x="121"/>
        <item x="629"/>
        <item x="144"/>
        <item x="71"/>
        <item x="605"/>
        <item x="995"/>
        <item x="271"/>
        <item x="941"/>
        <item x="153"/>
        <item x="618"/>
        <item x="817"/>
        <item x="336"/>
        <item x="762"/>
        <item x="537"/>
        <item x="11"/>
        <item x="595"/>
        <item x="967"/>
        <item x="96"/>
        <item x="910"/>
        <item x="373"/>
        <item x="380"/>
        <item x="498"/>
        <item x="142"/>
        <item x="524"/>
        <item x="38"/>
        <item x="57"/>
        <item x="326"/>
        <item x="648"/>
        <item x="42"/>
        <item x="731"/>
        <item x="394"/>
        <item x="750"/>
        <item x="95"/>
        <item x="236"/>
        <item x="656"/>
        <item x="313"/>
        <item x="576"/>
        <item x="523"/>
        <item x="992"/>
        <item x="953"/>
        <item x="190"/>
        <item x="275"/>
        <item x="32"/>
        <item x="141"/>
        <item x="130"/>
        <item x="300"/>
        <item x="696"/>
        <item x="779"/>
        <item x="212"/>
        <item x="477"/>
        <item x="290"/>
        <item x="358"/>
        <item x="415"/>
        <item x="487"/>
        <item x="112"/>
        <item x="301"/>
        <item x="91"/>
        <item x="795"/>
        <item x="680"/>
        <item x="930"/>
        <item x="972"/>
        <item x="803"/>
        <item x="826"/>
        <item x="513"/>
        <item x="522"/>
        <item x="241"/>
        <item x="87"/>
        <item x="915"/>
        <item x="678"/>
        <item x="454"/>
        <item x="556"/>
        <item x="463"/>
        <item x="317"/>
        <item x="940"/>
        <item x="759"/>
        <item x="819"/>
        <item x="25"/>
        <item x="644"/>
        <item x="927"/>
        <item x="296"/>
        <item x="221"/>
        <item x="559"/>
        <item x="735"/>
        <item x="29"/>
        <item x="35"/>
        <item x="973"/>
        <item x="823"/>
        <item x="289"/>
        <item x="852"/>
        <item x="214"/>
        <item x="924"/>
        <item x="458"/>
        <item x="911"/>
        <item x="774"/>
        <item x="626"/>
        <item x="844"/>
        <item x="668"/>
        <item x="766"/>
        <item x="421"/>
        <item x="359"/>
        <item x="531"/>
        <item x="472"/>
        <item x="539"/>
        <item x="748"/>
        <item x="392"/>
        <item x="703"/>
        <item x="699"/>
        <item x="877"/>
        <item x="24"/>
        <item x="738"/>
        <item x="70"/>
        <item x="598"/>
        <item x="690"/>
        <item x="486"/>
        <item x="272"/>
        <item x="895"/>
        <item x="868"/>
        <item x="357"/>
        <item x="921"/>
        <item x="886"/>
        <item x="12"/>
        <item x="172"/>
        <item x="475"/>
        <item x="669"/>
        <item x="835"/>
        <item x="131"/>
        <item x="366"/>
        <item x="538"/>
        <item x="898"/>
        <item x="976"/>
        <item x="492"/>
        <item x="805"/>
        <item x="249"/>
        <item x="493"/>
        <item x="586"/>
        <item x="67"/>
        <item x="479"/>
        <item x="954"/>
        <item x="799"/>
        <item x="318"/>
        <item x="900"/>
        <item x="381"/>
        <item x="163"/>
        <item x="899"/>
        <item x="747"/>
        <item x="494"/>
        <item x="979"/>
        <item x="567"/>
        <item x="310"/>
        <item x="905"/>
        <item x="665"/>
        <item x="645"/>
        <item x="85"/>
        <item x="740"/>
        <item x="643"/>
        <item x="361"/>
        <item x="122"/>
        <item x="243"/>
        <item x="200"/>
        <item x="653"/>
        <item x="640"/>
        <item x="390"/>
        <item x="802"/>
        <item x="923"/>
        <item x="147"/>
        <item x="129"/>
        <item x="354"/>
        <item x="687"/>
        <item x="103"/>
        <item x="784"/>
        <item x="573"/>
        <item x="159"/>
        <item x="649"/>
        <item x="528"/>
        <item x="971"/>
        <item x="764"/>
        <item x="320"/>
        <item x="151"/>
        <item x="478"/>
        <item x="286"/>
        <item x="232"/>
        <item x="100"/>
        <item x="53"/>
        <item x="565"/>
        <item x="355"/>
        <item x="944"/>
        <item x="165"/>
        <item x="305"/>
        <item x="749"/>
        <item x="65"/>
        <item x="845"/>
        <item x="108"/>
        <item x="442"/>
        <item x="737"/>
        <item x="858"/>
        <item x="402"/>
        <item x="247"/>
        <item x="607"/>
        <item x="239"/>
        <item x="651"/>
        <item x="676"/>
        <item x="744"/>
        <item x="37"/>
        <item x="166"/>
        <item x="708"/>
        <item x="86"/>
        <item x="768"/>
        <item x="530"/>
        <item x="333"/>
        <item x="780"/>
        <item x="808"/>
        <item x="848"/>
        <item x="590"/>
        <item x="325"/>
        <item x="943"/>
        <item x="916"/>
        <item x="883"/>
        <item x="939"/>
        <item x="21"/>
        <item x="464"/>
        <item x="555"/>
        <item x="187"/>
        <item x="934"/>
        <item x="922"/>
        <item x="371"/>
        <item x="662"/>
        <item x="80"/>
        <item x="171"/>
        <item x="726"/>
        <item x="452"/>
        <item x="552"/>
        <item x="909"/>
        <item x="547"/>
        <item x="0"/>
        <item x="777"/>
        <item x="182"/>
        <item x="302"/>
        <item x="661"/>
        <item x="711"/>
        <item x="791"/>
        <item x="156"/>
        <item x="76"/>
        <item x="507"/>
        <item x="840"/>
        <item x="231"/>
        <item x="124"/>
        <item x="46"/>
        <item x="987"/>
        <item x="370"/>
        <item x="828"/>
        <item x="981"/>
        <item x="428"/>
        <item x="211"/>
        <item x="730"/>
        <item x="919"/>
        <item x="238"/>
        <item x="54"/>
        <item x="564"/>
        <item x="892"/>
        <item x="278"/>
        <item x="686"/>
        <item x="591"/>
        <item x="980"/>
        <item x="282"/>
        <item x="337"/>
        <item x="438"/>
        <item x="242"/>
        <item x="265"/>
        <item x="948"/>
        <item x="127"/>
        <item x="959"/>
        <item x="135"/>
        <item x="514"/>
        <item x="532"/>
        <item x="616"/>
        <item x="853"/>
        <item x="179"/>
        <item x="527"/>
        <item x="926"/>
        <item x="365"/>
        <item x="655"/>
        <item x="482"/>
        <item x="660"/>
        <item x="818"/>
        <item x="177"/>
        <item x="838"/>
        <item x="949"/>
        <item x="863"/>
        <item x="90"/>
        <item x="966"/>
        <item x="952"/>
        <item x="790"/>
        <item x="903"/>
        <item x="327"/>
        <item x="917"/>
        <item x="216"/>
        <item x="260"/>
        <item x="627"/>
        <item x="516"/>
        <item x="720"/>
        <item x="297"/>
        <item x="912"/>
        <item x="441"/>
        <item x="529"/>
        <item x="13"/>
        <item x="164"/>
        <item x="414"/>
        <item x="813"/>
        <item x="234"/>
        <item x="396"/>
        <item x="570"/>
        <item x="982"/>
        <item x="319"/>
        <item x="566"/>
        <item x="867"/>
        <item x="704"/>
        <item x="9"/>
        <item x="376"/>
        <item x="364"/>
        <item x="280"/>
        <item x="545"/>
        <item x="106"/>
        <item x="16"/>
        <item x="846"/>
        <item x="261"/>
        <item x="604"/>
        <item x="440"/>
        <item x="950"/>
        <item x="223"/>
        <item x="792"/>
        <item x="800"/>
        <item x="789"/>
        <item x="167"/>
        <item x="709"/>
        <item x="688"/>
        <item x="990"/>
        <item x="113"/>
        <item x="14"/>
        <item x="641"/>
        <item x="422"/>
        <item x="419"/>
        <item x="228"/>
        <item x="307"/>
        <item x="399"/>
        <item x="170"/>
        <item x="515"/>
        <item x="393"/>
        <item x="18"/>
        <item x="316"/>
        <item x="913"/>
        <item x="578"/>
        <item x="984"/>
        <item x="869"/>
        <item x="460"/>
        <item x="146"/>
        <item x="192"/>
        <item x="338"/>
        <item x="84"/>
        <item x="742"/>
        <item x="871"/>
        <item x="955"/>
        <item x="20"/>
        <item x="79"/>
        <item x="39"/>
        <item x="219"/>
        <item x="994"/>
        <item x="693"/>
        <item x="295"/>
        <item x="500"/>
        <item x="505"/>
        <item x="831"/>
        <item x="143"/>
        <item x="252"/>
        <item x="362"/>
        <item x="933"/>
        <item x="671"/>
        <item x="194"/>
        <item x="349"/>
        <item x="255"/>
        <item x="670"/>
        <item x="162"/>
        <item x="683"/>
        <item x="409"/>
        <item x="185"/>
        <item x="119"/>
        <item x="377"/>
        <item x="663"/>
        <item x="75"/>
        <item x="488"/>
        <item x="548"/>
        <item x="652"/>
        <item x="562"/>
        <item x="728"/>
        <item x="101"/>
        <item x="833"/>
        <item x="769"/>
        <item x="293"/>
        <item x="718"/>
        <item x="600"/>
        <item x="324"/>
        <item x="712"/>
        <item x="356"/>
        <item x="161"/>
        <item x="445"/>
        <item x="406"/>
        <item x="820"/>
        <item x="197"/>
        <item x="66"/>
        <item x="133"/>
        <item x="970"/>
        <item x="78"/>
        <item x="832"/>
        <item x="685"/>
        <item x="331"/>
        <item x="125"/>
        <item x="186"/>
        <item x="587"/>
        <item x="876"/>
        <item x="274"/>
        <item x="611"/>
        <item x="961"/>
        <item x="50"/>
        <item x="83"/>
        <item x="495"/>
        <item x="906"/>
        <item x="152"/>
        <item x="481"/>
        <item x="893"/>
        <item x="7"/>
        <item x="786"/>
        <item x="827"/>
        <item x="557"/>
        <item x="368"/>
        <item x="861"/>
        <item x="273"/>
        <item x="449"/>
        <item x="19"/>
        <item x="546"/>
        <item x="701"/>
        <item x="847"/>
        <item x="49"/>
        <item x="721"/>
        <item x="168"/>
        <item x="483"/>
        <item x="654"/>
        <item x="624"/>
        <item x="43"/>
        <item x="470"/>
        <item x="245"/>
        <item x="3"/>
        <item x="306"/>
        <item x="689"/>
        <item x="582"/>
        <item x="110"/>
        <item x="870"/>
        <item x="2"/>
        <item x="184"/>
        <item x="114"/>
        <item x="351"/>
        <item x="549"/>
        <item x="391"/>
        <item x="207"/>
        <item x="405"/>
        <item x="580"/>
        <item x="603"/>
        <item x="36"/>
        <item x="466"/>
        <item x="938"/>
        <item x="224"/>
        <item x="244"/>
        <item x="650"/>
        <item x="526"/>
        <item x="204"/>
        <item x="706"/>
        <item x="385"/>
        <item x="717"/>
        <item x="622"/>
        <item x="599"/>
        <item x="925"/>
        <item x="657"/>
        <item x="41"/>
        <item x="602"/>
        <item x="74"/>
        <item x="785"/>
        <item x="928"/>
        <item x="117"/>
        <item x="201"/>
        <item x="978"/>
        <item x="679"/>
        <item x="963"/>
        <item x="490"/>
        <item x="169"/>
        <item x="68"/>
        <item x="44"/>
        <item x="88"/>
        <item x="713"/>
        <item x="427"/>
        <item x="404"/>
        <item x="330"/>
        <item x="782"/>
        <item x="425"/>
        <item x="636"/>
        <item x="434"/>
        <item x="619"/>
        <item x="291"/>
        <item x="181"/>
        <item x="137"/>
        <item x="312"/>
        <item x="568"/>
        <item x="501"/>
        <item x="889"/>
        <item x="150"/>
        <item x="986"/>
        <item f="1" x="996"/>
        <item f="1" x="997"/>
        <item f="1" x="998"/>
        <item f="1" x="999"/>
        <item f="1" x="1000"/>
        <item t="default"/>
      </items>
    </pivotField>
    <pivotField showAll="0"/>
    <pivotField showAll="0"/>
    <pivotField showAll="0">
      <items count="4">
        <item x="2"/>
        <item x="1"/>
        <item x="0"/>
        <item t="default"/>
      </items>
    </pivotField>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EMP ID.1" fld="0" subtotal="count" baseField="1" baseItem="9"/>
  </dataFields>
  <chartFormats count="35">
    <chartFormat chart="10"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9"/>
          </reference>
        </references>
      </pivotArea>
    </chartFormat>
    <chartFormat chart="11" format="3">
      <pivotArea type="data" outline="0" fieldPosition="0">
        <references count="2">
          <reference field="4294967294" count="1" selected="0">
            <x v="0"/>
          </reference>
          <reference field="1" count="1" selected="0">
            <x v="16"/>
          </reference>
        </references>
      </pivotArea>
    </chartFormat>
    <chartFormat chart="11" format="4">
      <pivotArea type="data" outline="0" fieldPosition="0">
        <references count="2">
          <reference field="4294967294" count="1" selected="0">
            <x v="0"/>
          </reference>
          <reference field="1" count="1" selected="0">
            <x v="27"/>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 chart="11" format="7">
      <pivotArea type="data" outline="0" fieldPosition="0">
        <references count="2">
          <reference field="4294967294" count="1" selected="0">
            <x v="0"/>
          </reference>
          <reference field="1" count="1" selected="0">
            <x v="2"/>
          </reference>
        </references>
      </pivotArea>
    </chartFormat>
    <chartFormat chart="11" format="8">
      <pivotArea type="data" outline="0" fieldPosition="0">
        <references count="2">
          <reference field="4294967294" count="1" selected="0">
            <x v="0"/>
          </reference>
          <reference field="1" count="1" selected="0">
            <x v="3"/>
          </reference>
        </references>
      </pivotArea>
    </chartFormat>
    <chartFormat chart="11" format="9">
      <pivotArea type="data" outline="0" fieldPosition="0">
        <references count="2">
          <reference field="4294967294" count="1" selected="0">
            <x v="0"/>
          </reference>
          <reference field="1" count="1" selected="0">
            <x v="4"/>
          </reference>
        </references>
      </pivotArea>
    </chartFormat>
    <chartFormat chart="11" format="10">
      <pivotArea type="data" outline="0" fieldPosition="0">
        <references count="2">
          <reference field="4294967294" count="1" selected="0">
            <x v="0"/>
          </reference>
          <reference field="1" count="1" selected="0">
            <x v="5"/>
          </reference>
        </references>
      </pivotArea>
    </chartFormat>
    <chartFormat chart="11" format="11">
      <pivotArea type="data" outline="0" fieldPosition="0">
        <references count="2">
          <reference field="4294967294" count="1" selected="0">
            <x v="0"/>
          </reference>
          <reference field="1" count="1" selected="0">
            <x v="6"/>
          </reference>
        </references>
      </pivotArea>
    </chartFormat>
    <chartFormat chart="11" format="12">
      <pivotArea type="data" outline="0" fieldPosition="0">
        <references count="2">
          <reference field="4294967294" count="1" selected="0">
            <x v="0"/>
          </reference>
          <reference field="1" count="1" selected="0">
            <x v="7"/>
          </reference>
        </references>
      </pivotArea>
    </chartFormat>
    <chartFormat chart="11" format="13">
      <pivotArea type="data" outline="0" fieldPosition="0">
        <references count="2">
          <reference field="4294967294" count="1" selected="0">
            <x v="0"/>
          </reference>
          <reference field="1" count="1" selected="0">
            <x v="8"/>
          </reference>
        </references>
      </pivotArea>
    </chartFormat>
    <chartFormat chart="11" format="14">
      <pivotArea type="data" outline="0" fieldPosition="0">
        <references count="2">
          <reference field="4294967294" count="1" selected="0">
            <x v="0"/>
          </reference>
          <reference field="1" count="1" selected="0">
            <x v="10"/>
          </reference>
        </references>
      </pivotArea>
    </chartFormat>
    <chartFormat chart="11" format="15">
      <pivotArea type="data" outline="0" fieldPosition="0">
        <references count="2">
          <reference field="4294967294" count="1" selected="0">
            <x v="0"/>
          </reference>
          <reference field="1" count="1" selected="0">
            <x v="11"/>
          </reference>
        </references>
      </pivotArea>
    </chartFormat>
    <chartFormat chart="11" format="16">
      <pivotArea type="data" outline="0" fieldPosition="0">
        <references count="2">
          <reference field="4294967294" count="1" selected="0">
            <x v="0"/>
          </reference>
          <reference field="1" count="1" selected="0">
            <x v="12"/>
          </reference>
        </references>
      </pivotArea>
    </chartFormat>
    <chartFormat chart="11" format="17">
      <pivotArea type="data" outline="0" fieldPosition="0">
        <references count="2">
          <reference field="4294967294" count="1" selected="0">
            <x v="0"/>
          </reference>
          <reference field="1" count="1" selected="0">
            <x v="13"/>
          </reference>
        </references>
      </pivotArea>
    </chartFormat>
    <chartFormat chart="11" format="18">
      <pivotArea type="data" outline="0" fieldPosition="0">
        <references count="2">
          <reference field="4294967294" count="1" selected="0">
            <x v="0"/>
          </reference>
          <reference field="1" count="1" selected="0">
            <x v="14"/>
          </reference>
        </references>
      </pivotArea>
    </chartFormat>
    <chartFormat chart="11" format="19">
      <pivotArea type="data" outline="0" fieldPosition="0">
        <references count="2">
          <reference field="4294967294" count="1" selected="0">
            <x v="0"/>
          </reference>
          <reference field="1" count="1" selected="0">
            <x v="15"/>
          </reference>
        </references>
      </pivotArea>
    </chartFormat>
    <chartFormat chart="11" format="20">
      <pivotArea type="data" outline="0" fieldPosition="0">
        <references count="2">
          <reference field="4294967294" count="1" selected="0">
            <x v="0"/>
          </reference>
          <reference field="1" count="1" selected="0">
            <x v="17"/>
          </reference>
        </references>
      </pivotArea>
    </chartFormat>
    <chartFormat chart="11" format="21">
      <pivotArea type="data" outline="0" fieldPosition="0">
        <references count="2">
          <reference field="4294967294" count="1" selected="0">
            <x v="0"/>
          </reference>
          <reference field="1" count="1" selected="0">
            <x v="18"/>
          </reference>
        </references>
      </pivotArea>
    </chartFormat>
    <chartFormat chart="11" format="22">
      <pivotArea type="data" outline="0" fieldPosition="0">
        <references count="2">
          <reference field="4294967294" count="1" selected="0">
            <x v="0"/>
          </reference>
          <reference field="1" count="1" selected="0">
            <x v="19"/>
          </reference>
        </references>
      </pivotArea>
    </chartFormat>
    <chartFormat chart="11" format="23">
      <pivotArea type="data" outline="0" fieldPosition="0">
        <references count="2">
          <reference field="4294967294" count="1" selected="0">
            <x v="0"/>
          </reference>
          <reference field="1" count="1" selected="0">
            <x v="20"/>
          </reference>
        </references>
      </pivotArea>
    </chartFormat>
    <chartFormat chart="11" format="24">
      <pivotArea type="data" outline="0" fieldPosition="0">
        <references count="2">
          <reference field="4294967294" count="1" selected="0">
            <x v="0"/>
          </reference>
          <reference field="1" count="1" selected="0">
            <x v="21"/>
          </reference>
        </references>
      </pivotArea>
    </chartFormat>
    <chartFormat chart="11" format="25">
      <pivotArea type="data" outline="0" fieldPosition="0">
        <references count="2">
          <reference field="4294967294" count="1" selected="0">
            <x v="0"/>
          </reference>
          <reference field="1" count="1" selected="0">
            <x v="22"/>
          </reference>
        </references>
      </pivotArea>
    </chartFormat>
    <chartFormat chart="11" format="26">
      <pivotArea type="data" outline="0" fieldPosition="0">
        <references count="2">
          <reference field="4294967294" count="1" selected="0">
            <x v="0"/>
          </reference>
          <reference field="1" count="1" selected="0">
            <x v="23"/>
          </reference>
        </references>
      </pivotArea>
    </chartFormat>
    <chartFormat chart="11" format="27">
      <pivotArea type="data" outline="0" fieldPosition="0">
        <references count="2">
          <reference field="4294967294" count="1" selected="0">
            <x v="0"/>
          </reference>
          <reference field="1" count="1" selected="0">
            <x v="24"/>
          </reference>
        </references>
      </pivotArea>
    </chartFormat>
    <chartFormat chart="11" format="28">
      <pivotArea type="data" outline="0" fieldPosition="0">
        <references count="2">
          <reference field="4294967294" count="1" selected="0">
            <x v="0"/>
          </reference>
          <reference field="1" count="1" selected="0">
            <x v="25"/>
          </reference>
        </references>
      </pivotArea>
    </chartFormat>
    <chartFormat chart="11" format="29">
      <pivotArea type="data" outline="0" fieldPosition="0">
        <references count="2">
          <reference field="4294967294" count="1" selected="0">
            <x v="0"/>
          </reference>
          <reference field="1" count="1" selected="0">
            <x v="26"/>
          </reference>
        </references>
      </pivotArea>
    </chartFormat>
    <chartFormat chart="11" format="30">
      <pivotArea type="data" outline="0" fieldPosition="0">
        <references count="2">
          <reference field="4294967294" count="1" selected="0">
            <x v="0"/>
          </reference>
          <reference field="1" count="1" selected="0">
            <x v="28"/>
          </reference>
        </references>
      </pivotArea>
    </chartFormat>
    <chartFormat chart="11" format="31">
      <pivotArea type="data" outline="0" fieldPosition="0">
        <references count="2">
          <reference field="4294967294" count="1" selected="0">
            <x v="0"/>
          </reference>
          <reference field="1" count="1" selected="0">
            <x v="29"/>
          </reference>
        </references>
      </pivotArea>
    </chartFormat>
    <chartFormat chart="11" format="32">
      <pivotArea type="data" outline="0" fieldPosition="0">
        <references count="2">
          <reference field="4294967294" count="1" selected="0">
            <x v="0"/>
          </reference>
          <reference field="1" count="1" selected="0">
            <x v="30"/>
          </reference>
        </references>
      </pivotArea>
    </chartFormat>
    <chartFormat chart="11" format="33">
      <pivotArea type="data" outline="0" fieldPosition="0">
        <references count="2">
          <reference field="4294967294" count="1" selected="0">
            <x v="0"/>
          </reference>
          <reference field="1" count="1" selected="0">
            <x v="31"/>
          </reference>
        </references>
      </pivotArea>
    </chartFormat>
    <chartFormat chart="11" format="34">
      <pivotArea type="data" outline="0" fieldPosition="0">
        <references count="2">
          <reference field="4294967294" count="1" selected="0">
            <x v="0"/>
          </reference>
          <reference field="1" count="1" selected="0">
            <x v="3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B56BF55-0DAB-471B-8282-1C126A70E84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10:I18" firstHeaderRow="1" firstDataRow="1" firstDataCol="1"/>
  <pivotFields count="14">
    <pivotField showAll="0"/>
    <pivotField showAll="0"/>
    <pivotField axis="axisRow" showAll="0">
      <items count="8">
        <item x="3"/>
        <item x="4"/>
        <item x="1"/>
        <item x="5"/>
        <item x="0"/>
        <item x="6"/>
        <item x="2"/>
        <item t="default"/>
      </items>
    </pivotField>
    <pivotField showAll="0">
      <items count="5">
        <item x="3"/>
        <item x="2"/>
        <item x="0"/>
        <item x="1"/>
        <item t="default"/>
      </items>
    </pivotField>
    <pivotField showAll="0">
      <items count="3">
        <item x="0"/>
        <item x="1"/>
        <item t="default"/>
      </items>
    </pivotField>
    <pivotField showAll="0"/>
    <pivotField showAll="0"/>
    <pivotField numFmtId="22" showAll="0"/>
    <pivotField dataField="1" showAll="0">
      <items count="1002">
        <item x="757"/>
        <item x="758"/>
        <item x="804"/>
        <item x="94"/>
        <item x="763"/>
        <item x="776"/>
        <item x="116"/>
        <item x="896"/>
        <item x="807"/>
        <item x="92"/>
        <item x="829"/>
        <item x="751"/>
        <item x="328"/>
        <item x="435"/>
        <item x="707"/>
        <item x="401"/>
        <item x="270"/>
        <item x="468"/>
        <item x="203"/>
        <item x="837"/>
        <item x="583"/>
        <item x="659"/>
        <item x="646"/>
        <item x="623"/>
        <item x="874"/>
        <item x="878"/>
        <item x="773"/>
        <item x="664"/>
        <item x="363"/>
        <item x="882"/>
        <item x="215"/>
        <item x="233"/>
        <item x="574"/>
        <item x="991"/>
        <item x="347"/>
        <item x="993"/>
        <item x="881"/>
        <item x="739"/>
        <item x="579"/>
        <item x="40"/>
        <item x="842"/>
        <item x="367"/>
        <item x="560"/>
        <item x="199"/>
        <item x="691"/>
        <item x="610"/>
        <item x="279"/>
        <item x="183"/>
        <item x="457"/>
        <item x="97"/>
        <item x="658"/>
        <item x="157"/>
        <item x="264"/>
        <item x="258"/>
        <item x="208"/>
        <item x="89"/>
        <item x="509"/>
        <item x="584"/>
        <item x="517"/>
        <item x="99"/>
        <item x="386"/>
        <item x="230"/>
        <item x="360"/>
        <item x="957"/>
        <item x="554"/>
        <item x="937"/>
        <item x="681"/>
        <item x="525"/>
        <item x="158"/>
        <item x="593"/>
        <item x="504"/>
        <item x="149"/>
        <item x="437"/>
        <item x="8"/>
        <item x="851"/>
        <item x="962"/>
        <item x="783"/>
        <item x="329"/>
        <item x="834"/>
        <item x="256"/>
        <item x="732"/>
        <item x="550"/>
        <item x="139"/>
        <item x="33"/>
        <item x="684"/>
        <item x="281"/>
        <item x="632"/>
        <item x="372"/>
        <item x="890"/>
        <item x="299"/>
        <item x="450"/>
        <item x="235"/>
        <item x="378"/>
        <item x="968"/>
        <item x="417"/>
        <item x="638"/>
        <item x="246"/>
        <item x="667"/>
        <item x="375"/>
        <item x="635"/>
        <item x="901"/>
        <item x="931"/>
        <item x="30"/>
        <item x="771"/>
        <item x="379"/>
        <item x="109"/>
        <item x="836"/>
        <item x="563"/>
        <item x="945"/>
        <item x="340"/>
        <item x="856"/>
        <item x="589"/>
        <item x="935"/>
        <item x="765"/>
        <item x="575"/>
        <item x="553"/>
        <item x="741"/>
        <item x="770"/>
        <item x="285"/>
        <item x="891"/>
        <item x="907"/>
        <item x="294"/>
        <item x="637"/>
        <item x="942"/>
        <item x="608"/>
        <item x="752"/>
        <item x="585"/>
        <item x="543"/>
        <item x="268"/>
        <item x="292"/>
        <item x="395"/>
        <item x="920"/>
        <item x="675"/>
        <item x="178"/>
        <item x="729"/>
        <item x="160"/>
        <item x="508"/>
        <item x="262"/>
        <item x="902"/>
        <item x="304"/>
        <item x="497"/>
        <item x="155"/>
        <item x="879"/>
        <item x="597"/>
        <item x="969"/>
        <item x="4"/>
        <item x="191"/>
        <item x="862"/>
        <item x="339"/>
        <item x="491"/>
        <item x="806"/>
        <item x="894"/>
        <item x="6"/>
        <item x="843"/>
        <item x="443"/>
        <item x="965"/>
        <item x="947"/>
        <item x="180"/>
        <item x="350"/>
        <item x="698"/>
        <item x="724"/>
        <item x="614"/>
        <item x="888"/>
        <item x="412"/>
        <item x="225"/>
        <item x="384"/>
        <item x="797"/>
        <item x="456"/>
        <item x="287"/>
        <item x="956"/>
        <item x="753"/>
        <item x="746"/>
        <item x="459"/>
        <item x="107"/>
        <item x="811"/>
        <item x="63"/>
        <item x="253"/>
        <item x="914"/>
        <item x="534"/>
        <item x="332"/>
        <item x="788"/>
        <item x="857"/>
        <item x="126"/>
        <item x="745"/>
        <item x="276"/>
        <item x="700"/>
        <item x="451"/>
        <item x="420"/>
        <item x="369"/>
        <item x="439"/>
        <item x="672"/>
        <item x="257"/>
        <item x="462"/>
        <item x="825"/>
        <item x="98"/>
        <item x="489"/>
        <item x="569"/>
        <item x="855"/>
        <item x="520"/>
        <item x="615"/>
        <item x="929"/>
        <item x="873"/>
        <item x="240"/>
        <item x="266"/>
        <item x="794"/>
        <item x="989"/>
        <item x="51"/>
        <item x="755"/>
        <item x="410"/>
        <item x="630"/>
        <item x="985"/>
        <item x="321"/>
        <item x="674"/>
        <item x="353"/>
        <item x="58"/>
        <item x="839"/>
        <item x="506"/>
        <item x="267"/>
        <item x="467"/>
        <item x="465"/>
        <item x="510"/>
        <item x="719"/>
        <item x="174"/>
        <item x="620"/>
        <item x="120"/>
        <item x="904"/>
        <item x="535"/>
        <item x="64"/>
        <item x="283"/>
        <item x="418"/>
        <item x="723"/>
        <item x="864"/>
        <item x="561"/>
        <item x="254"/>
        <item x="210"/>
        <item x="193"/>
        <item x="542"/>
        <item x="195"/>
        <item x="810"/>
        <item x="229"/>
        <item x="176"/>
        <item x="558"/>
        <item x="48"/>
        <item x="93"/>
        <item x="866"/>
        <item x="407"/>
        <item x="259"/>
        <item x="801"/>
        <item x="118"/>
        <item x="612"/>
        <item x="433"/>
        <item x="27"/>
        <item x="756"/>
        <item x="571"/>
        <item x="22"/>
        <item x="485"/>
        <item x="34"/>
        <item x="964"/>
        <item x="541"/>
        <item x="734"/>
        <item x="209"/>
        <item x="288"/>
        <item x="639"/>
        <item x="631"/>
        <item x="430"/>
        <item x="733"/>
        <item x="315"/>
        <item x="772"/>
        <item x="104"/>
        <item x="453"/>
        <item x="226"/>
        <item x="471"/>
        <item x="173"/>
        <item x="572"/>
        <item x="237"/>
        <item x="781"/>
        <item x="446"/>
        <item x="474"/>
        <item x="908"/>
        <item x="220"/>
        <item x="841"/>
        <item x="322"/>
        <item x="189"/>
        <item x="206"/>
        <item x="897"/>
        <item x="5"/>
        <item x="61"/>
        <item x="536"/>
        <item x="341"/>
        <item x="577"/>
        <item x="17"/>
        <item x="796"/>
        <item x="581"/>
        <item x="628"/>
        <item x="761"/>
        <item x="123"/>
        <item x="815"/>
        <item x="767"/>
        <item x="716"/>
        <item x="850"/>
        <item x="59"/>
        <item x="694"/>
        <item x="303"/>
        <item x="408"/>
        <item x="609"/>
        <item x="634"/>
        <item x="403"/>
        <item x="677"/>
        <item x="714"/>
        <item x="875"/>
        <item x="424"/>
        <item x="128"/>
        <item x="673"/>
        <item x="1"/>
        <item x="387"/>
        <item x="540"/>
        <item x="702"/>
        <item x="725"/>
        <item x="798"/>
        <item x="544"/>
        <item x="196"/>
        <item x="642"/>
        <item x="198"/>
        <item x="426"/>
        <item x="666"/>
        <item x="816"/>
        <item x="323"/>
        <item x="812"/>
        <item x="188"/>
        <item x="352"/>
        <item x="865"/>
        <item x="31"/>
        <item x="136"/>
        <item x="411"/>
        <item x="621"/>
        <item x="423"/>
        <item x="951"/>
        <item x="822"/>
        <item x="977"/>
        <item x="960"/>
        <item x="606"/>
        <item x="248"/>
        <item x="814"/>
        <item x="311"/>
        <item x="45"/>
        <item x="348"/>
        <item x="601"/>
        <item x="918"/>
        <item x="138"/>
        <item x="222"/>
        <item x="343"/>
        <item x="480"/>
        <item x="140"/>
        <item x="787"/>
        <item x="62"/>
        <item x="335"/>
        <item x="499"/>
        <item x="154"/>
        <item x="397"/>
        <item x="824"/>
        <item x="56"/>
        <item x="778"/>
        <item x="218"/>
        <item x="277"/>
        <item x="511"/>
        <item x="382"/>
        <item x="715"/>
        <item x="887"/>
        <item x="334"/>
        <item x="436"/>
        <item x="988"/>
        <item x="308"/>
        <item x="134"/>
        <item x="213"/>
        <item x="389"/>
        <item x="710"/>
        <item x="346"/>
        <item x="594"/>
        <item x="52"/>
        <item x="821"/>
        <item x="251"/>
        <item x="309"/>
        <item x="47"/>
        <item x="60"/>
        <item x="284"/>
        <item x="314"/>
        <item x="743"/>
        <item x="692"/>
        <item x="175"/>
        <item x="263"/>
        <item x="682"/>
        <item x="592"/>
        <item x="455"/>
        <item x="115"/>
        <item x="298"/>
        <item x="625"/>
        <item x="383"/>
        <item x="880"/>
        <item x="250"/>
        <item x="974"/>
        <item x="849"/>
        <item x="519"/>
        <item x="205"/>
        <item x="461"/>
        <item x="859"/>
        <item x="518"/>
        <item x="946"/>
        <item x="55"/>
        <item x="727"/>
        <item x="398"/>
        <item x="793"/>
        <item x="503"/>
        <item x="77"/>
        <item x="388"/>
        <item x="983"/>
        <item x="145"/>
        <item x="736"/>
        <item x="496"/>
        <item x="217"/>
        <item x="447"/>
        <item x="432"/>
        <item x="429"/>
        <item x="28"/>
        <item x="872"/>
        <item x="884"/>
        <item x="533"/>
        <item x="416"/>
        <item x="72"/>
        <item x="695"/>
        <item x="512"/>
        <item x="448"/>
        <item x="551"/>
        <item x="345"/>
        <item x="647"/>
        <item x="932"/>
        <item x="374"/>
        <item x="344"/>
        <item x="484"/>
        <item x="860"/>
        <item x="10"/>
        <item x="469"/>
        <item x="227"/>
        <item x="111"/>
        <item x="854"/>
        <item x="413"/>
        <item x="697"/>
        <item x="476"/>
        <item x="102"/>
        <item x="809"/>
        <item x="588"/>
        <item x="26"/>
        <item x="73"/>
        <item x="269"/>
        <item x="596"/>
        <item x="400"/>
        <item x="775"/>
        <item x="342"/>
        <item x="69"/>
        <item x="633"/>
        <item x="885"/>
        <item x="722"/>
        <item x="148"/>
        <item x="81"/>
        <item x="754"/>
        <item x="202"/>
        <item x="473"/>
        <item x="705"/>
        <item x="830"/>
        <item x="23"/>
        <item x="958"/>
        <item x="613"/>
        <item x="502"/>
        <item x="936"/>
        <item x="82"/>
        <item x="975"/>
        <item x="521"/>
        <item x="132"/>
        <item x="105"/>
        <item x="760"/>
        <item x="15"/>
        <item x="444"/>
        <item x="431"/>
        <item x="617"/>
        <item x="121"/>
        <item x="629"/>
        <item x="144"/>
        <item x="71"/>
        <item x="605"/>
        <item x="995"/>
        <item x="271"/>
        <item x="941"/>
        <item x="153"/>
        <item x="618"/>
        <item x="817"/>
        <item x="336"/>
        <item x="762"/>
        <item x="537"/>
        <item x="11"/>
        <item x="595"/>
        <item x="967"/>
        <item x="96"/>
        <item x="910"/>
        <item x="373"/>
        <item x="380"/>
        <item x="498"/>
        <item x="142"/>
        <item x="524"/>
        <item x="38"/>
        <item x="57"/>
        <item x="326"/>
        <item x="648"/>
        <item x="42"/>
        <item x="731"/>
        <item x="394"/>
        <item x="750"/>
        <item x="95"/>
        <item x="236"/>
        <item x="656"/>
        <item x="313"/>
        <item x="576"/>
        <item x="523"/>
        <item x="992"/>
        <item x="953"/>
        <item x="190"/>
        <item x="275"/>
        <item x="32"/>
        <item x="141"/>
        <item x="130"/>
        <item x="300"/>
        <item x="696"/>
        <item x="779"/>
        <item x="212"/>
        <item x="477"/>
        <item x="290"/>
        <item x="358"/>
        <item x="415"/>
        <item x="487"/>
        <item x="112"/>
        <item x="301"/>
        <item x="91"/>
        <item x="795"/>
        <item x="680"/>
        <item x="930"/>
        <item x="972"/>
        <item x="803"/>
        <item x="826"/>
        <item x="513"/>
        <item x="522"/>
        <item x="241"/>
        <item x="87"/>
        <item x="915"/>
        <item x="678"/>
        <item x="454"/>
        <item x="556"/>
        <item x="463"/>
        <item x="317"/>
        <item x="940"/>
        <item x="759"/>
        <item x="819"/>
        <item x="25"/>
        <item x="644"/>
        <item x="927"/>
        <item x="296"/>
        <item x="221"/>
        <item x="559"/>
        <item x="735"/>
        <item x="29"/>
        <item x="35"/>
        <item x="973"/>
        <item x="823"/>
        <item x="289"/>
        <item x="852"/>
        <item x="214"/>
        <item x="924"/>
        <item x="458"/>
        <item x="911"/>
        <item x="774"/>
        <item x="626"/>
        <item x="844"/>
        <item x="668"/>
        <item x="766"/>
        <item x="421"/>
        <item x="359"/>
        <item x="531"/>
        <item x="472"/>
        <item x="539"/>
        <item x="748"/>
        <item x="392"/>
        <item x="703"/>
        <item x="699"/>
        <item x="877"/>
        <item x="24"/>
        <item x="738"/>
        <item x="70"/>
        <item x="598"/>
        <item x="690"/>
        <item x="486"/>
        <item x="272"/>
        <item x="895"/>
        <item x="868"/>
        <item x="357"/>
        <item x="921"/>
        <item x="886"/>
        <item x="12"/>
        <item x="172"/>
        <item x="475"/>
        <item x="669"/>
        <item x="835"/>
        <item x="131"/>
        <item x="366"/>
        <item x="538"/>
        <item x="898"/>
        <item x="976"/>
        <item x="492"/>
        <item x="805"/>
        <item x="249"/>
        <item x="493"/>
        <item x="586"/>
        <item x="67"/>
        <item x="479"/>
        <item x="954"/>
        <item x="799"/>
        <item x="318"/>
        <item x="900"/>
        <item x="381"/>
        <item x="163"/>
        <item x="899"/>
        <item x="747"/>
        <item x="494"/>
        <item x="979"/>
        <item x="567"/>
        <item x="310"/>
        <item x="905"/>
        <item x="665"/>
        <item x="645"/>
        <item x="85"/>
        <item x="740"/>
        <item x="643"/>
        <item x="361"/>
        <item x="122"/>
        <item x="243"/>
        <item x="200"/>
        <item x="653"/>
        <item x="640"/>
        <item x="390"/>
        <item x="802"/>
        <item x="923"/>
        <item x="147"/>
        <item x="129"/>
        <item x="354"/>
        <item x="687"/>
        <item x="103"/>
        <item x="784"/>
        <item x="573"/>
        <item x="159"/>
        <item x="649"/>
        <item x="528"/>
        <item x="971"/>
        <item x="764"/>
        <item x="320"/>
        <item x="151"/>
        <item x="478"/>
        <item x="286"/>
        <item x="232"/>
        <item x="100"/>
        <item x="53"/>
        <item x="565"/>
        <item x="355"/>
        <item x="944"/>
        <item x="165"/>
        <item x="305"/>
        <item x="749"/>
        <item x="65"/>
        <item x="845"/>
        <item x="108"/>
        <item x="442"/>
        <item x="737"/>
        <item x="858"/>
        <item x="402"/>
        <item x="247"/>
        <item x="607"/>
        <item x="239"/>
        <item x="651"/>
        <item x="676"/>
        <item x="744"/>
        <item x="37"/>
        <item x="166"/>
        <item x="708"/>
        <item x="86"/>
        <item x="768"/>
        <item x="530"/>
        <item x="333"/>
        <item x="780"/>
        <item x="808"/>
        <item x="848"/>
        <item x="590"/>
        <item x="325"/>
        <item x="943"/>
        <item x="916"/>
        <item x="883"/>
        <item x="939"/>
        <item x="21"/>
        <item x="464"/>
        <item x="555"/>
        <item x="187"/>
        <item x="934"/>
        <item x="922"/>
        <item x="371"/>
        <item x="662"/>
        <item x="80"/>
        <item x="171"/>
        <item x="726"/>
        <item x="452"/>
        <item x="552"/>
        <item x="909"/>
        <item x="547"/>
        <item x="0"/>
        <item x="777"/>
        <item x="182"/>
        <item x="302"/>
        <item x="661"/>
        <item x="711"/>
        <item x="791"/>
        <item x="156"/>
        <item x="76"/>
        <item x="507"/>
        <item x="840"/>
        <item x="231"/>
        <item x="124"/>
        <item x="46"/>
        <item x="987"/>
        <item x="370"/>
        <item x="828"/>
        <item x="981"/>
        <item x="428"/>
        <item x="211"/>
        <item x="730"/>
        <item x="919"/>
        <item x="238"/>
        <item x="54"/>
        <item x="564"/>
        <item x="892"/>
        <item x="278"/>
        <item x="686"/>
        <item x="591"/>
        <item x="980"/>
        <item x="282"/>
        <item x="337"/>
        <item x="438"/>
        <item x="242"/>
        <item x="265"/>
        <item x="948"/>
        <item x="127"/>
        <item x="959"/>
        <item x="135"/>
        <item x="514"/>
        <item x="532"/>
        <item x="616"/>
        <item x="853"/>
        <item x="179"/>
        <item x="527"/>
        <item x="926"/>
        <item x="365"/>
        <item x="655"/>
        <item x="482"/>
        <item x="660"/>
        <item x="818"/>
        <item x="177"/>
        <item x="838"/>
        <item x="949"/>
        <item x="863"/>
        <item x="90"/>
        <item x="966"/>
        <item x="952"/>
        <item x="790"/>
        <item x="903"/>
        <item x="327"/>
        <item x="917"/>
        <item x="216"/>
        <item x="260"/>
        <item x="627"/>
        <item x="516"/>
        <item x="720"/>
        <item x="297"/>
        <item x="912"/>
        <item x="441"/>
        <item x="529"/>
        <item x="13"/>
        <item x="164"/>
        <item x="414"/>
        <item x="813"/>
        <item x="234"/>
        <item x="396"/>
        <item x="570"/>
        <item x="982"/>
        <item x="319"/>
        <item x="566"/>
        <item x="867"/>
        <item x="704"/>
        <item x="9"/>
        <item x="376"/>
        <item x="364"/>
        <item x="280"/>
        <item x="545"/>
        <item x="106"/>
        <item x="16"/>
        <item x="846"/>
        <item x="261"/>
        <item x="604"/>
        <item x="440"/>
        <item x="950"/>
        <item x="223"/>
        <item x="792"/>
        <item x="800"/>
        <item x="789"/>
        <item x="167"/>
        <item x="709"/>
        <item x="688"/>
        <item x="990"/>
        <item x="113"/>
        <item x="14"/>
        <item x="641"/>
        <item x="422"/>
        <item x="419"/>
        <item x="228"/>
        <item x="307"/>
        <item x="399"/>
        <item x="170"/>
        <item x="515"/>
        <item x="393"/>
        <item x="18"/>
        <item x="316"/>
        <item x="913"/>
        <item x="578"/>
        <item x="984"/>
        <item x="869"/>
        <item x="460"/>
        <item x="146"/>
        <item x="192"/>
        <item x="338"/>
        <item x="84"/>
        <item x="742"/>
        <item x="871"/>
        <item x="955"/>
        <item x="20"/>
        <item x="79"/>
        <item x="39"/>
        <item x="219"/>
        <item x="994"/>
        <item x="693"/>
        <item x="295"/>
        <item x="500"/>
        <item x="505"/>
        <item x="831"/>
        <item x="143"/>
        <item x="252"/>
        <item x="362"/>
        <item x="933"/>
        <item x="671"/>
        <item x="194"/>
        <item x="349"/>
        <item x="255"/>
        <item x="670"/>
        <item x="162"/>
        <item x="683"/>
        <item x="409"/>
        <item x="185"/>
        <item x="119"/>
        <item x="377"/>
        <item x="663"/>
        <item x="75"/>
        <item x="488"/>
        <item x="548"/>
        <item x="652"/>
        <item x="562"/>
        <item x="728"/>
        <item x="101"/>
        <item x="833"/>
        <item x="769"/>
        <item x="293"/>
        <item x="718"/>
        <item x="600"/>
        <item x="324"/>
        <item x="712"/>
        <item x="356"/>
        <item x="161"/>
        <item x="445"/>
        <item x="406"/>
        <item x="820"/>
        <item x="197"/>
        <item x="66"/>
        <item x="133"/>
        <item x="970"/>
        <item x="78"/>
        <item x="832"/>
        <item x="685"/>
        <item x="331"/>
        <item x="125"/>
        <item x="186"/>
        <item x="587"/>
        <item x="876"/>
        <item x="274"/>
        <item x="611"/>
        <item x="961"/>
        <item x="50"/>
        <item x="83"/>
        <item x="495"/>
        <item x="906"/>
        <item x="152"/>
        <item x="481"/>
        <item x="893"/>
        <item x="7"/>
        <item x="786"/>
        <item x="827"/>
        <item x="557"/>
        <item x="368"/>
        <item x="861"/>
        <item x="273"/>
        <item x="449"/>
        <item x="19"/>
        <item x="546"/>
        <item x="701"/>
        <item x="847"/>
        <item x="49"/>
        <item x="721"/>
        <item x="168"/>
        <item x="483"/>
        <item x="654"/>
        <item x="624"/>
        <item x="43"/>
        <item x="470"/>
        <item x="245"/>
        <item x="3"/>
        <item x="306"/>
        <item x="689"/>
        <item x="582"/>
        <item x="110"/>
        <item x="870"/>
        <item x="2"/>
        <item x="184"/>
        <item x="114"/>
        <item x="351"/>
        <item x="549"/>
        <item x="391"/>
        <item x="207"/>
        <item x="405"/>
        <item x="580"/>
        <item x="603"/>
        <item x="36"/>
        <item x="466"/>
        <item x="938"/>
        <item x="224"/>
        <item x="244"/>
        <item x="650"/>
        <item x="526"/>
        <item x="204"/>
        <item x="706"/>
        <item x="385"/>
        <item x="717"/>
        <item x="622"/>
        <item x="599"/>
        <item x="925"/>
        <item x="657"/>
        <item x="41"/>
        <item x="602"/>
        <item x="74"/>
        <item x="785"/>
        <item x="928"/>
        <item x="117"/>
        <item x="201"/>
        <item x="978"/>
        <item x="679"/>
        <item x="963"/>
        <item x="490"/>
        <item x="169"/>
        <item x="68"/>
        <item x="44"/>
        <item x="88"/>
        <item x="713"/>
        <item x="427"/>
        <item x="404"/>
        <item x="330"/>
        <item x="782"/>
        <item x="425"/>
        <item x="636"/>
        <item x="434"/>
        <item x="619"/>
        <item x="291"/>
        <item x="181"/>
        <item x="137"/>
        <item x="312"/>
        <item x="568"/>
        <item x="501"/>
        <item x="889"/>
        <item x="150"/>
        <item x="986"/>
        <item f="1" x="996"/>
        <item f="1" x="997"/>
        <item f="1" x="998"/>
        <item f="1" x="999"/>
        <item f="1" x="1000"/>
        <item t="default"/>
      </items>
    </pivotField>
    <pivotField showAll="0"/>
    <pivotField showAll="0"/>
    <pivotField showAll="0">
      <items count="4">
        <item x="2"/>
        <item x="1"/>
        <item x="0"/>
        <item t="default"/>
      </items>
    </pivotField>
    <pivotField showAll="0"/>
    <pivotField showAll="0"/>
  </pivotFields>
  <rowFields count="1">
    <field x="2"/>
  </rowFields>
  <rowItems count="8">
    <i>
      <x/>
    </i>
    <i>
      <x v="1"/>
    </i>
    <i>
      <x v="2"/>
    </i>
    <i>
      <x v="3"/>
    </i>
    <i>
      <x v="4"/>
    </i>
    <i>
      <x v="5"/>
    </i>
    <i>
      <x v="6"/>
    </i>
    <i t="grand">
      <x/>
    </i>
  </rowItems>
  <colItems count="1">
    <i/>
  </colItems>
  <dataFields count="1">
    <dataField name="Sum of Annual Salary" fld="8" baseField="2"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85E1FC7-022C-4D9C-9535-04EBD7850A0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2:O8" firstHeaderRow="1" firstDataRow="1" firstDataCol="1"/>
  <pivotFields count="14">
    <pivotField dataField="1" showAll="0"/>
    <pivotField showAll="0"/>
    <pivotField showAll="0">
      <items count="8">
        <item x="3"/>
        <item x="4"/>
        <item x="1"/>
        <item x="5"/>
        <item x="0"/>
        <item x="6"/>
        <item x="2"/>
        <item t="default"/>
      </items>
    </pivotField>
    <pivotField showAll="0">
      <items count="5">
        <item x="3"/>
        <item x="2"/>
        <item x="0"/>
        <item x="1"/>
        <item t="default"/>
      </items>
    </pivotField>
    <pivotField showAll="0">
      <items count="3">
        <item x="0"/>
        <item x="1"/>
        <item t="default"/>
      </items>
    </pivotField>
    <pivotField showAll="0"/>
    <pivotField axis="axisRow" showAll="0">
      <items count="6">
        <item x="1"/>
        <item x="3"/>
        <item x="2"/>
        <item x="0"/>
        <item x="4"/>
        <item t="default"/>
      </items>
    </pivotField>
    <pivotField numFmtId="22" showAll="0"/>
    <pivotField showAll="0">
      <items count="1002">
        <item x="757"/>
        <item x="758"/>
        <item x="804"/>
        <item x="94"/>
        <item x="763"/>
        <item x="776"/>
        <item x="116"/>
        <item x="896"/>
        <item x="807"/>
        <item x="92"/>
        <item x="829"/>
        <item x="751"/>
        <item x="328"/>
        <item x="435"/>
        <item x="707"/>
        <item x="401"/>
        <item x="270"/>
        <item x="468"/>
        <item x="203"/>
        <item x="837"/>
        <item x="583"/>
        <item x="659"/>
        <item x="646"/>
        <item x="623"/>
        <item x="874"/>
        <item x="878"/>
        <item x="773"/>
        <item x="664"/>
        <item x="363"/>
        <item x="882"/>
        <item x="215"/>
        <item x="233"/>
        <item x="574"/>
        <item x="991"/>
        <item x="347"/>
        <item x="993"/>
        <item x="881"/>
        <item x="739"/>
        <item x="579"/>
        <item x="40"/>
        <item x="842"/>
        <item x="367"/>
        <item x="560"/>
        <item x="199"/>
        <item x="691"/>
        <item x="610"/>
        <item x="279"/>
        <item x="183"/>
        <item x="457"/>
        <item x="97"/>
        <item x="658"/>
        <item x="157"/>
        <item x="264"/>
        <item x="258"/>
        <item x="208"/>
        <item x="89"/>
        <item x="509"/>
        <item x="584"/>
        <item x="517"/>
        <item x="99"/>
        <item x="386"/>
        <item x="230"/>
        <item x="360"/>
        <item x="957"/>
        <item x="554"/>
        <item x="937"/>
        <item x="681"/>
        <item x="525"/>
        <item x="158"/>
        <item x="593"/>
        <item x="504"/>
        <item x="149"/>
        <item x="437"/>
        <item x="8"/>
        <item x="851"/>
        <item x="962"/>
        <item x="783"/>
        <item x="329"/>
        <item x="834"/>
        <item x="256"/>
        <item x="732"/>
        <item x="550"/>
        <item x="139"/>
        <item x="33"/>
        <item x="684"/>
        <item x="281"/>
        <item x="632"/>
        <item x="372"/>
        <item x="890"/>
        <item x="299"/>
        <item x="450"/>
        <item x="235"/>
        <item x="378"/>
        <item x="968"/>
        <item x="417"/>
        <item x="638"/>
        <item x="246"/>
        <item x="667"/>
        <item x="375"/>
        <item x="635"/>
        <item x="901"/>
        <item x="931"/>
        <item x="30"/>
        <item x="771"/>
        <item x="379"/>
        <item x="109"/>
        <item x="836"/>
        <item x="563"/>
        <item x="945"/>
        <item x="340"/>
        <item x="856"/>
        <item x="589"/>
        <item x="935"/>
        <item x="765"/>
        <item x="575"/>
        <item x="553"/>
        <item x="741"/>
        <item x="770"/>
        <item x="285"/>
        <item x="891"/>
        <item x="907"/>
        <item x="294"/>
        <item x="637"/>
        <item x="942"/>
        <item x="608"/>
        <item x="752"/>
        <item x="585"/>
        <item x="543"/>
        <item x="268"/>
        <item x="292"/>
        <item x="395"/>
        <item x="920"/>
        <item x="675"/>
        <item x="178"/>
        <item x="729"/>
        <item x="160"/>
        <item x="508"/>
        <item x="262"/>
        <item x="902"/>
        <item x="304"/>
        <item x="497"/>
        <item x="155"/>
        <item x="879"/>
        <item x="597"/>
        <item x="969"/>
        <item x="4"/>
        <item x="191"/>
        <item x="862"/>
        <item x="339"/>
        <item x="491"/>
        <item x="806"/>
        <item x="894"/>
        <item x="6"/>
        <item x="843"/>
        <item x="443"/>
        <item x="965"/>
        <item x="947"/>
        <item x="180"/>
        <item x="350"/>
        <item x="698"/>
        <item x="724"/>
        <item x="614"/>
        <item x="888"/>
        <item x="412"/>
        <item x="225"/>
        <item x="384"/>
        <item x="797"/>
        <item x="456"/>
        <item x="287"/>
        <item x="956"/>
        <item x="753"/>
        <item x="746"/>
        <item x="459"/>
        <item x="107"/>
        <item x="811"/>
        <item x="63"/>
        <item x="253"/>
        <item x="914"/>
        <item x="534"/>
        <item x="332"/>
        <item x="788"/>
        <item x="857"/>
        <item x="126"/>
        <item x="745"/>
        <item x="276"/>
        <item x="700"/>
        <item x="451"/>
        <item x="420"/>
        <item x="369"/>
        <item x="439"/>
        <item x="672"/>
        <item x="257"/>
        <item x="462"/>
        <item x="825"/>
        <item x="98"/>
        <item x="489"/>
        <item x="569"/>
        <item x="855"/>
        <item x="520"/>
        <item x="615"/>
        <item x="929"/>
        <item x="873"/>
        <item x="240"/>
        <item x="266"/>
        <item x="794"/>
        <item x="989"/>
        <item x="51"/>
        <item x="755"/>
        <item x="410"/>
        <item x="630"/>
        <item x="985"/>
        <item x="321"/>
        <item x="674"/>
        <item x="353"/>
        <item x="58"/>
        <item x="839"/>
        <item x="506"/>
        <item x="267"/>
        <item x="467"/>
        <item x="465"/>
        <item x="510"/>
        <item x="719"/>
        <item x="174"/>
        <item x="620"/>
        <item x="120"/>
        <item x="904"/>
        <item x="535"/>
        <item x="64"/>
        <item x="283"/>
        <item x="418"/>
        <item x="723"/>
        <item x="864"/>
        <item x="561"/>
        <item x="254"/>
        <item x="210"/>
        <item x="193"/>
        <item x="542"/>
        <item x="195"/>
        <item x="810"/>
        <item x="229"/>
        <item x="176"/>
        <item x="558"/>
        <item x="48"/>
        <item x="93"/>
        <item x="866"/>
        <item x="407"/>
        <item x="259"/>
        <item x="801"/>
        <item x="118"/>
        <item x="612"/>
        <item x="433"/>
        <item x="27"/>
        <item x="756"/>
        <item x="571"/>
        <item x="22"/>
        <item x="485"/>
        <item x="34"/>
        <item x="964"/>
        <item x="541"/>
        <item x="734"/>
        <item x="209"/>
        <item x="288"/>
        <item x="639"/>
        <item x="631"/>
        <item x="430"/>
        <item x="733"/>
        <item x="315"/>
        <item x="772"/>
        <item x="104"/>
        <item x="453"/>
        <item x="226"/>
        <item x="471"/>
        <item x="173"/>
        <item x="572"/>
        <item x="237"/>
        <item x="781"/>
        <item x="446"/>
        <item x="474"/>
        <item x="908"/>
        <item x="220"/>
        <item x="841"/>
        <item x="322"/>
        <item x="189"/>
        <item x="206"/>
        <item x="897"/>
        <item x="5"/>
        <item x="61"/>
        <item x="536"/>
        <item x="341"/>
        <item x="577"/>
        <item x="17"/>
        <item x="796"/>
        <item x="581"/>
        <item x="628"/>
        <item x="761"/>
        <item x="123"/>
        <item x="815"/>
        <item x="767"/>
        <item x="716"/>
        <item x="850"/>
        <item x="59"/>
        <item x="694"/>
        <item x="303"/>
        <item x="408"/>
        <item x="609"/>
        <item x="634"/>
        <item x="403"/>
        <item x="677"/>
        <item x="714"/>
        <item x="875"/>
        <item x="424"/>
        <item x="128"/>
        <item x="673"/>
        <item x="1"/>
        <item x="387"/>
        <item x="540"/>
        <item x="702"/>
        <item x="725"/>
        <item x="798"/>
        <item x="544"/>
        <item x="196"/>
        <item x="642"/>
        <item x="198"/>
        <item x="426"/>
        <item x="666"/>
        <item x="816"/>
        <item x="323"/>
        <item x="812"/>
        <item x="188"/>
        <item x="352"/>
        <item x="865"/>
        <item x="31"/>
        <item x="136"/>
        <item x="411"/>
        <item x="621"/>
        <item x="423"/>
        <item x="951"/>
        <item x="822"/>
        <item x="977"/>
        <item x="960"/>
        <item x="606"/>
        <item x="248"/>
        <item x="814"/>
        <item x="311"/>
        <item x="45"/>
        <item x="348"/>
        <item x="601"/>
        <item x="918"/>
        <item x="138"/>
        <item x="222"/>
        <item x="343"/>
        <item x="480"/>
        <item x="140"/>
        <item x="787"/>
        <item x="62"/>
        <item x="335"/>
        <item x="499"/>
        <item x="154"/>
        <item x="397"/>
        <item x="824"/>
        <item x="56"/>
        <item x="778"/>
        <item x="218"/>
        <item x="277"/>
        <item x="511"/>
        <item x="382"/>
        <item x="715"/>
        <item x="887"/>
        <item x="334"/>
        <item x="436"/>
        <item x="988"/>
        <item x="308"/>
        <item x="134"/>
        <item x="213"/>
        <item x="389"/>
        <item x="710"/>
        <item x="346"/>
        <item x="594"/>
        <item x="52"/>
        <item x="821"/>
        <item x="251"/>
        <item x="309"/>
        <item x="47"/>
        <item x="60"/>
        <item x="284"/>
        <item x="314"/>
        <item x="743"/>
        <item x="692"/>
        <item x="175"/>
        <item x="263"/>
        <item x="682"/>
        <item x="592"/>
        <item x="455"/>
        <item x="115"/>
        <item x="298"/>
        <item x="625"/>
        <item x="383"/>
        <item x="880"/>
        <item x="250"/>
        <item x="974"/>
        <item x="849"/>
        <item x="519"/>
        <item x="205"/>
        <item x="461"/>
        <item x="859"/>
        <item x="518"/>
        <item x="946"/>
        <item x="55"/>
        <item x="727"/>
        <item x="398"/>
        <item x="793"/>
        <item x="503"/>
        <item x="77"/>
        <item x="388"/>
        <item x="983"/>
        <item x="145"/>
        <item x="736"/>
        <item x="496"/>
        <item x="217"/>
        <item x="447"/>
        <item x="432"/>
        <item x="429"/>
        <item x="28"/>
        <item x="872"/>
        <item x="884"/>
        <item x="533"/>
        <item x="416"/>
        <item x="72"/>
        <item x="695"/>
        <item x="512"/>
        <item x="448"/>
        <item x="551"/>
        <item x="345"/>
        <item x="647"/>
        <item x="932"/>
        <item x="374"/>
        <item x="344"/>
        <item x="484"/>
        <item x="860"/>
        <item x="10"/>
        <item x="469"/>
        <item x="227"/>
        <item x="111"/>
        <item x="854"/>
        <item x="413"/>
        <item x="697"/>
        <item x="476"/>
        <item x="102"/>
        <item x="809"/>
        <item x="588"/>
        <item x="26"/>
        <item x="73"/>
        <item x="269"/>
        <item x="596"/>
        <item x="400"/>
        <item x="775"/>
        <item x="342"/>
        <item x="69"/>
        <item x="633"/>
        <item x="885"/>
        <item x="722"/>
        <item x="148"/>
        <item x="81"/>
        <item x="754"/>
        <item x="202"/>
        <item x="473"/>
        <item x="705"/>
        <item x="830"/>
        <item x="23"/>
        <item x="958"/>
        <item x="613"/>
        <item x="502"/>
        <item x="936"/>
        <item x="82"/>
        <item x="975"/>
        <item x="521"/>
        <item x="132"/>
        <item x="105"/>
        <item x="760"/>
        <item x="15"/>
        <item x="444"/>
        <item x="431"/>
        <item x="617"/>
        <item x="121"/>
        <item x="629"/>
        <item x="144"/>
        <item x="71"/>
        <item x="605"/>
        <item x="995"/>
        <item x="271"/>
        <item x="941"/>
        <item x="153"/>
        <item x="618"/>
        <item x="817"/>
        <item x="336"/>
        <item x="762"/>
        <item x="537"/>
        <item x="11"/>
        <item x="595"/>
        <item x="967"/>
        <item x="96"/>
        <item x="910"/>
        <item x="373"/>
        <item x="380"/>
        <item x="498"/>
        <item x="142"/>
        <item x="524"/>
        <item x="38"/>
        <item x="57"/>
        <item x="326"/>
        <item x="648"/>
        <item x="42"/>
        <item x="731"/>
        <item x="394"/>
        <item x="750"/>
        <item x="95"/>
        <item x="236"/>
        <item x="656"/>
        <item x="313"/>
        <item x="576"/>
        <item x="523"/>
        <item x="992"/>
        <item x="953"/>
        <item x="190"/>
        <item x="275"/>
        <item x="32"/>
        <item x="141"/>
        <item x="130"/>
        <item x="300"/>
        <item x="696"/>
        <item x="779"/>
        <item x="212"/>
        <item x="477"/>
        <item x="290"/>
        <item x="358"/>
        <item x="415"/>
        <item x="487"/>
        <item x="112"/>
        <item x="301"/>
        <item x="91"/>
        <item x="795"/>
        <item x="680"/>
        <item x="930"/>
        <item x="972"/>
        <item x="803"/>
        <item x="826"/>
        <item x="513"/>
        <item x="522"/>
        <item x="241"/>
        <item x="87"/>
        <item x="915"/>
        <item x="678"/>
        <item x="454"/>
        <item x="556"/>
        <item x="463"/>
        <item x="317"/>
        <item x="940"/>
        <item x="759"/>
        <item x="819"/>
        <item x="25"/>
        <item x="644"/>
        <item x="927"/>
        <item x="296"/>
        <item x="221"/>
        <item x="559"/>
        <item x="735"/>
        <item x="29"/>
        <item x="35"/>
        <item x="973"/>
        <item x="823"/>
        <item x="289"/>
        <item x="852"/>
        <item x="214"/>
        <item x="924"/>
        <item x="458"/>
        <item x="911"/>
        <item x="774"/>
        <item x="626"/>
        <item x="844"/>
        <item x="668"/>
        <item x="766"/>
        <item x="421"/>
        <item x="359"/>
        <item x="531"/>
        <item x="472"/>
        <item x="539"/>
        <item x="748"/>
        <item x="392"/>
        <item x="703"/>
        <item x="699"/>
        <item x="877"/>
        <item x="24"/>
        <item x="738"/>
        <item x="70"/>
        <item x="598"/>
        <item x="690"/>
        <item x="486"/>
        <item x="272"/>
        <item x="895"/>
        <item x="868"/>
        <item x="357"/>
        <item x="921"/>
        <item x="886"/>
        <item x="12"/>
        <item x="172"/>
        <item x="475"/>
        <item x="669"/>
        <item x="835"/>
        <item x="131"/>
        <item x="366"/>
        <item x="538"/>
        <item x="898"/>
        <item x="976"/>
        <item x="492"/>
        <item x="805"/>
        <item x="249"/>
        <item x="493"/>
        <item x="586"/>
        <item x="67"/>
        <item x="479"/>
        <item x="954"/>
        <item x="799"/>
        <item x="318"/>
        <item x="900"/>
        <item x="381"/>
        <item x="163"/>
        <item x="899"/>
        <item x="747"/>
        <item x="494"/>
        <item x="979"/>
        <item x="567"/>
        <item x="310"/>
        <item x="905"/>
        <item x="665"/>
        <item x="645"/>
        <item x="85"/>
        <item x="740"/>
        <item x="643"/>
        <item x="361"/>
        <item x="122"/>
        <item x="243"/>
        <item x="200"/>
        <item x="653"/>
        <item x="640"/>
        <item x="390"/>
        <item x="802"/>
        <item x="923"/>
        <item x="147"/>
        <item x="129"/>
        <item x="354"/>
        <item x="687"/>
        <item x="103"/>
        <item x="784"/>
        <item x="573"/>
        <item x="159"/>
        <item x="649"/>
        <item x="528"/>
        <item x="971"/>
        <item x="764"/>
        <item x="320"/>
        <item x="151"/>
        <item x="478"/>
        <item x="286"/>
        <item x="232"/>
        <item x="100"/>
        <item x="53"/>
        <item x="565"/>
        <item x="355"/>
        <item x="944"/>
        <item x="165"/>
        <item x="305"/>
        <item x="749"/>
        <item x="65"/>
        <item x="845"/>
        <item x="108"/>
        <item x="442"/>
        <item x="737"/>
        <item x="858"/>
        <item x="402"/>
        <item x="247"/>
        <item x="607"/>
        <item x="239"/>
        <item x="651"/>
        <item x="676"/>
        <item x="744"/>
        <item x="37"/>
        <item x="166"/>
        <item x="708"/>
        <item x="86"/>
        <item x="768"/>
        <item x="530"/>
        <item x="333"/>
        <item x="780"/>
        <item x="808"/>
        <item x="848"/>
        <item x="590"/>
        <item x="325"/>
        <item x="943"/>
        <item x="916"/>
        <item x="883"/>
        <item x="939"/>
        <item x="21"/>
        <item x="464"/>
        <item x="555"/>
        <item x="187"/>
        <item x="934"/>
        <item x="922"/>
        <item x="371"/>
        <item x="662"/>
        <item x="80"/>
        <item x="171"/>
        <item x="726"/>
        <item x="452"/>
        <item x="552"/>
        <item x="909"/>
        <item x="547"/>
        <item x="0"/>
        <item x="777"/>
        <item x="182"/>
        <item x="302"/>
        <item x="661"/>
        <item x="711"/>
        <item x="791"/>
        <item x="156"/>
        <item x="76"/>
        <item x="507"/>
        <item x="840"/>
        <item x="231"/>
        <item x="124"/>
        <item x="46"/>
        <item x="987"/>
        <item x="370"/>
        <item x="828"/>
        <item x="981"/>
        <item x="428"/>
        <item x="211"/>
        <item x="730"/>
        <item x="919"/>
        <item x="238"/>
        <item x="54"/>
        <item x="564"/>
        <item x="892"/>
        <item x="278"/>
        <item x="686"/>
        <item x="591"/>
        <item x="980"/>
        <item x="282"/>
        <item x="337"/>
        <item x="438"/>
        <item x="242"/>
        <item x="265"/>
        <item x="948"/>
        <item x="127"/>
        <item x="959"/>
        <item x="135"/>
        <item x="514"/>
        <item x="532"/>
        <item x="616"/>
        <item x="853"/>
        <item x="179"/>
        <item x="527"/>
        <item x="926"/>
        <item x="365"/>
        <item x="655"/>
        <item x="482"/>
        <item x="660"/>
        <item x="818"/>
        <item x="177"/>
        <item x="838"/>
        <item x="949"/>
        <item x="863"/>
        <item x="90"/>
        <item x="966"/>
        <item x="952"/>
        <item x="790"/>
        <item x="903"/>
        <item x="327"/>
        <item x="917"/>
        <item x="216"/>
        <item x="260"/>
        <item x="627"/>
        <item x="516"/>
        <item x="720"/>
        <item x="297"/>
        <item x="912"/>
        <item x="441"/>
        <item x="529"/>
        <item x="13"/>
        <item x="164"/>
        <item x="414"/>
        <item x="813"/>
        <item x="234"/>
        <item x="396"/>
        <item x="570"/>
        <item x="982"/>
        <item x="319"/>
        <item x="566"/>
        <item x="867"/>
        <item x="704"/>
        <item x="9"/>
        <item x="376"/>
        <item x="364"/>
        <item x="280"/>
        <item x="545"/>
        <item x="106"/>
        <item x="16"/>
        <item x="846"/>
        <item x="261"/>
        <item x="604"/>
        <item x="440"/>
        <item x="950"/>
        <item x="223"/>
        <item x="792"/>
        <item x="800"/>
        <item x="789"/>
        <item x="167"/>
        <item x="709"/>
        <item x="688"/>
        <item x="990"/>
        <item x="113"/>
        <item x="14"/>
        <item x="641"/>
        <item x="422"/>
        <item x="419"/>
        <item x="228"/>
        <item x="307"/>
        <item x="399"/>
        <item x="170"/>
        <item x="515"/>
        <item x="393"/>
        <item x="18"/>
        <item x="316"/>
        <item x="913"/>
        <item x="578"/>
        <item x="984"/>
        <item x="869"/>
        <item x="460"/>
        <item x="146"/>
        <item x="192"/>
        <item x="338"/>
        <item x="84"/>
        <item x="742"/>
        <item x="871"/>
        <item x="955"/>
        <item x="20"/>
        <item x="79"/>
        <item x="39"/>
        <item x="219"/>
        <item x="994"/>
        <item x="693"/>
        <item x="295"/>
        <item x="500"/>
        <item x="505"/>
        <item x="831"/>
        <item x="143"/>
        <item x="252"/>
        <item x="362"/>
        <item x="933"/>
        <item x="671"/>
        <item x="194"/>
        <item x="349"/>
        <item x="255"/>
        <item x="670"/>
        <item x="162"/>
        <item x="683"/>
        <item x="409"/>
        <item x="185"/>
        <item x="119"/>
        <item x="377"/>
        <item x="663"/>
        <item x="75"/>
        <item x="488"/>
        <item x="548"/>
        <item x="652"/>
        <item x="562"/>
        <item x="728"/>
        <item x="101"/>
        <item x="833"/>
        <item x="769"/>
        <item x="293"/>
        <item x="718"/>
        <item x="600"/>
        <item x="324"/>
        <item x="712"/>
        <item x="356"/>
        <item x="161"/>
        <item x="445"/>
        <item x="406"/>
        <item x="820"/>
        <item x="197"/>
        <item x="66"/>
        <item x="133"/>
        <item x="970"/>
        <item x="78"/>
        <item x="832"/>
        <item x="685"/>
        <item x="331"/>
        <item x="125"/>
        <item x="186"/>
        <item x="587"/>
        <item x="876"/>
        <item x="274"/>
        <item x="611"/>
        <item x="961"/>
        <item x="50"/>
        <item x="83"/>
        <item x="495"/>
        <item x="906"/>
        <item x="152"/>
        <item x="481"/>
        <item x="893"/>
        <item x="7"/>
        <item x="786"/>
        <item x="827"/>
        <item x="557"/>
        <item x="368"/>
        <item x="861"/>
        <item x="273"/>
        <item x="449"/>
        <item x="19"/>
        <item x="546"/>
        <item x="701"/>
        <item x="847"/>
        <item x="49"/>
        <item x="721"/>
        <item x="168"/>
        <item x="483"/>
        <item x="654"/>
        <item x="624"/>
        <item x="43"/>
        <item x="470"/>
        <item x="245"/>
        <item x="3"/>
        <item x="306"/>
        <item x="689"/>
        <item x="582"/>
        <item x="110"/>
        <item x="870"/>
        <item x="2"/>
        <item x="184"/>
        <item x="114"/>
        <item x="351"/>
        <item x="549"/>
        <item x="391"/>
        <item x="207"/>
        <item x="405"/>
        <item x="580"/>
        <item x="603"/>
        <item x="36"/>
        <item x="466"/>
        <item x="938"/>
        <item x="224"/>
        <item x="244"/>
        <item x="650"/>
        <item x="526"/>
        <item x="204"/>
        <item x="706"/>
        <item x="385"/>
        <item x="717"/>
        <item x="622"/>
        <item x="599"/>
        <item x="925"/>
        <item x="657"/>
        <item x="41"/>
        <item x="602"/>
        <item x="74"/>
        <item x="785"/>
        <item x="928"/>
        <item x="117"/>
        <item x="201"/>
        <item x="978"/>
        <item x="679"/>
        <item x="963"/>
        <item x="490"/>
        <item x="169"/>
        <item x="68"/>
        <item x="44"/>
        <item x="88"/>
        <item x="713"/>
        <item x="427"/>
        <item x="404"/>
        <item x="330"/>
        <item x="782"/>
        <item x="425"/>
        <item x="636"/>
        <item x="434"/>
        <item x="619"/>
        <item x="291"/>
        <item x="181"/>
        <item x="137"/>
        <item x="312"/>
        <item x="568"/>
        <item x="501"/>
        <item x="889"/>
        <item x="150"/>
        <item x="986"/>
        <item f="1" x="996"/>
        <item f="1" x="997"/>
        <item f="1" x="998"/>
        <item f="1" x="999"/>
        <item f="1" x="1000"/>
        <item t="default"/>
      </items>
    </pivotField>
    <pivotField showAll="0"/>
    <pivotField showAll="0"/>
    <pivotField showAll="0">
      <items count="4">
        <item x="2"/>
        <item x="1"/>
        <item x="0"/>
        <item t="default"/>
      </items>
    </pivotField>
    <pivotField showAll="0"/>
    <pivotField showAll="0"/>
  </pivotFields>
  <rowFields count="1">
    <field x="6"/>
  </rowFields>
  <rowItems count="6">
    <i>
      <x/>
    </i>
    <i>
      <x v="1"/>
    </i>
    <i>
      <x v="2"/>
    </i>
    <i>
      <x v="3"/>
    </i>
    <i>
      <x v="4"/>
    </i>
    <i t="grand">
      <x/>
    </i>
  </rowItems>
  <colItems count="1">
    <i/>
  </colItems>
  <dataFields count="1">
    <dataField name="Count of EMP ID.1" fld="0" subtotal="count" baseField="0" baseItem="0"/>
  </dataFields>
  <chartFormats count="4">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F7B91F8-7CDC-4D20-87E3-9E4ED87AEC2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8:L16" firstHeaderRow="1" firstDataRow="1" firstDataCol="1"/>
  <pivotFields count="14">
    <pivotField dataField="1" showAll="0"/>
    <pivotField showAll="0"/>
    <pivotField axis="axisRow" showAll="0">
      <items count="8">
        <item x="3"/>
        <item x="4"/>
        <item x="1"/>
        <item x="5"/>
        <item x="0"/>
        <item x="6"/>
        <item x="2"/>
        <item t="default"/>
      </items>
    </pivotField>
    <pivotField showAll="0">
      <items count="5">
        <item x="3"/>
        <item x="2"/>
        <item x="0"/>
        <item x="1"/>
        <item t="default"/>
      </items>
    </pivotField>
    <pivotField showAll="0">
      <items count="3">
        <item x="0"/>
        <item x="1"/>
        <item t="default"/>
      </items>
    </pivotField>
    <pivotField showAll="0"/>
    <pivotField showAll="0"/>
    <pivotField numFmtId="22" showAll="0"/>
    <pivotField showAll="0">
      <items count="1002">
        <item x="757"/>
        <item x="758"/>
        <item x="804"/>
        <item x="94"/>
        <item x="763"/>
        <item x="776"/>
        <item x="116"/>
        <item x="896"/>
        <item x="807"/>
        <item x="92"/>
        <item x="829"/>
        <item x="751"/>
        <item x="328"/>
        <item x="435"/>
        <item x="707"/>
        <item x="401"/>
        <item x="270"/>
        <item x="468"/>
        <item x="203"/>
        <item x="837"/>
        <item x="583"/>
        <item x="659"/>
        <item x="646"/>
        <item x="623"/>
        <item x="874"/>
        <item x="878"/>
        <item x="773"/>
        <item x="664"/>
        <item x="363"/>
        <item x="882"/>
        <item x="215"/>
        <item x="233"/>
        <item x="574"/>
        <item x="991"/>
        <item x="347"/>
        <item x="993"/>
        <item x="881"/>
        <item x="739"/>
        <item x="579"/>
        <item x="40"/>
        <item x="842"/>
        <item x="367"/>
        <item x="560"/>
        <item x="199"/>
        <item x="691"/>
        <item x="610"/>
        <item x="279"/>
        <item x="183"/>
        <item x="457"/>
        <item x="97"/>
        <item x="658"/>
        <item x="157"/>
        <item x="264"/>
        <item x="258"/>
        <item x="208"/>
        <item x="89"/>
        <item x="509"/>
        <item x="584"/>
        <item x="517"/>
        <item x="99"/>
        <item x="386"/>
        <item x="230"/>
        <item x="360"/>
        <item x="957"/>
        <item x="554"/>
        <item x="937"/>
        <item x="681"/>
        <item x="525"/>
        <item x="158"/>
        <item x="593"/>
        <item x="504"/>
        <item x="149"/>
        <item x="437"/>
        <item x="8"/>
        <item x="851"/>
        <item x="962"/>
        <item x="783"/>
        <item x="329"/>
        <item x="834"/>
        <item x="256"/>
        <item x="732"/>
        <item x="550"/>
        <item x="139"/>
        <item x="33"/>
        <item x="684"/>
        <item x="281"/>
        <item x="632"/>
        <item x="372"/>
        <item x="890"/>
        <item x="299"/>
        <item x="450"/>
        <item x="235"/>
        <item x="378"/>
        <item x="968"/>
        <item x="417"/>
        <item x="638"/>
        <item x="246"/>
        <item x="667"/>
        <item x="375"/>
        <item x="635"/>
        <item x="901"/>
        <item x="931"/>
        <item x="30"/>
        <item x="771"/>
        <item x="379"/>
        <item x="109"/>
        <item x="836"/>
        <item x="563"/>
        <item x="945"/>
        <item x="340"/>
        <item x="856"/>
        <item x="589"/>
        <item x="935"/>
        <item x="765"/>
        <item x="575"/>
        <item x="553"/>
        <item x="741"/>
        <item x="770"/>
        <item x="285"/>
        <item x="891"/>
        <item x="907"/>
        <item x="294"/>
        <item x="637"/>
        <item x="942"/>
        <item x="608"/>
        <item x="752"/>
        <item x="585"/>
        <item x="543"/>
        <item x="268"/>
        <item x="292"/>
        <item x="395"/>
        <item x="920"/>
        <item x="675"/>
        <item x="178"/>
        <item x="729"/>
        <item x="160"/>
        <item x="508"/>
        <item x="262"/>
        <item x="902"/>
        <item x="304"/>
        <item x="497"/>
        <item x="155"/>
        <item x="879"/>
        <item x="597"/>
        <item x="969"/>
        <item x="4"/>
        <item x="191"/>
        <item x="862"/>
        <item x="339"/>
        <item x="491"/>
        <item x="806"/>
        <item x="894"/>
        <item x="6"/>
        <item x="843"/>
        <item x="443"/>
        <item x="965"/>
        <item x="947"/>
        <item x="180"/>
        <item x="350"/>
        <item x="698"/>
        <item x="724"/>
        <item x="614"/>
        <item x="888"/>
        <item x="412"/>
        <item x="225"/>
        <item x="384"/>
        <item x="797"/>
        <item x="456"/>
        <item x="287"/>
        <item x="956"/>
        <item x="753"/>
        <item x="746"/>
        <item x="459"/>
        <item x="107"/>
        <item x="811"/>
        <item x="63"/>
        <item x="253"/>
        <item x="914"/>
        <item x="534"/>
        <item x="332"/>
        <item x="788"/>
        <item x="857"/>
        <item x="126"/>
        <item x="745"/>
        <item x="276"/>
        <item x="700"/>
        <item x="451"/>
        <item x="420"/>
        <item x="369"/>
        <item x="439"/>
        <item x="672"/>
        <item x="257"/>
        <item x="462"/>
        <item x="825"/>
        <item x="98"/>
        <item x="489"/>
        <item x="569"/>
        <item x="855"/>
        <item x="520"/>
        <item x="615"/>
        <item x="929"/>
        <item x="873"/>
        <item x="240"/>
        <item x="266"/>
        <item x="794"/>
        <item x="989"/>
        <item x="51"/>
        <item x="755"/>
        <item x="410"/>
        <item x="630"/>
        <item x="985"/>
        <item x="321"/>
        <item x="674"/>
        <item x="353"/>
        <item x="58"/>
        <item x="839"/>
        <item x="506"/>
        <item x="267"/>
        <item x="467"/>
        <item x="465"/>
        <item x="510"/>
        <item x="719"/>
        <item x="174"/>
        <item x="620"/>
        <item x="120"/>
        <item x="904"/>
        <item x="535"/>
        <item x="64"/>
        <item x="283"/>
        <item x="418"/>
        <item x="723"/>
        <item x="864"/>
        <item x="561"/>
        <item x="254"/>
        <item x="210"/>
        <item x="193"/>
        <item x="542"/>
        <item x="195"/>
        <item x="810"/>
        <item x="229"/>
        <item x="176"/>
        <item x="558"/>
        <item x="48"/>
        <item x="93"/>
        <item x="866"/>
        <item x="407"/>
        <item x="259"/>
        <item x="801"/>
        <item x="118"/>
        <item x="612"/>
        <item x="433"/>
        <item x="27"/>
        <item x="756"/>
        <item x="571"/>
        <item x="22"/>
        <item x="485"/>
        <item x="34"/>
        <item x="964"/>
        <item x="541"/>
        <item x="734"/>
        <item x="209"/>
        <item x="288"/>
        <item x="639"/>
        <item x="631"/>
        <item x="430"/>
        <item x="733"/>
        <item x="315"/>
        <item x="772"/>
        <item x="104"/>
        <item x="453"/>
        <item x="226"/>
        <item x="471"/>
        <item x="173"/>
        <item x="572"/>
        <item x="237"/>
        <item x="781"/>
        <item x="446"/>
        <item x="474"/>
        <item x="908"/>
        <item x="220"/>
        <item x="841"/>
        <item x="322"/>
        <item x="189"/>
        <item x="206"/>
        <item x="897"/>
        <item x="5"/>
        <item x="61"/>
        <item x="536"/>
        <item x="341"/>
        <item x="577"/>
        <item x="17"/>
        <item x="796"/>
        <item x="581"/>
        <item x="628"/>
        <item x="761"/>
        <item x="123"/>
        <item x="815"/>
        <item x="767"/>
        <item x="716"/>
        <item x="850"/>
        <item x="59"/>
        <item x="694"/>
        <item x="303"/>
        <item x="408"/>
        <item x="609"/>
        <item x="634"/>
        <item x="403"/>
        <item x="677"/>
        <item x="714"/>
        <item x="875"/>
        <item x="424"/>
        <item x="128"/>
        <item x="673"/>
        <item x="1"/>
        <item x="387"/>
        <item x="540"/>
        <item x="702"/>
        <item x="725"/>
        <item x="798"/>
        <item x="544"/>
        <item x="196"/>
        <item x="642"/>
        <item x="198"/>
        <item x="426"/>
        <item x="666"/>
        <item x="816"/>
        <item x="323"/>
        <item x="812"/>
        <item x="188"/>
        <item x="352"/>
        <item x="865"/>
        <item x="31"/>
        <item x="136"/>
        <item x="411"/>
        <item x="621"/>
        <item x="423"/>
        <item x="951"/>
        <item x="822"/>
        <item x="977"/>
        <item x="960"/>
        <item x="606"/>
        <item x="248"/>
        <item x="814"/>
        <item x="311"/>
        <item x="45"/>
        <item x="348"/>
        <item x="601"/>
        <item x="918"/>
        <item x="138"/>
        <item x="222"/>
        <item x="343"/>
        <item x="480"/>
        <item x="140"/>
        <item x="787"/>
        <item x="62"/>
        <item x="335"/>
        <item x="499"/>
        <item x="154"/>
        <item x="397"/>
        <item x="824"/>
        <item x="56"/>
        <item x="778"/>
        <item x="218"/>
        <item x="277"/>
        <item x="511"/>
        <item x="382"/>
        <item x="715"/>
        <item x="887"/>
        <item x="334"/>
        <item x="436"/>
        <item x="988"/>
        <item x="308"/>
        <item x="134"/>
        <item x="213"/>
        <item x="389"/>
        <item x="710"/>
        <item x="346"/>
        <item x="594"/>
        <item x="52"/>
        <item x="821"/>
        <item x="251"/>
        <item x="309"/>
        <item x="47"/>
        <item x="60"/>
        <item x="284"/>
        <item x="314"/>
        <item x="743"/>
        <item x="692"/>
        <item x="175"/>
        <item x="263"/>
        <item x="682"/>
        <item x="592"/>
        <item x="455"/>
        <item x="115"/>
        <item x="298"/>
        <item x="625"/>
        <item x="383"/>
        <item x="880"/>
        <item x="250"/>
        <item x="974"/>
        <item x="849"/>
        <item x="519"/>
        <item x="205"/>
        <item x="461"/>
        <item x="859"/>
        <item x="518"/>
        <item x="946"/>
        <item x="55"/>
        <item x="727"/>
        <item x="398"/>
        <item x="793"/>
        <item x="503"/>
        <item x="77"/>
        <item x="388"/>
        <item x="983"/>
        <item x="145"/>
        <item x="736"/>
        <item x="496"/>
        <item x="217"/>
        <item x="447"/>
        <item x="432"/>
        <item x="429"/>
        <item x="28"/>
        <item x="872"/>
        <item x="884"/>
        <item x="533"/>
        <item x="416"/>
        <item x="72"/>
        <item x="695"/>
        <item x="512"/>
        <item x="448"/>
        <item x="551"/>
        <item x="345"/>
        <item x="647"/>
        <item x="932"/>
        <item x="374"/>
        <item x="344"/>
        <item x="484"/>
        <item x="860"/>
        <item x="10"/>
        <item x="469"/>
        <item x="227"/>
        <item x="111"/>
        <item x="854"/>
        <item x="413"/>
        <item x="697"/>
        <item x="476"/>
        <item x="102"/>
        <item x="809"/>
        <item x="588"/>
        <item x="26"/>
        <item x="73"/>
        <item x="269"/>
        <item x="596"/>
        <item x="400"/>
        <item x="775"/>
        <item x="342"/>
        <item x="69"/>
        <item x="633"/>
        <item x="885"/>
        <item x="722"/>
        <item x="148"/>
        <item x="81"/>
        <item x="754"/>
        <item x="202"/>
        <item x="473"/>
        <item x="705"/>
        <item x="830"/>
        <item x="23"/>
        <item x="958"/>
        <item x="613"/>
        <item x="502"/>
        <item x="936"/>
        <item x="82"/>
        <item x="975"/>
        <item x="521"/>
        <item x="132"/>
        <item x="105"/>
        <item x="760"/>
        <item x="15"/>
        <item x="444"/>
        <item x="431"/>
        <item x="617"/>
        <item x="121"/>
        <item x="629"/>
        <item x="144"/>
        <item x="71"/>
        <item x="605"/>
        <item x="995"/>
        <item x="271"/>
        <item x="941"/>
        <item x="153"/>
        <item x="618"/>
        <item x="817"/>
        <item x="336"/>
        <item x="762"/>
        <item x="537"/>
        <item x="11"/>
        <item x="595"/>
        <item x="967"/>
        <item x="96"/>
        <item x="910"/>
        <item x="373"/>
        <item x="380"/>
        <item x="498"/>
        <item x="142"/>
        <item x="524"/>
        <item x="38"/>
        <item x="57"/>
        <item x="326"/>
        <item x="648"/>
        <item x="42"/>
        <item x="731"/>
        <item x="394"/>
        <item x="750"/>
        <item x="95"/>
        <item x="236"/>
        <item x="656"/>
        <item x="313"/>
        <item x="576"/>
        <item x="523"/>
        <item x="992"/>
        <item x="953"/>
        <item x="190"/>
        <item x="275"/>
        <item x="32"/>
        <item x="141"/>
        <item x="130"/>
        <item x="300"/>
        <item x="696"/>
        <item x="779"/>
        <item x="212"/>
        <item x="477"/>
        <item x="290"/>
        <item x="358"/>
        <item x="415"/>
        <item x="487"/>
        <item x="112"/>
        <item x="301"/>
        <item x="91"/>
        <item x="795"/>
        <item x="680"/>
        <item x="930"/>
        <item x="972"/>
        <item x="803"/>
        <item x="826"/>
        <item x="513"/>
        <item x="522"/>
        <item x="241"/>
        <item x="87"/>
        <item x="915"/>
        <item x="678"/>
        <item x="454"/>
        <item x="556"/>
        <item x="463"/>
        <item x="317"/>
        <item x="940"/>
        <item x="759"/>
        <item x="819"/>
        <item x="25"/>
        <item x="644"/>
        <item x="927"/>
        <item x="296"/>
        <item x="221"/>
        <item x="559"/>
        <item x="735"/>
        <item x="29"/>
        <item x="35"/>
        <item x="973"/>
        <item x="823"/>
        <item x="289"/>
        <item x="852"/>
        <item x="214"/>
        <item x="924"/>
        <item x="458"/>
        <item x="911"/>
        <item x="774"/>
        <item x="626"/>
        <item x="844"/>
        <item x="668"/>
        <item x="766"/>
        <item x="421"/>
        <item x="359"/>
        <item x="531"/>
        <item x="472"/>
        <item x="539"/>
        <item x="748"/>
        <item x="392"/>
        <item x="703"/>
        <item x="699"/>
        <item x="877"/>
        <item x="24"/>
        <item x="738"/>
        <item x="70"/>
        <item x="598"/>
        <item x="690"/>
        <item x="486"/>
        <item x="272"/>
        <item x="895"/>
        <item x="868"/>
        <item x="357"/>
        <item x="921"/>
        <item x="886"/>
        <item x="12"/>
        <item x="172"/>
        <item x="475"/>
        <item x="669"/>
        <item x="835"/>
        <item x="131"/>
        <item x="366"/>
        <item x="538"/>
        <item x="898"/>
        <item x="976"/>
        <item x="492"/>
        <item x="805"/>
        <item x="249"/>
        <item x="493"/>
        <item x="586"/>
        <item x="67"/>
        <item x="479"/>
        <item x="954"/>
        <item x="799"/>
        <item x="318"/>
        <item x="900"/>
        <item x="381"/>
        <item x="163"/>
        <item x="899"/>
        <item x="747"/>
        <item x="494"/>
        <item x="979"/>
        <item x="567"/>
        <item x="310"/>
        <item x="905"/>
        <item x="665"/>
        <item x="645"/>
        <item x="85"/>
        <item x="740"/>
        <item x="643"/>
        <item x="361"/>
        <item x="122"/>
        <item x="243"/>
        <item x="200"/>
        <item x="653"/>
        <item x="640"/>
        <item x="390"/>
        <item x="802"/>
        <item x="923"/>
        <item x="147"/>
        <item x="129"/>
        <item x="354"/>
        <item x="687"/>
        <item x="103"/>
        <item x="784"/>
        <item x="573"/>
        <item x="159"/>
        <item x="649"/>
        <item x="528"/>
        <item x="971"/>
        <item x="764"/>
        <item x="320"/>
        <item x="151"/>
        <item x="478"/>
        <item x="286"/>
        <item x="232"/>
        <item x="100"/>
        <item x="53"/>
        <item x="565"/>
        <item x="355"/>
        <item x="944"/>
        <item x="165"/>
        <item x="305"/>
        <item x="749"/>
        <item x="65"/>
        <item x="845"/>
        <item x="108"/>
        <item x="442"/>
        <item x="737"/>
        <item x="858"/>
        <item x="402"/>
        <item x="247"/>
        <item x="607"/>
        <item x="239"/>
        <item x="651"/>
        <item x="676"/>
        <item x="744"/>
        <item x="37"/>
        <item x="166"/>
        <item x="708"/>
        <item x="86"/>
        <item x="768"/>
        <item x="530"/>
        <item x="333"/>
        <item x="780"/>
        <item x="808"/>
        <item x="848"/>
        <item x="590"/>
        <item x="325"/>
        <item x="943"/>
        <item x="916"/>
        <item x="883"/>
        <item x="939"/>
        <item x="21"/>
        <item x="464"/>
        <item x="555"/>
        <item x="187"/>
        <item x="934"/>
        <item x="922"/>
        <item x="371"/>
        <item x="662"/>
        <item x="80"/>
        <item x="171"/>
        <item x="726"/>
        <item x="452"/>
        <item x="552"/>
        <item x="909"/>
        <item x="547"/>
        <item x="0"/>
        <item x="777"/>
        <item x="182"/>
        <item x="302"/>
        <item x="661"/>
        <item x="711"/>
        <item x="791"/>
        <item x="156"/>
        <item x="76"/>
        <item x="507"/>
        <item x="840"/>
        <item x="231"/>
        <item x="124"/>
        <item x="46"/>
        <item x="987"/>
        <item x="370"/>
        <item x="828"/>
        <item x="981"/>
        <item x="428"/>
        <item x="211"/>
        <item x="730"/>
        <item x="919"/>
        <item x="238"/>
        <item x="54"/>
        <item x="564"/>
        <item x="892"/>
        <item x="278"/>
        <item x="686"/>
        <item x="591"/>
        <item x="980"/>
        <item x="282"/>
        <item x="337"/>
        <item x="438"/>
        <item x="242"/>
        <item x="265"/>
        <item x="948"/>
        <item x="127"/>
        <item x="959"/>
        <item x="135"/>
        <item x="514"/>
        <item x="532"/>
        <item x="616"/>
        <item x="853"/>
        <item x="179"/>
        <item x="527"/>
        <item x="926"/>
        <item x="365"/>
        <item x="655"/>
        <item x="482"/>
        <item x="660"/>
        <item x="818"/>
        <item x="177"/>
        <item x="838"/>
        <item x="949"/>
        <item x="863"/>
        <item x="90"/>
        <item x="966"/>
        <item x="952"/>
        <item x="790"/>
        <item x="903"/>
        <item x="327"/>
        <item x="917"/>
        <item x="216"/>
        <item x="260"/>
        <item x="627"/>
        <item x="516"/>
        <item x="720"/>
        <item x="297"/>
        <item x="912"/>
        <item x="441"/>
        <item x="529"/>
        <item x="13"/>
        <item x="164"/>
        <item x="414"/>
        <item x="813"/>
        <item x="234"/>
        <item x="396"/>
        <item x="570"/>
        <item x="982"/>
        <item x="319"/>
        <item x="566"/>
        <item x="867"/>
        <item x="704"/>
        <item x="9"/>
        <item x="376"/>
        <item x="364"/>
        <item x="280"/>
        <item x="545"/>
        <item x="106"/>
        <item x="16"/>
        <item x="846"/>
        <item x="261"/>
        <item x="604"/>
        <item x="440"/>
        <item x="950"/>
        <item x="223"/>
        <item x="792"/>
        <item x="800"/>
        <item x="789"/>
        <item x="167"/>
        <item x="709"/>
        <item x="688"/>
        <item x="990"/>
        <item x="113"/>
        <item x="14"/>
        <item x="641"/>
        <item x="422"/>
        <item x="419"/>
        <item x="228"/>
        <item x="307"/>
        <item x="399"/>
        <item x="170"/>
        <item x="515"/>
        <item x="393"/>
        <item x="18"/>
        <item x="316"/>
        <item x="913"/>
        <item x="578"/>
        <item x="984"/>
        <item x="869"/>
        <item x="460"/>
        <item x="146"/>
        <item x="192"/>
        <item x="338"/>
        <item x="84"/>
        <item x="742"/>
        <item x="871"/>
        <item x="955"/>
        <item x="20"/>
        <item x="79"/>
        <item x="39"/>
        <item x="219"/>
        <item x="994"/>
        <item x="693"/>
        <item x="295"/>
        <item x="500"/>
        <item x="505"/>
        <item x="831"/>
        <item x="143"/>
        <item x="252"/>
        <item x="362"/>
        <item x="933"/>
        <item x="671"/>
        <item x="194"/>
        <item x="349"/>
        <item x="255"/>
        <item x="670"/>
        <item x="162"/>
        <item x="683"/>
        <item x="409"/>
        <item x="185"/>
        <item x="119"/>
        <item x="377"/>
        <item x="663"/>
        <item x="75"/>
        <item x="488"/>
        <item x="548"/>
        <item x="652"/>
        <item x="562"/>
        <item x="728"/>
        <item x="101"/>
        <item x="833"/>
        <item x="769"/>
        <item x="293"/>
        <item x="718"/>
        <item x="600"/>
        <item x="324"/>
        <item x="712"/>
        <item x="356"/>
        <item x="161"/>
        <item x="445"/>
        <item x="406"/>
        <item x="820"/>
        <item x="197"/>
        <item x="66"/>
        <item x="133"/>
        <item x="970"/>
        <item x="78"/>
        <item x="832"/>
        <item x="685"/>
        <item x="331"/>
        <item x="125"/>
        <item x="186"/>
        <item x="587"/>
        <item x="876"/>
        <item x="274"/>
        <item x="611"/>
        <item x="961"/>
        <item x="50"/>
        <item x="83"/>
        <item x="495"/>
        <item x="906"/>
        <item x="152"/>
        <item x="481"/>
        <item x="893"/>
        <item x="7"/>
        <item x="786"/>
        <item x="827"/>
        <item x="557"/>
        <item x="368"/>
        <item x="861"/>
        <item x="273"/>
        <item x="449"/>
        <item x="19"/>
        <item x="546"/>
        <item x="701"/>
        <item x="847"/>
        <item x="49"/>
        <item x="721"/>
        <item x="168"/>
        <item x="483"/>
        <item x="654"/>
        <item x="624"/>
        <item x="43"/>
        <item x="470"/>
        <item x="245"/>
        <item x="3"/>
        <item x="306"/>
        <item x="689"/>
        <item x="582"/>
        <item x="110"/>
        <item x="870"/>
        <item x="2"/>
        <item x="184"/>
        <item x="114"/>
        <item x="351"/>
        <item x="549"/>
        <item x="391"/>
        <item x="207"/>
        <item x="405"/>
        <item x="580"/>
        <item x="603"/>
        <item x="36"/>
        <item x="466"/>
        <item x="938"/>
        <item x="224"/>
        <item x="244"/>
        <item x="650"/>
        <item x="526"/>
        <item x="204"/>
        <item x="706"/>
        <item x="385"/>
        <item x="717"/>
        <item x="622"/>
        <item x="599"/>
        <item x="925"/>
        <item x="657"/>
        <item x="41"/>
        <item x="602"/>
        <item x="74"/>
        <item x="785"/>
        <item x="928"/>
        <item x="117"/>
        <item x="201"/>
        <item x="978"/>
        <item x="679"/>
        <item x="963"/>
        <item x="490"/>
        <item x="169"/>
        <item x="68"/>
        <item x="44"/>
        <item x="88"/>
        <item x="713"/>
        <item x="427"/>
        <item x="404"/>
        <item x="330"/>
        <item x="782"/>
        <item x="425"/>
        <item x="636"/>
        <item x="434"/>
        <item x="619"/>
        <item x="291"/>
        <item x="181"/>
        <item x="137"/>
        <item x="312"/>
        <item x="568"/>
        <item x="501"/>
        <item x="889"/>
        <item x="150"/>
        <item x="986"/>
        <item f="1" x="996"/>
        <item f="1" x="997"/>
        <item f="1" x="998"/>
        <item f="1" x="999"/>
        <item f="1" x="1000"/>
        <item t="default"/>
      </items>
    </pivotField>
    <pivotField showAll="0"/>
    <pivotField showAll="0"/>
    <pivotField showAll="0">
      <items count="4">
        <item x="2"/>
        <item x="1"/>
        <item x="0"/>
        <item t="default"/>
      </items>
    </pivotField>
    <pivotField showAll="0"/>
    <pivotField showAll="0"/>
  </pivotFields>
  <rowFields count="1">
    <field x="2"/>
  </rowFields>
  <rowItems count="8">
    <i>
      <x/>
    </i>
    <i>
      <x v="1"/>
    </i>
    <i>
      <x v="2"/>
    </i>
    <i>
      <x v="3"/>
    </i>
    <i>
      <x v="4"/>
    </i>
    <i>
      <x v="5"/>
    </i>
    <i>
      <x v="6"/>
    </i>
    <i t="grand">
      <x/>
    </i>
  </rowItems>
  <colItems count="1">
    <i/>
  </colItems>
  <dataFields count="1">
    <dataField name="Count of EMP ID.1" fld="0" subtotal="count" baseField="0" baseItem="0"/>
  </dataField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9090E75-D615-4DA9-A355-63BAF96617A4}" autoFormatId="16" applyNumberFormats="0" applyBorderFormats="0" applyFontFormats="0" applyPatternFormats="0" applyAlignmentFormats="0" applyWidthHeightFormats="0">
  <queryTableRefresh nextId="14">
    <queryTableFields count="10">
      <queryTableField id="10" name="Order ID" tableColumnId="1"/>
      <queryTableField id="2" name="Date" tableColumnId="2"/>
      <queryTableField id="3" name="Item" tableColumnId="3"/>
      <queryTableField id="4" name="Sales Rep" tableColumnId="4"/>
      <queryTableField id="5" name="Quantity" tableColumnId="5"/>
      <queryTableField id="6" name="Price" tableColumnId="6"/>
      <queryTableField id="7" name="Total sales " tableColumnId="7"/>
      <queryTableField id="8" name="Commission" tableColumnId="8"/>
      <queryTableField id="11" name="Total commisstion" tableColumnId="10"/>
      <queryTableField id="9" name="Stat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813471D-D40A-45FE-885A-39DC95541FB6}" autoFormatId="16" applyNumberFormats="0" applyBorderFormats="0" applyFontFormats="0" applyPatternFormats="0" applyAlignmentFormats="0" applyWidthHeightFormats="0">
  <queryTableRefresh nextId="18">
    <queryTableFields count="14">
      <queryTableField id="16" name="EMP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under" tableColumnId="7"/>
      <queryTableField id="8" name="Hire Date" tableColumnId="8"/>
      <queryTableField id="9" name="Annual Salary" tableColumnId="9"/>
      <queryTableField id="10" name="Bonus %" tableColumnId="10"/>
      <queryTableField id="14" name="Total salary" tableColumnId="14"/>
      <queryTableField id="11" name="Country" tableColumnId="11"/>
      <queryTableField id="12" name="City" tableColumnId="12"/>
      <queryTableField id="13" name="Exit Dat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CD486464-7C3C-46E2-879C-6555DD844C44}" sourceName="Sales Rep">
  <pivotTables>
    <pivotTable tabId="6" name="PivotTable1"/>
    <pivotTable tabId="6" name="PivotTable2"/>
    <pivotTable tabId="6" name="PivotTable3"/>
    <pivotTable tabId="6" name="PivotTable5"/>
    <pivotTable tabId="6" name="PivotTable7"/>
    <pivotTable tabId="6" name="PivotTable11"/>
    <pivotTable tabId="6" name="PivotTable12"/>
    <pivotTable tabId="6" name="PivotTable13"/>
    <pivotTable tabId="6" name="PivotTable14"/>
    <pivotTable tabId="6" name="PivotTable15"/>
  </pivotTables>
  <data>
    <tabular pivotCacheId="784101820">
      <items count="5">
        <i x="4"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7EEE29D-BC53-49A4-A81E-E5E0168CA8A4}" sourceName="Item">
  <pivotTables>
    <pivotTable tabId="6" name="PivotTable11"/>
    <pivotTable tabId="6" name="PivotTable1"/>
    <pivotTable tabId="6" name="PivotTable2"/>
    <pivotTable tabId="6" name="PivotTable3"/>
    <pivotTable tabId="6" name="PivotTable5"/>
    <pivotTable tabId="6" name="PivotTable7"/>
    <pivotTable tabId="6" name="PivotTable12"/>
    <pivotTable tabId="6" name="PivotTable13"/>
    <pivotTable tabId="6" name="PivotTable14"/>
    <pivotTable tabId="6" name="PivotTable15"/>
  </pivotTables>
  <data>
    <tabular pivotCacheId="784101820">
      <items count="5">
        <i x="3" s="1"/>
        <i x="2" s="1"/>
        <i x="0"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618B232-112B-4DAB-98FB-DB1D8B73E3EA}" sourceName="State">
  <pivotTables>
    <pivotTable tabId="6" name="PivotTable12"/>
  </pivotTables>
  <data>
    <tabular pivotCacheId="784101820">
      <items count="12">
        <i x="5" s="1"/>
        <i x="3" s="1"/>
        <i x="6" s="1"/>
        <i x="8" s="1"/>
        <i x="10" s="1"/>
        <i x="9" s="1"/>
        <i x="7" s="1"/>
        <i x="11" s="1"/>
        <i x="2"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D9FD354-2720-4C34-AA33-129CA9A619EF}" sourceName="Department">
  <pivotTables>
    <pivotTable tabId="9" name="PivotTable4"/>
    <pivotTable tabId="9" name="PivotTable10"/>
    <pivotTable tabId="9" name="PivotTable12"/>
    <pivotTable tabId="9" name="PivotTable14"/>
    <pivotTable tabId="9" name="PivotTable5"/>
    <pivotTable tabId="9" name="PivotTable6"/>
    <pivotTable tabId="9" name="PivotTable8"/>
    <pivotTable tabId="9" name="PivotTable9"/>
    <pivotTable tabId="9" name="PivotTable15"/>
  </pivotTables>
  <data>
    <tabular pivotCacheId="1867170456">
      <items count="7">
        <i x="3" s="1"/>
        <i x="4" s="1"/>
        <i x="1" s="1"/>
        <i x="5" s="1"/>
        <i x="0" s="1"/>
        <i x="6"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9F11AA56-5604-4662-8915-45DFEAC55517}" sourceName="Business Unit">
  <pivotTables>
    <pivotTable tabId="9" name="PivotTable4"/>
    <pivotTable tabId="9" name="PivotTable10"/>
    <pivotTable tabId="9" name="PivotTable12"/>
    <pivotTable tabId="9" name="PivotTable14"/>
    <pivotTable tabId="9" name="PivotTable5"/>
    <pivotTable tabId="9" name="PivotTable6"/>
    <pivotTable tabId="9" name="PivotTable8"/>
    <pivotTable tabId="9" name="PivotTable9"/>
    <pivotTable tabId="9" name="PivotTable15"/>
  </pivotTables>
  <data>
    <tabular pivotCacheId="1867170456">
      <items count="4">
        <i x="3" s="1"/>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9B7576-FF65-48F6-80D4-177D323746C5}" sourceName="Gender">
  <pivotTables>
    <pivotTable tabId="9" name="PivotTable4"/>
    <pivotTable tabId="9" name="PivotTable10"/>
    <pivotTable tabId="9" name="PivotTable12"/>
    <pivotTable tabId="9" name="PivotTable14"/>
    <pivotTable tabId="9" name="PivotTable2"/>
    <pivotTable tabId="9" name="PivotTable3"/>
    <pivotTable tabId="9" name="PivotTable5"/>
    <pivotTable tabId="9" name="PivotTable6"/>
    <pivotTable tabId="9" name="PivotTable8"/>
    <pivotTable tabId="9" name="PivotTable15"/>
  </pivotTables>
  <data>
    <tabular pivotCacheId="1867170456">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FD14289-7F28-424E-8BA0-3CE21BBE7DC0}" sourceName="Country">
  <pivotTables>
    <pivotTable tabId="9" name="PivotTable4"/>
    <pivotTable tabId="9" name="PivotTable10"/>
    <pivotTable tabId="9" name="PivotTable12"/>
    <pivotTable tabId="9" name="PivotTable14"/>
    <pivotTable tabId="9" name="PivotTable2"/>
    <pivotTable tabId="9" name="PivotTable3"/>
    <pivotTable tabId="9" name="PivotTable5"/>
    <pivotTable tabId="9" name="PivotTable6"/>
    <pivotTable tabId="9" name="PivotTable8"/>
    <pivotTable tabId="9" name="PivotTable9"/>
    <pivotTable tabId="9" name="PivotTable15"/>
  </pivotTables>
  <data>
    <tabular pivotCacheId="1867170456">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74AB48F2-3E4F-4876-9639-CF387ED22302}" sourceName="Department">
  <pivotTables>
    <pivotTable tabId="9" name="PivotTable3"/>
  </pivotTables>
  <data>
    <tabular pivotCacheId="1867170456">
      <items count="7">
        <i x="3" s="1"/>
        <i x="4" s="1"/>
        <i x="1" s="1"/>
        <i x="5" s="1"/>
        <i x="0"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ECE377B9-BE73-4167-A652-64326E008CD5}" cache="Slicer_Sales_Rep" caption="Sales Rep" rowHeight="241300"/>
  <slicer name="Item" xr10:uid="{399C688A-5437-4BDB-89F4-7C3654FCD192}" cache="Slicer_Item" caption="Item" rowHeight="241300"/>
  <slicer name="State" xr10:uid="{C1F419C7-A297-4E3B-8842-84D2013F6350}" cache="Slicer_State" caption="St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1" xr10:uid="{3A29240D-8181-414F-9250-05CEFB0CCBF4}" cache="Slicer_Sales_Rep" caption="Sales Rep" rowHeight="241300"/>
  <slicer name="Item 1" xr10:uid="{C8AAE724-846D-4747-A746-0F06487BFFC4}" cache="Slicer_Item" caption="Item" rowHeight="241300"/>
  <slicer name="State 1" xr10:uid="{EA3A5C15-2334-4889-B90C-5701CBACD79F}" cache="Slicer_State" caption="St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9DDDCB9-E737-47E9-83BA-77FA0F232E76}" cache="Slicer_Department" caption="Department" rowHeight="241300"/>
  <slicer name="Business Unit" xr10:uid="{114F9135-3545-4DEE-AADB-EB03690D2EF5}" cache="Slicer_Business_Unit" caption="Business Unit" rowHeight="241300"/>
  <slicer name="Gender" xr10:uid="{662ACFE1-DE50-4CC6-9978-155655DBE7FF}" cache="Slicer_Gender" caption="Gender" rowHeight="241300"/>
  <slicer name="Country" xr10:uid="{D8E1022E-4CFC-48F2-9D25-B4255D6486DF}" cache="Slicer_Country" caption="Country" rowHeight="241300"/>
  <slicer name="Department 1" xr10:uid="{95C9867F-080C-4298-9ED5-7E6109B944BC}" cache="Slicer_Department1" caption="Departmen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Unit 1" xr10:uid="{5344E49F-4130-458D-A033-AC76969A6758}" cache="Slicer_Business_Unit" caption="Business Unit" columnCount="2" rowHeight="241300"/>
  <slicer name="Gender 1" xr10:uid="{CAA854A9-075D-490B-96BF-BC201FB129BA}" cache="Slicer_Gender" caption="Gender" rowHeight="241300"/>
  <slicer name="Country 1" xr10:uid="{3DA76B05-1A77-4824-B91C-F51039BA46D3}" cache="Slicer_Country" caption="Country" columnCount="2" rowHeight="241300"/>
  <slicer name="Department 2" xr10:uid="{B43B9F62-959A-445D-BE59-9DFBBC2F51D0}" cache="Slicer_Department1" caption="Department" columnCount="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9DAB5A-8A7B-42E1-8F3B-E656582150F2}" name="Table13" displayName="Table13" ref="A1:G1304" totalsRowShown="0">
  <autoFilter ref="A1:G1304" xr:uid="{B49DAB5A-8A7B-42E1-8F3B-E656582150F2}"/>
  <tableColumns count="7">
    <tableColumn id="1" xr3:uid="{5E78CDDD-3F5D-4573-B909-1A118CDAD66B}" name="Date" dataDxfId="34"/>
    <tableColumn id="2" xr3:uid="{50696C36-CC51-40FF-A452-3E6E444A3C14}" name="Item"/>
    <tableColumn id="3" xr3:uid="{80CE375C-0A1E-4708-8ECA-DEE24EA3DE6F}" name="Sales Rep"/>
    <tableColumn id="4" xr3:uid="{4829227C-9930-473A-88BD-CE6466AD0133}" name="Quantity"/>
    <tableColumn id="5" xr3:uid="{FECBE8CA-46F3-4A25-8E17-341244E2A187}" name="Price"/>
    <tableColumn id="6" xr3:uid="{E75AD1B9-ADEC-4A73-B401-0B5C45EF26C4}" name="Commission"/>
    <tableColumn id="7" xr3:uid="{6549B709-01D0-4E69-85F5-A5BC3E010327}" name="St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187B28-92AD-4772-AFF6-471647EC2B38}" name="sales9" displayName="sales9" ref="A1:J1301" tableType="queryTable" totalsRowShown="0">
  <autoFilter ref="A1:J1301" xr:uid="{A8187B28-92AD-4772-AFF6-471647EC2B38}"/>
  <tableColumns count="10">
    <tableColumn id="1" xr3:uid="{2AB38540-9BB8-4F29-B83F-9B9589816DB0}" uniqueName="1" name="Order ID" queryTableFieldId="10" dataDxfId="33"/>
    <tableColumn id="2" xr3:uid="{30BD5A00-FC3C-4B98-B72A-F8D6AED6DA50}" uniqueName="2" name="Date" queryTableFieldId="2" dataDxfId="32"/>
    <tableColumn id="3" xr3:uid="{E2D8DCA6-CF55-411D-A7ED-6F98486128D5}" uniqueName="3" name="Item" queryTableFieldId="3" dataDxfId="31"/>
    <tableColumn id="4" xr3:uid="{A2BA5D32-5E67-4F01-93A2-85282BB9A730}" uniqueName="4" name="Sales Rep" queryTableFieldId="4" dataDxfId="30"/>
    <tableColumn id="5" xr3:uid="{0D39ECD3-E7FE-4B5D-9FD4-9B09CA103D03}" uniqueName="5" name="Quantity" queryTableFieldId="5"/>
    <tableColumn id="6" xr3:uid="{AD1E722F-EABD-4F64-88B6-BC5010BB83D7}" uniqueName="6" name="Price" queryTableFieldId="6"/>
    <tableColumn id="7" xr3:uid="{DA2FACC8-51A8-4F07-AE19-D1360F8E38C0}" uniqueName="7" name="Total sales " queryTableFieldId="7" dataDxfId="29"/>
    <tableColumn id="8" xr3:uid="{DF73E05E-004A-4F72-A720-E38A442811ED}" uniqueName="8" name="Commission" queryTableFieldId="8"/>
    <tableColumn id="10" xr3:uid="{241012D0-049C-43AE-B7B5-65313ABD03E7}" uniqueName="10" name="Total commisstion" queryTableFieldId="11"/>
    <tableColumn id="9" xr3:uid="{D55F9285-64B1-4758-A89B-A47A1D27438E}" uniqueName="9" name="State" queryTableFieldId="9"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302228-76E2-4694-9705-FC193442C9C0}" name="Table1" displayName="Table1" ref="A1:K1001" totalsRowShown="0" headerRowDxfId="23" headerRowBorderDxfId="22" tableBorderDxfId="21" totalsRowBorderDxfId="20">
  <autoFilter ref="A1:K1001" xr:uid="{C8302228-76E2-4694-9705-FC193442C9C0}"/>
  <tableColumns count="11">
    <tableColumn id="1" xr3:uid="{702036E1-E293-4B23-9B36-3471C20DA890}" name="Job Title" dataDxfId="19"/>
    <tableColumn id="2" xr3:uid="{D1F1A7A8-9DC5-427B-AE5A-AB13AF211D19}" name="Department" dataDxfId="18"/>
    <tableColumn id="3" xr3:uid="{FE2ADB13-D276-487E-B5C9-53A5DB62386B}" name="Business Unit" dataDxfId="17"/>
    <tableColumn id="4" xr3:uid="{8B9F9CC9-9C35-4F09-8A56-2367BA1E3D17}" name="Gender" dataDxfId="16"/>
    <tableColumn id="5" xr3:uid="{ED7C5BE9-1143-447B-9BD4-B3F9910A1723}" name="Age" dataDxfId="15"/>
    <tableColumn id="6" xr3:uid="{C2193BB1-7D89-4B08-A861-9EF4CFC9D634}" name="Hire Date" dataDxfId="14"/>
    <tableColumn id="7" xr3:uid="{D866AE73-E4C0-45CF-B1B1-60123F8FA9B0}" name="Annual Salary" dataDxfId="13"/>
    <tableColumn id="8" xr3:uid="{C3D5F4F9-0A90-4793-99FA-6BD46A2E2388}" name="Bonus %" dataDxfId="12"/>
    <tableColumn id="9" xr3:uid="{B0750C27-4598-4F0C-81DC-97CB7261F381}" name="Country" dataDxfId="11"/>
    <tableColumn id="10" xr3:uid="{DB2425B1-A8D5-4AF7-BF0D-30D9765950B5}" name="City" dataDxfId="10"/>
    <tableColumn id="11" xr3:uid="{D86F739F-653D-4A9F-B62C-C3D5B2291C42}" name="Exit Date"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50E540-4023-4F39-BFDC-FF9150A7CBD1}" name="Table9" displayName="Table9" ref="A1:N1001" tableType="queryTable" totalsRowShown="0">
  <autoFilter ref="A1:N1001" xr:uid="{0350E540-4023-4F39-BFDC-FF9150A7CBD1}"/>
  <tableColumns count="14">
    <tableColumn id="1" xr3:uid="{6F072267-1A27-4DE1-B4D6-65BF5513E738}" uniqueName="1" name="EMP ID" queryTableFieldId="16" dataDxfId="8"/>
    <tableColumn id="2" xr3:uid="{71C42355-B50E-4984-8515-C480D6C80582}" uniqueName="2" name="Job Title" queryTableFieldId="2" dataDxfId="7"/>
    <tableColumn id="3" xr3:uid="{F3D4D4E0-A3A7-40FE-9A16-F6EA82D880CF}" uniqueName="3" name="Department" queryTableFieldId="3" dataDxfId="6"/>
    <tableColumn id="4" xr3:uid="{90558084-20A4-4B35-846D-9447A48D4C47}" uniqueName="4" name="Business Unit" queryTableFieldId="4" dataDxfId="5"/>
    <tableColumn id="5" xr3:uid="{A0DFAAFF-1BE9-45BA-A125-CBF369E55BEA}" uniqueName="5" name="Gender" queryTableFieldId="5" dataDxfId="4"/>
    <tableColumn id="6" xr3:uid="{C79A5D57-C463-4ED0-AEA8-A17DD9319143}" uniqueName="6" name="Age" queryTableFieldId="6"/>
    <tableColumn id="7" xr3:uid="{2731D690-D56B-48C3-B62A-8EAD0D785E77}" uniqueName="7" name="Age under" queryTableFieldId="7"/>
    <tableColumn id="8" xr3:uid="{278CCFB8-024E-497F-BDAC-465F959A48C7}" uniqueName="8" name="Hire Date" queryTableFieldId="8" dataDxfId="3"/>
    <tableColumn id="9" xr3:uid="{B9C21915-3AE8-4F5A-BB98-2A3D84880DE9}" uniqueName="9" name="Annual Salary" queryTableFieldId="9"/>
    <tableColumn id="10" xr3:uid="{190A7859-F5A6-4C1B-BC6A-0C31EE4E5CCD}" uniqueName="10" name="Bonus %" queryTableFieldId="10"/>
    <tableColumn id="14" xr3:uid="{D7388667-D5EF-40BF-A857-6F8ADE40BF9F}" uniqueName="14" name="Total salary" queryTableFieldId="14"/>
    <tableColumn id="11" xr3:uid="{130052E8-4F54-423A-BF0C-F2F4DCE04D96}" uniqueName="11" name="Country" queryTableFieldId="11" dataDxfId="2"/>
    <tableColumn id="12" xr3:uid="{6B8B575F-2CEB-4D19-B663-98BABE28125B}" uniqueName="12" name="City" queryTableFieldId="12" dataDxfId="1"/>
    <tableColumn id="13" xr3:uid="{308343E7-9370-45EA-846C-E9EC6DA770E2}" uniqueName="13" name="Exit Date" queryTableFieldId="1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microsoft.com/office/2007/relationships/slicer" Target="../slicers/slicer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6CE38-D422-4C4C-AAC9-3BEEB1790CC5}">
  <dimension ref="B2:G13"/>
  <sheetViews>
    <sheetView zoomScale="175" zoomScaleNormal="175" workbookViewId="0">
      <selection activeCell="B9" sqref="B9"/>
    </sheetView>
  </sheetViews>
  <sheetFormatPr defaultRowHeight="15" x14ac:dyDescent="0.25"/>
  <cols>
    <col min="6" max="6" width="10.7109375" bestFit="1" customWidth="1"/>
  </cols>
  <sheetData>
    <row r="2" spans="2:7" x14ac:dyDescent="0.25">
      <c r="B2" t="s">
        <v>0</v>
      </c>
    </row>
    <row r="3" spans="2:7" x14ac:dyDescent="0.25">
      <c r="B3" t="s">
        <v>1</v>
      </c>
    </row>
    <row r="4" spans="2:7" x14ac:dyDescent="0.25">
      <c r="C4" s="2" t="s">
        <v>2</v>
      </c>
      <c r="D4" s="2"/>
    </row>
    <row r="5" spans="2:7" x14ac:dyDescent="0.25">
      <c r="C5" s="2" t="s">
        <v>3</v>
      </c>
    </row>
    <row r="6" spans="2:7" x14ac:dyDescent="0.25">
      <c r="C6" s="2" t="s">
        <v>4</v>
      </c>
    </row>
    <row r="7" spans="2:7" x14ac:dyDescent="0.25">
      <c r="C7" t="s">
        <v>5</v>
      </c>
    </row>
    <row r="8" spans="2:7" x14ac:dyDescent="0.25">
      <c r="C8" t="s">
        <v>6</v>
      </c>
      <c r="F8" t="s">
        <v>7</v>
      </c>
      <c r="G8" t="s">
        <v>8</v>
      </c>
    </row>
    <row r="9" spans="2:7" x14ac:dyDescent="0.25">
      <c r="B9" t="s">
        <v>9</v>
      </c>
    </row>
    <row r="10" spans="2:7" x14ac:dyDescent="0.25">
      <c r="C10" t="s">
        <v>10</v>
      </c>
    </row>
    <row r="11" spans="2:7" x14ac:dyDescent="0.25">
      <c r="C11" t="s">
        <v>11</v>
      </c>
    </row>
    <row r="12" spans="2:7" x14ac:dyDescent="0.25">
      <c r="C12" t="s">
        <v>12</v>
      </c>
    </row>
    <row r="13" spans="2:7" x14ac:dyDescent="0.25">
      <c r="C1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CBE90-3CB9-44AA-A001-1D5EF8910235}">
  <dimension ref="A1:G1304"/>
  <sheetViews>
    <sheetView zoomScale="130" zoomScaleNormal="130" workbookViewId="0">
      <pane ySplit="1" topLeftCell="A1291" activePane="bottomLeft" state="frozen"/>
      <selection pane="bottomLeft" activeCell="E1298" sqref="E1298"/>
    </sheetView>
  </sheetViews>
  <sheetFormatPr defaultRowHeight="15" x14ac:dyDescent="0.25"/>
  <cols>
    <col min="1" max="1" width="9.7109375" bestFit="1" customWidth="1"/>
    <col min="2" max="2" width="12" bestFit="1" customWidth="1"/>
    <col min="4" max="4" width="11" bestFit="1" customWidth="1"/>
    <col min="7" max="7" width="13.140625" bestFit="1" customWidth="1"/>
  </cols>
  <sheetData>
    <row r="1" spans="1:7" x14ac:dyDescent="0.25">
      <c r="A1" s="17" t="s">
        <v>88</v>
      </c>
      <c r="B1" t="s">
        <v>89</v>
      </c>
      <c r="C1" t="s">
        <v>90</v>
      </c>
      <c r="D1" t="s">
        <v>91</v>
      </c>
      <c r="E1" t="s">
        <v>92</v>
      </c>
      <c r="F1" t="s">
        <v>93</v>
      </c>
      <c r="G1" t="s">
        <v>94</v>
      </c>
    </row>
    <row r="2" spans="1:7" x14ac:dyDescent="0.25">
      <c r="A2" s="17">
        <v>43282</v>
      </c>
      <c r="B2" t="s">
        <v>95</v>
      </c>
      <c r="C2" t="s">
        <v>96</v>
      </c>
      <c r="D2">
        <v>6</v>
      </c>
      <c r="E2">
        <v>80</v>
      </c>
      <c r="F2">
        <v>0.01</v>
      </c>
      <c r="G2" t="s">
        <v>97</v>
      </c>
    </row>
    <row r="3" spans="1:7" x14ac:dyDescent="0.25">
      <c r="A3" s="17">
        <v>43282</v>
      </c>
      <c r="B3" t="s">
        <v>98</v>
      </c>
      <c r="C3" t="s">
        <v>99</v>
      </c>
      <c r="D3">
        <v>14</v>
      </c>
      <c r="E3">
        <v>40</v>
      </c>
      <c r="F3">
        <v>0.06</v>
      </c>
      <c r="G3" t="s">
        <v>100</v>
      </c>
    </row>
    <row r="4" spans="1:7" x14ac:dyDescent="0.25">
      <c r="A4" s="17">
        <v>43282</v>
      </c>
      <c r="B4" t="s">
        <v>101</v>
      </c>
      <c r="C4" t="s">
        <v>99</v>
      </c>
      <c r="D4">
        <v>22</v>
      </c>
      <c r="E4">
        <v>230</v>
      </c>
      <c r="F4">
        <v>0.11</v>
      </c>
      <c r="G4" t="s">
        <v>102</v>
      </c>
    </row>
    <row r="5" spans="1:7" x14ac:dyDescent="0.25">
      <c r="A5" s="17">
        <v>43282</v>
      </c>
      <c r="B5" t="s">
        <v>101</v>
      </c>
      <c r="C5" t="s">
        <v>96</v>
      </c>
      <c r="D5">
        <v>8</v>
      </c>
      <c r="E5">
        <v>230</v>
      </c>
      <c r="F5">
        <v>0.03</v>
      </c>
      <c r="G5" t="s">
        <v>103</v>
      </c>
    </row>
    <row r="6" spans="1:7" x14ac:dyDescent="0.25">
      <c r="A6" s="17">
        <v>43282</v>
      </c>
      <c r="B6" t="s">
        <v>101</v>
      </c>
      <c r="C6" t="s">
        <v>104</v>
      </c>
      <c r="D6">
        <v>12</v>
      </c>
      <c r="E6">
        <v>230</v>
      </c>
      <c r="F6">
        <v>0.03</v>
      </c>
      <c r="G6" t="s">
        <v>105</v>
      </c>
    </row>
    <row r="7" spans="1:7" x14ac:dyDescent="0.25">
      <c r="A7" s="17">
        <v>43282</v>
      </c>
      <c r="B7" t="s">
        <v>95</v>
      </c>
      <c r="C7" t="s">
        <v>106</v>
      </c>
      <c r="D7">
        <v>19</v>
      </c>
      <c r="E7">
        <v>80</v>
      </c>
      <c r="F7">
        <v>0.02</v>
      </c>
      <c r="G7" t="s">
        <v>107</v>
      </c>
    </row>
    <row r="8" spans="1:7" x14ac:dyDescent="0.25">
      <c r="A8" s="17">
        <v>43282</v>
      </c>
      <c r="B8" t="s">
        <v>108</v>
      </c>
      <c r="C8" t="s">
        <v>109</v>
      </c>
      <c r="D8">
        <v>17</v>
      </c>
      <c r="E8">
        <v>16</v>
      </c>
      <c r="F8">
        <v>0.08</v>
      </c>
      <c r="G8" t="s">
        <v>110</v>
      </c>
    </row>
    <row r="9" spans="1:7" x14ac:dyDescent="0.25">
      <c r="A9" s="17">
        <v>43282</v>
      </c>
      <c r="B9" t="s">
        <v>111</v>
      </c>
      <c r="C9" t="s">
        <v>106</v>
      </c>
      <c r="D9">
        <v>7</v>
      </c>
      <c r="E9">
        <v>150</v>
      </c>
      <c r="F9">
        <v>0.05</v>
      </c>
      <c r="G9" t="s">
        <v>112</v>
      </c>
    </row>
    <row r="10" spans="1:7" x14ac:dyDescent="0.25">
      <c r="A10" s="17">
        <v>43282</v>
      </c>
      <c r="B10" t="s">
        <v>111</v>
      </c>
      <c r="C10" t="s">
        <v>106</v>
      </c>
      <c r="D10">
        <v>20</v>
      </c>
      <c r="E10">
        <v>150</v>
      </c>
      <c r="F10">
        <v>0.1</v>
      </c>
      <c r="G10" t="s">
        <v>113</v>
      </c>
    </row>
    <row r="11" spans="1:7" x14ac:dyDescent="0.25">
      <c r="A11" s="17">
        <v>43282</v>
      </c>
      <c r="B11" t="s">
        <v>108</v>
      </c>
      <c r="C11" t="s">
        <v>96</v>
      </c>
      <c r="D11">
        <v>21</v>
      </c>
      <c r="E11">
        <v>16</v>
      </c>
      <c r="F11">
        <v>0.09</v>
      </c>
      <c r="G11" t="s">
        <v>114</v>
      </c>
    </row>
    <row r="12" spans="1:7" x14ac:dyDescent="0.25">
      <c r="A12" s="17">
        <v>43282</v>
      </c>
      <c r="B12" t="s">
        <v>101</v>
      </c>
      <c r="C12" t="s">
        <v>99</v>
      </c>
      <c r="D12">
        <v>7</v>
      </c>
      <c r="E12">
        <v>230</v>
      </c>
      <c r="F12">
        <v>0.01</v>
      </c>
      <c r="G12" t="s">
        <v>115</v>
      </c>
    </row>
    <row r="13" spans="1:7" x14ac:dyDescent="0.25">
      <c r="A13" s="17">
        <v>43283</v>
      </c>
      <c r="B13" t="s">
        <v>95</v>
      </c>
      <c r="C13" t="s">
        <v>106</v>
      </c>
      <c r="D13">
        <v>7</v>
      </c>
      <c r="E13">
        <v>80</v>
      </c>
      <c r="F13">
        <v>7.0000000000000007E-2</v>
      </c>
      <c r="G13" t="s">
        <v>116</v>
      </c>
    </row>
    <row r="14" spans="1:7" x14ac:dyDescent="0.25">
      <c r="A14" s="17">
        <v>43283</v>
      </c>
      <c r="B14" t="s">
        <v>95</v>
      </c>
      <c r="C14" t="s">
        <v>109</v>
      </c>
      <c r="D14">
        <v>9</v>
      </c>
      <c r="E14">
        <v>80</v>
      </c>
      <c r="F14">
        <v>0.02</v>
      </c>
      <c r="G14" t="s">
        <v>97</v>
      </c>
    </row>
    <row r="15" spans="1:7" x14ac:dyDescent="0.25">
      <c r="A15" s="17">
        <v>43283</v>
      </c>
      <c r="B15" t="s">
        <v>98</v>
      </c>
      <c r="C15" t="s">
        <v>109</v>
      </c>
      <c r="D15">
        <v>16</v>
      </c>
      <c r="E15">
        <v>40</v>
      </c>
      <c r="F15">
        <v>0.09</v>
      </c>
      <c r="G15" t="s">
        <v>100</v>
      </c>
    </row>
    <row r="16" spans="1:7" x14ac:dyDescent="0.25">
      <c r="A16" s="17">
        <v>43283</v>
      </c>
      <c r="B16" t="s">
        <v>111</v>
      </c>
      <c r="C16" t="s">
        <v>99</v>
      </c>
      <c r="D16">
        <v>23</v>
      </c>
      <c r="E16">
        <v>150</v>
      </c>
      <c r="F16">
        <v>0.11</v>
      </c>
      <c r="G16" t="s">
        <v>102</v>
      </c>
    </row>
    <row r="17" spans="1:7" x14ac:dyDescent="0.25">
      <c r="A17" s="17">
        <v>43283</v>
      </c>
      <c r="B17" t="s">
        <v>108</v>
      </c>
      <c r="C17" t="s">
        <v>106</v>
      </c>
      <c r="D17">
        <v>22</v>
      </c>
      <c r="E17">
        <v>16</v>
      </c>
      <c r="F17">
        <v>0.03</v>
      </c>
      <c r="G17" t="s">
        <v>103</v>
      </c>
    </row>
    <row r="18" spans="1:7" x14ac:dyDescent="0.25">
      <c r="A18" s="17">
        <v>43283</v>
      </c>
      <c r="B18" t="s">
        <v>98</v>
      </c>
      <c r="C18" t="s">
        <v>106</v>
      </c>
      <c r="D18">
        <v>23</v>
      </c>
      <c r="E18">
        <v>40</v>
      </c>
      <c r="F18">
        <v>0.06</v>
      </c>
      <c r="G18" t="s">
        <v>105</v>
      </c>
    </row>
    <row r="19" spans="1:7" x14ac:dyDescent="0.25">
      <c r="A19" s="17">
        <v>43283</v>
      </c>
      <c r="B19" t="s">
        <v>95</v>
      </c>
      <c r="C19" t="s">
        <v>96</v>
      </c>
      <c r="D19">
        <v>20</v>
      </c>
      <c r="E19">
        <v>80</v>
      </c>
      <c r="F19">
        <v>0.01</v>
      </c>
      <c r="G19" t="s">
        <v>107</v>
      </c>
    </row>
    <row r="20" spans="1:7" x14ac:dyDescent="0.25">
      <c r="A20" s="17">
        <v>43284</v>
      </c>
      <c r="B20" t="s">
        <v>95</v>
      </c>
      <c r="C20" t="s">
        <v>106</v>
      </c>
      <c r="D20">
        <v>11</v>
      </c>
      <c r="E20">
        <v>80</v>
      </c>
      <c r="F20">
        <v>0.01</v>
      </c>
      <c r="G20" t="s">
        <v>110</v>
      </c>
    </row>
    <row r="21" spans="1:7" x14ac:dyDescent="0.25">
      <c r="A21" s="17">
        <v>43284</v>
      </c>
      <c r="B21" t="s">
        <v>98</v>
      </c>
      <c r="C21" t="s">
        <v>106</v>
      </c>
      <c r="D21">
        <v>9</v>
      </c>
      <c r="E21">
        <v>40</v>
      </c>
      <c r="F21">
        <v>0.06</v>
      </c>
      <c r="G21" t="s">
        <v>112</v>
      </c>
    </row>
    <row r="22" spans="1:7" x14ac:dyDescent="0.25">
      <c r="A22" s="17">
        <v>43284</v>
      </c>
      <c r="B22" t="s">
        <v>95</v>
      </c>
      <c r="C22" t="s">
        <v>109</v>
      </c>
      <c r="D22">
        <v>16</v>
      </c>
      <c r="E22">
        <v>80</v>
      </c>
      <c r="F22">
        <v>0.09</v>
      </c>
      <c r="G22" t="s">
        <v>113</v>
      </c>
    </row>
    <row r="23" spans="1:7" x14ac:dyDescent="0.25">
      <c r="A23" s="17">
        <v>43284</v>
      </c>
      <c r="B23" t="s">
        <v>95</v>
      </c>
      <c r="C23" t="s">
        <v>104</v>
      </c>
      <c r="D23">
        <v>10</v>
      </c>
      <c r="E23">
        <v>80</v>
      </c>
      <c r="F23">
        <v>0.08</v>
      </c>
      <c r="G23" t="s">
        <v>114</v>
      </c>
    </row>
    <row r="24" spans="1:7" x14ac:dyDescent="0.25">
      <c r="A24" s="17">
        <v>43284</v>
      </c>
      <c r="B24" t="s">
        <v>108</v>
      </c>
      <c r="C24" t="s">
        <v>104</v>
      </c>
      <c r="D24">
        <v>12</v>
      </c>
      <c r="E24">
        <v>16</v>
      </c>
      <c r="F24">
        <v>0.11</v>
      </c>
      <c r="G24" t="s">
        <v>115</v>
      </c>
    </row>
    <row r="25" spans="1:7" x14ac:dyDescent="0.25">
      <c r="A25" s="17">
        <v>43284</v>
      </c>
      <c r="B25" t="s">
        <v>111</v>
      </c>
      <c r="C25" t="s">
        <v>106</v>
      </c>
      <c r="D25">
        <v>6</v>
      </c>
      <c r="E25">
        <v>150</v>
      </c>
      <c r="F25">
        <v>0.03</v>
      </c>
      <c r="G25" t="s">
        <v>116</v>
      </c>
    </row>
    <row r="26" spans="1:7" x14ac:dyDescent="0.25">
      <c r="A26" s="17">
        <v>43284</v>
      </c>
      <c r="B26" t="s">
        <v>108</v>
      </c>
      <c r="C26" t="s">
        <v>104</v>
      </c>
      <c r="D26">
        <v>11</v>
      </c>
      <c r="E26">
        <v>16</v>
      </c>
      <c r="F26">
        <v>0.04</v>
      </c>
      <c r="G26" t="s">
        <v>97</v>
      </c>
    </row>
    <row r="27" spans="1:7" x14ac:dyDescent="0.25">
      <c r="A27" s="17">
        <v>43284</v>
      </c>
      <c r="B27" t="s">
        <v>95</v>
      </c>
      <c r="C27" t="s">
        <v>106</v>
      </c>
      <c r="D27">
        <v>22</v>
      </c>
      <c r="E27">
        <v>80</v>
      </c>
      <c r="F27">
        <v>0.03</v>
      </c>
      <c r="G27" t="s">
        <v>100</v>
      </c>
    </row>
    <row r="28" spans="1:7" x14ac:dyDescent="0.25">
      <c r="A28" s="17">
        <v>43284</v>
      </c>
      <c r="B28" t="s">
        <v>108</v>
      </c>
      <c r="C28" t="s">
        <v>99</v>
      </c>
      <c r="D28">
        <v>7</v>
      </c>
      <c r="E28">
        <v>16</v>
      </c>
      <c r="F28">
        <v>0.08</v>
      </c>
      <c r="G28" t="s">
        <v>102</v>
      </c>
    </row>
    <row r="29" spans="1:7" x14ac:dyDescent="0.25">
      <c r="A29" s="17">
        <v>43284</v>
      </c>
      <c r="B29" t="s">
        <v>98</v>
      </c>
      <c r="C29" t="s">
        <v>106</v>
      </c>
      <c r="D29">
        <v>13</v>
      </c>
      <c r="E29">
        <v>40</v>
      </c>
      <c r="F29">
        <v>0.09</v>
      </c>
      <c r="G29" t="s">
        <v>103</v>
      </c>
    </row>
    <row r="30" spans="1:7" x14ac:dyDescent="0.25">
      <c r="A30" s="17">
        <v>43284</v>
      </c>
      <c r="B30" t="s">
        <v>101</v>
      </c>
      <c r="C30" t="s">
        <v>106</v>
      </c>
      <c r="D30">
        <v>8</v>
      </c>
      <c r="E30">
        <v>230</v>
      </c>
      <c r="F30">
        <v>0.05</v>
      </c>
      <c r="G30" t="s">
        <v>105</v>
      </c>
    </row>
    <row r="31" spans="1:7" x14ac:dyDescent="0.25">
      <c r="A31" s="17">
        <v>43284</v>
      </c>
      <c r="B31" t="s">
        <v>108</v>
      </c>
      <c r="C31" t="s">
        <v>106</v>
      </c>
      <c r="D31">
        <v>14</v>
      </c>
      <c r="E31">
        <v>16</v>
      </c>
      <c r="F31">
        <v>0.12</v>
      </c>
      <c r="G31" t="s">
        <v>107</v>
      </c>
    </row>
    <row r="32" spans="1:7" x14ac:dyDescent="0.25">
      <c r="A32" s="17">
        <v>43284</v>
      </c>
      <c r="B32" t="s">
        <v>98</v>
      </c>
      <c r="C32" t="s">
        <v>109</v>
      </c>
      <c r="D32">
        <v>16</v>
      </c>
      <c r="E32">
        <v>40</v>
      </c>
      <c r="F32">
        <v>0.09</v>
      </c>
      <c r="G32" t="s">
        <v>110</v>
      </c>
    </row>
    <row r="33" spans="1:7" x14ac:dyDescent="0.25">
      <c r="A33" s="17">
        <v>43285</v>
      </c>
      <c r="B33" t="s">
        <v>111</v>
      </c>
      <c r="C33" t="s">
        <v>99</v>
      </c>
      <c r="D33">
        <v>16</v>
      </c>
      <c r="E33">
        <v>150</v>
      </c>
      <c r="F33">
        <v>0.05</v>
      </c>
      <c r="G33" t="s">
        <v>112</v>
      </c>
    </row>
    <row r="34" spans="1:7" x14ac:dyDescent="0.25">
      <c r="A34" s="17">
        <v>43285</v>
      </c>
      <c r="B34" t="s">
        <v>98</v>
      </c>
      <c r="C34" t="s">
        <v>99</v>
      </c>
      <c r="D34">
        <v>12</v>
      </c>
      <c r="E34">
        <v>40</v>
      </c>
      <c r="F34">
        <v>0.1</v>
      </c>
      <c r="G34" t="s">
        <v>113</v>
      </c>
    </row>
    <row r="35" spans="1:7" x14ac:dyDescent="0.25">
      <c r="A35" s="17">
        <v>43285</v>
      </c>
      <c r="B35" t="s">
        <v>95</v>
      </c>
      <c r="C35" t="s">
        <v>109</v>
      </c>
      <c r="D35">
        <v>17</v>
      </c>
      <c r="E35">
        <v>80</v>
      </c>
      <c r="F35">
        <v>7.0000000000000007E-2</v>
      </c>
      <c r="G35" t="s">
        <v>114</v>
      </c>
    </row>
    <row r="36" spans="1:7" x14ac:dyDescent="0.25">
      <c r="A36" s="17">
        <v>43285</v>
      </c>
      <c r="B36" t="s">
        <v>101</v>
      </c>
      <c r="C36" t="s">
        <v>106</v>
      </c>
      <c r="D36">
        <v>19</v>
      </c>
      <c r="E36">
        <v>230</v>
      </c>
      <c r="F36">
        <v>0.06</v>
      </c>
      <c r="G36" t="s">
        <v>115</v>
      </c>
    </row>
    <row r="37" spans="1:7" x14ac:dyDescent="0.25">
      <c r="A37" s="17">
        <v>43285</v>
      </c>
      <c r="B37" t="s">
        <v>101</v>
      </c>
      <c r="C37" t="s">
        <v>109</v>
      </c>
      <c r="D37">
        <v>22</v>
      </c>
      <c r="E37">
        <v>230</v>
      </c>
      <c r="F37">
        <v>0.1</v>
      </c>
      <c r="G37" t="s">
        <v>116</v>
      </c>
    </row>
    <row r="38" spans="1:7" x14ac:dyDescent="0.25">
      <c r="A38" s="17">
        <v>43285</v>
      </c>
      <c r="B38" t="s">
        <v>98</v>
      </c>
      <c r="C38" t="s">
        <v>106</v>
      </c>
      <c r="D38">
        <v>22</v>
      </c>
      <c r="E38">
        <v>40</v>
      </c>
      <c r="F38">
        <v>0.01</v>
      </c>
      <c r="G38" t="s">
        <v>97</v>
      </c>
    </row>
    <row r="39" spans="1:7" x14ac:dyDescent="0.25">
      <c r="A39" s="17">
        <v>43285</v>
      </c>
      <c r="B39" t="s">
        <v>108</v>
      </c>
      <c r="C39" t="s">
        <v>106</v>
      </c>
      <c r="D39">
        <v>10</v>
      </c>
      <c r="E39">
        <v>16</v>
      </c>
      <c r="F39">
        <v>0.04</v>
      </c>
      <c r="G39" t="s">
        <v>100</v>
      </c>
    </row>
    <row r="40" spans="1:7" x14ac:dyDescent="0.25">
      <c r="A40" s="17">
        <v>43285</v>
      </c>
      <c r="B40" t="s">
        <v>98</v>
      </c>
      <c r="C40" t="s">
        <v>99</v>
      </c>
      <c r="D40">
        <v>4</v>
      </c>
      <c r="E40">
        <v>40</v>
      </c>
      <c r="F40">
        <v>0.12</v>
      </c>
      <c r="G40" t="s">
        <v>102</v>
      </c>
    </row>
    <row r="41" spans="1:7" x14ac:dyDescent="0.25">
      <c r="A41" s="17">
        <v>43285</v>
      </c>
      <c r="B41" t="s">
        <v>98</v>
      </c>
      <c r="C41" t="s">
        <v>109</v>
      </c>
      <c r="D41">
        <v>20</v>
      </c>
      <c r="E41">
        <v>40</v>
      </c>
      <c r="F41">
        <v>0.05</v>
      </c>
      <c r="G41" t="s">
        <v>103</v>
      </c>
    </row>
    <row r="42" spans="1:7" x14ac:dyDescent="0.25">
      <c r="A42" s="17">
        <v>43286</v>
      </c>
      <c r="B42" t="s">
        <v>101</v>
      </c>
      <c r="C42" t="s">
        <v>106</v>
      </c>
      <c r="D42">
        <v>23</v>
      </c>
      <c r="E42">
        <v>230</v>
      </c>
      <c r="F42">
        <v>0.06</v>
      </c>
      <c r="G42" t="s">
        <v>105</v>
      </c>
    </row>
    <row r="43" spans="1:7" x14ac:dyDescent="0.25">
      <c r="A43" s="17">
        <v>43286</v>
      </c>
      <c r="B43" t="s">
        <v>98</v>
      </c>
      <c r="C43" t="s">
        <v>104</v>
      </c>
      <c r="D43">
        <v>20</v>
      </c>
      <c r="E43">
        <v>40</v>
      </c>
      <c r="F43">
        <v>0.01</v>
      </c>
      <c r="G43" t="s">
        <v>107</v>
      </c>
    </row>
    <row r="44" spans="1:7" x14ac:dyDescent="0.25">
      <c r="A44" s="17">
        <v>43286</v>
      </c>
      <c r="B44" t="s">
        <v>111</v>
      </c>
      <c r="C44" t="s">
        <v>104</v>
      </c>
      <c r="D44">
        <v>20</v>
      </c>
      <c r="E44">
        <v>150</v>
      </c>
      <c r="F44">
        <v>0.04</v>
      </c>
      <c r="G44" t="s">
        <v>110</v>
      </c>
    </row>
    <row r="45" spans="1:7" x14ac:dyDescent="0.25">
      <c r="A45" s="17">
        <v>43286</v>
      </c>
      <c r="B45" t="s">
        <v>95</v>
      </c>
      <c r="C45" t="s">
        <v>99</v>
      </c>
      <c r="D45">
        <v>9</v>
      </c>
      <c r="E45">
        <v>80</v>
      </c>
      <c r="F45">
        <v>0.03</v>
      </c>
      <c r="G45" t="s">
        <v>112</v>
      </c>
    </row>
    <row r="46" spans="1:7" x14ac:dyDescent="0.25">
      <c r="A46" s="17">
        <v>43286</v>
      </c>
      <c r="B46" t="s">
        <v>101</v>
      </c>
      <c r="C46" t="s">
        <v>96</v>
      </c>
      <c r="D46">
        <v>7</v>
      </c>
      <c r="E46">
        <v>230</v>
      </c>
      <c r="F46">
        <v>0.02</v>
      </c>
      <c r="G46" t="s">
        <v>113</v>
      </c>
    </row>
    <row r="47" spans="1:7" x14ac:dyDescent="0.25">
      <c r="A47" s="17">
        <v>43286</v>
      </c>
      <c r="B47" t="s">
        <v>101</v>
      </c>
      <c r="C47" t="s">
        <v>96</v>
      </c>
      <c r="D47">
        <v>3</v>
      </c>
      <c r="E47">
        <v>230</v>
      </c>
      <c r="F47">
        <v>0.06</v>
      </c>
      <c r="G47" t="s">
        <v>114</v>
      </c>
    </row>
    <row r="48" spans="1:7" x14ac:dyDescent="0.25">
      <c r="A48" s="17">
        <v>43286</v>
      </c>
      <c r="B48" t="s">
        <v>111</v>
      </c>
      <c r="C48" t="s">
        <v>96</v>
      </c>
      <c r="D48">
        <v>13</v>
      </c>
      <c r="E48">
        <v>150</v>
      </c>
      <c r="F48">
        <v>0.05</v>
      </c>
      <c r="G48" t="s">
        <v>115</v>
      </c>
    </row>
    <row r="49" spans="1:7" x14ac:dyDescent="0.25">
      <c r="A49" s="17">
        <v>43286</v>
      </c>
      <c r="B49" t="s">
        <v>95</v>
      </c>
      <c r="C49" t="s">
        <v>96</v>
      </c>
      <c r="D49">
        <v>17</v>
      </c>
      <c r="E49">
        <v>80</v>
      </c>
      <c r="F49">
        <v>0.09</v>
      </c>
      <c r="G49" t="s">
        <v>116</v>
      </c>
    </row>
    <row r="50" spans="1:7" x14ac:dyDescent="0.25">
      <c r="A50" s="17">
        <v>43287</v>
      </c>
      <c r="B50" t="s">
        <v>98</v>
      </c>
      <c r="C50" t="s">
        <v>106</v>
      </c>
      <c r="D50">
        <v>18</v>
      </c>
      <c r="E50">
        <v>40</v>
      </c>
      <c r="F50">
        <v>0.06</v>
      </c>
      <c r="G50" t="s">
        <v>97</v>
      </c>
    </row>
    <row r="51" spans="1:7" x14ac:dyDescent="0.25">
      <c r="A51" s="17">
        <v>43287</v>
      </c>
      <c r="B51" t="s">
        <v>108</v>
      </c>
      <c r="C51" t="s">
        <v>104</v>
      </c>
      <c r="D51">
        <v>23</v>
      </c>
      <c r="E51">
        <v>16</v>
      </c>
      <c r="F51">
        <v>0.11</v>
      </c>
      <c r="G51" t="s">
        <v>100</v>
      </c>
    </row>
    <row r="52" spans="1:7" x14ac:dyDescent="0.25">
      <c r="A52" s="17">
        <v>43287</v>
      </c>
      <c r="B52" t="s">
        <v>101</v>
      </c>
      <c r="C52" t="s">
        <v>104</v>
      </c>
      <c r="D52">
        <v>20</v>
      </c>
      <c r="E52">
        <v>230</v>
      </c>
      <c r="F52">
        <v>0.06</v>
      </c>
      <c r="G52" t="s">
        <v>102</v>
      </c>
    </row>
    <row r="53" spans="1:7" x14ac:dyDescent="0.25">
      <c r="A53" s="17">
        <v>43287</v>
      </c>
      <c r="B53" t="s">
        <v>108</v>
      </c>
      <c r="C53" t="s">
        <v>96</v>
      </c>
      <c r="D53">
        <v>11</v>
      </c>
      <c r="E53">
        <v>16</v>
      </c>
      <c r="F53">
        <v>0.09</v>
      </c>
      <c r="G53" t="s">
        <v>103</v>
      </c>
    </row>
    <row r="54" spans="1:7" x14ac:dyDescent="0.25">
      <c r="A54" s="17">
        <v>43287</v>
      </c>
      <c r="B54" t="s">
        <v>111</v>
      </c>
      <c r="C54" t="s">
        <v>109</v>
      </c>
      <c r="D54">
        <v>15</v>
      </c>
      <c r="E54">
        <v>150</v>
      </c>
      <c r="F54">
        <v>7.0000000000000007E-2</v>
      </c>
      <c r="G54" t="s">
        <v>105</v>
      </c>
    </row>
    <row r="55" spans="1:7" x14ac:dyDescent="0.25">
      <c r="A55" s="17">
        <v>43287</v>
      </c>
      <c r="B55" t="s">
        <v>101</v>
      </c>
      <c r="C55" t="s">
        <v>99</v>
      </c>
      <c r="D55">
        <v>6</v>
      </c>
      <c r="E55">
        <v>230</v>
      </c>
      <c r="F55">
        <v>0.1</v>
      </c>
      <c r="G55" t="s">
        <v>107</v>
      </c>
    </row>
    <row r="56" spans="1:7" x14ac:dyDescent="0.25">
      <c r="A56" s="17">
        <v>43287</v>
      </c>
      <c r="B56" t="s">
        <v>98</v>
      </c>
      <c r="C56" t="s">
        <v>96</v>
      </c>
      <c r="D56">
        <v>22</v>
      </c>
      <c r="E56">
        <v>40</v>
      </c>
      <c r="F56">
        <v>0.02</v>
      </c>
      <c r="G56" t="s">
        <v>110</v>
      </c>
    </row>
    <row r="57" spans="1:7" x14ac:dyDescent="0.25">
      <c r="A57" s="17">
        <v>43287</v>
      </c>
      <c r="B57" t="s">
        <v>98</v>
      </c>
      <c r="C57" t="s">
        <v>96</v>
      </c>
      <c r="D57">
        <v>15</v>
      </c>
      <c r="E57">
        <v>40</v>
      </c>
      <c r="F57">
        <v>0.06</v>
      </c>
      <c r="G57" t="s">
        <v>112</v>
      </c>
    </row>
    <row r="58" spans="1:7" x14ac:dyDescent="0.25">
      <c r="A58" s="17">
        <v>43287</v>
      </c>
      <c r="B58" t="s">
        <v>108</v>
      </c>
      <c r="C58" t="s">
        <v>104</v>
      </c>
      <c r="D58">
        <v>12</v>
      </c>
      <c r="E58">
        <v>16</v>
      </c>
      <c r="F58">
        <v>0.03</v>
      </c>
      <c r="G58" t="s">
        <v>113</v>
      </c>
    </row>
    <row r="59" spans="1:7" x14ac:dyDescent="0.25">
      <c r="A59" s="17">
        <v>43287</v>
      </c>
      <c r="B59" t="s">
        <v>108</v>
      </c>
      <c r="C59" t="s">
        <v>109</v>
      </c>
      <c r="D59">
        <v>22</v>
      </c>
      <c r="E59">
        <v>16</v>
      </c>
      <c r="F59">
        <v>0.12</v>
      </c>
      <c r="G59" t="s">
        <v>114</v>
      </c>
    </row>
    <row r="60" spans="1:7" x14ac:dyDescent="0.25">
      <c r="A60" s="17">
        <v>43287</v>
      </c>
      <c r="B60" t="s">
        <v>95</v>
      </c>
      <c r="C60" t="s">
        <v>96</v>
      </c>
      <c r="D60">
        <v>21</v>
      </c>
      <c r="E60">
        <v>80</v>
      </c>
      <c r="F60">
        <v>0.04</v>
      </c>
      <c r="G60" t="s">
        <v>115</v>
      </c>
    </row>
    <row r="61" spans="1:7" x14ac:dyDescent="0.25">
      <c r="A61" s="17">
        <v>43287</v>
      </c>
      <c r="B61" t="s">
        <v>111</v>
      </c>
      <c r="C61" t="s">
        <v>96</v>
      </c>
      <c r="D61">
        <v>22</v>
      </c>
      <c r="E61">
        <v>150</v>
      </c>
      <c r="F61">
        <v>0.05</v>
      </c>
      <c r="G61" t="s">
        <v>116</v>
      </c>
    </row>
    <row r="62" spans="1:7" x14ac:dyDescent="0.25">
      <c r="A62" s="17">
        <v>43287</v>
      </c>
      <c r="B62" t="s">
        <v>95</v>
      </c>
      <c r="C62" t="s">
        <v>109</v>
      </c>
      <c r="D62">
        <v>21</v>
      </c>
      <c r="E62">
        <v>80</v>
      </c>
      <c r="F62">
        <v>0.09</v>
      </c>
      <c r="G62" t="s">
        <v>97</v>
      </c>
    </row>
    <row r="63" spans="1:7" x14ac:dyDescent="0.25">
      <c r="A63" s="17">
        <v>43287</v>
      </c>
      <c r="B63" t="s">
        <v>95</v>
      </c>
      <c r="C63" t="s">
        <v>106</v>
      </c>
      <c r="D63">
        <v>10</v>
      </c>
      <c r="E63">
        <v>80</v>
      </c>
      <c r="F63">
        <v>0.1</v>
      </c>
      <c r="G63" t="s">
        <v>100</v>
      </c>
    </row>
    <row r="64" spans="1:7" x14ac:dyDescent="0.25">
      <c r="A64" s="17">
        <v>43287</v>
      </c>
      <c r="B64" t="s">
        <v>101</v>
      </c>
      <c r="C64" t="s">
        <v>99</v>
      </c>
      <c r="D64">
        <v>15</v>
      </c>
      <c r="E64">
        <v>230</v>
      </c>
      <c r="F64">
        <v>0.09</v>
      </c>
      <c r="G64" t="s">
        <v>102</v>
      </c>
    </row>
    <row r="65" spans="1:7" x14ac:dyDescent="0.25">
      <c r="A65" s="17">
        <v>43288</v>
      </c>
      <c r="B65" t="s">
        <v>95</v>
      </c>
      <c r="C65" t="s">
        <v>96</v>
      </c>
      <c r="D65">
        <v>14</v>
      </c>
      <c r="E65">
        <v>80</v>
      </c>
      <c r="F65">
        <v>0.08</v>
      </c>
      <c r="G65" t="s">
        <v>103</v>
      </c>
    </row>
    <row r="66" spans="1:7" x14ac:dyDescent="0.25">
      <c r="A66" s="17">
        <v>43288</v>
      </c>
      <c r="B66" t="s">
        <v>95</v>
      </c>
      <c r="C66" t="s">
        <v>109</v>
      </c>
      <c r="D66">
        <v>10</v>
      </c>
      <c r="E66">
        <v>80</v>
      </c>
      <c r="F66">
        <v>0.06</v>
      </c>
      <c r="G66" t="s">
        <v>105</v>
      </c>
    </row>
    <row r="67" spans="1:7" x14ac:dyDescent="0.25">
      <c r="A67" s="17">
        <v>43288</v>
      </c>
      <c r="B67" t="s">
        <v>111</v>
      </c>
      <c r="C67" t="s">
        <v>96</v>
      </c>
      <c r="D67">
        <v>5</v>
      </c>
      <c r="E67">
        <v>150</v>
      </c>
      <c r="F67">
        <v>0.11</v>
      </c>
      <c r="G67" t="s">
        <v>107</v>
      </c>
    </row>
    <row r="68" spans="1:7" x14ac:dyDescent="0.25">
      <c r="A68" s="17">
        <v>43288</v>
      </c>
      <c r="B68" t="s">
        <v>101</v>
      </c>
      <c r="C68" t="s">
        <v>106</v>
      </c>
      <c r="D68">
        <v>3</v>
      </c>
      <c r="E68">
        <v>230</v>
      </c>
      <c r="F68">
        <v>0.01</v>
      </c>
      <c r="G68" t="s">
        <v>110</v>
      </c>
    </row>
    <row r="69" spans="1:7" x14ac:dyDescent="0.25">
      <c r="A69" s="17">
        <v>43288</v>
      </c>
      <c r="B69" t="s">
        <v>98</v>
      </c>
      <c r="C69" t="s">
        <v>106</v>
      </c>
      <c r="D69">
        <v>4</v>
      </c>
      <c r="E69">
        <v>40</v>
      </c>
      <c r="F69">
        <v>0.05</v>
      </c>
      <c r="G69" t="s">
        <v>112</v>
      </c>
    </row>
    <row r="70" spans="1:7" x14ac:dyDescent="0.25">
      <c r="A70" s="17">
        <v>43288</v>
      </c>
      <c r="B70" t="s">
        <v>111</v>
      </c>
      <c r="C70" t="s">
        <v>104</v>
      </c>
      <c r="D70">
        <v>18</v>
      </c>
      <c r="E70">
        <v>150</v>
      </c>
      <c r="F70">
        <v>0.06</v>
      </c>
      <c r="G70" t="s">
        <v>113</v>
      </c>
    </row>
    <row r="71" spans="1:7" x14ac:dyDescent="0.25">
      <c r="A71" s="17">
        <v>43288</v>
      </c>
      <c r="B71" t="s">
        <v>98</v>
      </c>
      <c r="C71" t="s">
        <v>109</v>
      </c>
      <c r="D71">
        <v>20</v>
      </c>
      <c r="E71">
        <v>40</v>
      </c>
      <c r="F71">
        <v>0.1</v>
      </c>
      <c r="G71" t="s">
        <v>114</v>
      </c>
    </row>
    <row r="72" spans="1:7" x14ac:dyDescent="0.25">
      <c r="A72" s="17">
        <v>43288</v>
      </c>
      <c r="B72" t="s">
        <v>95</v>
      </c>
      <c r="C72" t="s">
        <v>106</v>
      </c>
      <c r="D72">
        <v>16</v>
      </c>
      <c r="E72">
        <v>80</v>
      </c>
      <c r="F72">
        <v>0.05</v>
      </c>
      <c r="G72" t="s">
        <v>97</v>
      </c>
    </row>
    <row r="73" spans="1:7" x14ac:dyDescent="0.25">
      <c r="A73" s="17">
        <v>43288</v>
      </c>
      <c r="B73" t="s">
        <v>98</v>
      </c>
      <c r="C73" t="s">
        <v>104</v>
      </c>
      <c r="D73">
        <v>4</v>
      </c>
      <c r="E73">
        <v>40</v>
      </c>
      <c r="F73">
        <v>0.06</v>
      </c>
      <c r="G73" t="s">
        <v>100</v>
      </c>
    </row>
    <row r="74" spans="1:7" x14ac:dyDescent="0.25">
      <c r="A74" s="17">
        <v>43288</v>
      </c>
      <c r="B74" t="s">
        <v>98</v>
      </c>
      <c r="C74" t="s">
        <v>99</v>
      </c>
      <c r="D74">
        <v>4</v>
      </c>
      <c r="E74">
        <v>40</v>
      </c>
      <c r="F74">
        <v>0.03</v>
      </c>
      <c r="G74" t="s">
        <v>102</v>
      </c>
    </row>
    <row r="75" spans="1:7" x14ac:dyDescent="0.25">
      <c r="A75" s="17">
        <v>43288</v>
      </c>
      <c r="B75" t="s">
        <v>98</v>
      </c>
      <c r="C75" t="s">
        <v>99</v>
      </c>
      <c r="D75">
        <v>15</v>
      </c>
      <c r="E75">
        <v>40</v>
      </c>
      <c r="F75">
        <v>0.02</v>
      </c>
      <c r="G75" t="s">
        <v>103</v>
      </c>
    </row>
    <row r="76" spans="1:7" x14ac:dyDescent="0.25">
      <c r="A76" s="17">
        <v>43288</v>
      </c>
      <c r="B76" t="s">
        <v>98</v>
      </c>
      <c r="C76" t="s">
        <v>104</v>
      </c>
      <c r="D76">
        <v>20</v>
      </c>
      <c r="E76">
        <v>40</v>
      </c>
      <c r="F76">
        <v>0.01</v>
      </c>
      <c r="G76" t="s">
        <v>105</v>
      </c>
    </row>
    <row r="77" spans="1:7" x14ac:dyDescent="0.25">
      <c r="A77" s="17">
        <v>43288</v>
      </c>
      <c r="B77" t="s">
        <v>108</v>
      </c>
      <c r="C77" t="s">
        <v>109</v>
      </c>
      <c r="D77">
        <v>14</v>
      </c>
      <c r="E77">
        <v>16</v>
      </c>
      <c r="F77">
        <v>0.06</v>
      </c>
      <c r="G77" t="s">
        <v>107</v>
      </c>
    </row>
    <row r="78" spans="1:7" x14ac:dyDescent="0.25">
      <c r="A78" s="17">
        <v>43289</v>
      </c>
      <c r="B78" t="s">
        <v>111</v>
      </c>
      <c r="C78" t="s">
        <v>104</v>
      </c>
      <c r="D78">
        <v>11</v>
      </c>
      <c r="E78">
        <v>150</v>
      </c>
      <c r="F78">
        <v>0.11</v>
      </c>
      <c r="G78" t="s">
        <v>110</v>
      </c>
    </row>
    <row r="79" spans="1:7" x14ac:dyDescent="0.25">
      <c r="A79" s="17">
        <v>43289</v>
      </c>
      <c r="B79" t="s">
        <v>111</v>
      </c>
      <c r="C79" t="s">
        <v>104</v>
      </c>
      <c r="D79">
        <v>9</v>
      </c>
      <c r="E79">
        <v>150</v>
      </c>
      <c r="F79">
        <v>0.02</v>
      </c>
      <c r="G79" t="s">
        <v>112</v>
      </c>
    </row>
    <row r="80" spans="1:7" x14ac:dyDescent="0.25">
      <c r="A80" s="17">
        <v>43289</v>
      </c>
      <c r="B80" t="s">
        <v>108</v>
      </c>
      <c r="C80" t="s">
        <v>109</v>
      </c>
      <c r="D80">
        <v>11</v>
      </c>
      <c r="E80">
        <v>16</v>
      </c>
      <c r="F80">
        <v>0.12</v>
      </c>
      <c r="G80" t="s">
        <v>113</v>
      </c>
    </row>
    <row r="81" spans="1:7" x14ac:dyDescent="0.25">
      <c r="A81" s="17">
        <v>43289</v>
      </c>
      <c r="B81" t="s">
        <v>98</v>
      </c>
      <c r="C81" t="s">
        <v>104</v>
      </c>
      <c r="D81">
        <v>13</v>
      </c>
      <c r="E81">
        <v>40</v>
      </c>
      <c r="F81">
        <v>0.02</v>
      </c>
      <c r="G81" t="s">
        <v>114</v>
      </c>
    </row>
    <row r="82" spans="1:7" x14ac:dyDescent="0.25">
      <c r="A82" s="17">
        <v>43289</v>
      </c>
      <c r="B82" t="s">
        <v>98</v>
      </c>
      <c r="C82" t="s">
        <v>104</v>
      </c>
      <c r="D82">
        <v>4</v>
      </c>
      <c r="E82">
        <v>40</v>
      </c>
      <c r="F82">
        <v>0.1</v>
      </c>
      <c r="G82" t="s">
        <v>115</v>
      </c>
    </row>
    <row r="83" spans="1:7" x14ac:dyDescent="0.25">
      <c r="A83" s="17">
        <v>43289</v>
      </c>
      <c r="B83" t="s">
        <v>101</v>
      </c>
      <c r="C83" t="s">
        <v>96</v>
      </c>
      <c r="D83">
        <v>3</v>
      </c>
      <c r="E83">
        <v>230</v>
      </c>
      <c r="F83">
        <v>0.11</v>
      </c>
      <c r="G83" t="s">
        <v>116</v>
      </c>
    </row>
    <row r="84" spans="1:7" x14ac:dyDescent="0.25">
      <c r="A84" s="17">
        <v>43289</v>
      </c>
      <c r="B84" t="s">
        <v>95</v>
      </c>
      <c r="C84" t="s">
        <v>104</v>
      </c>
      <c r="D84">
        <v>6</v>
      </c>
      <c r="E84">
        <v>80</v>
      </c>
      <c r="F84">
        <v>0.09</v>
      </c>
      <c r="G84" t="s">
        <v>97</v>
      </c>
    </row>
    <row r="85" spans="1:7" x14ac:dyDescent="0.25">
      <c r="A85" s="17">
        <v>43289</v>
      </c>
      <c r="B85" t="s">
        <v>111</v>
      </c>
      <c r="C85" t="s">
        <v>96</v>
      </c>
      <c r="D85">
        <v>9</v>
      </c>
      <c r="E85">
        <v>150</v>
      </c>
      <c r="F85">
        <v>0.1</v>
      </c>
      <c r="G85" t="s">
        <v>100</v>
      </c>
    </row>
    <row r="86" spans="1:7" x14ac:dyDescent="0.25">
      <c r="A86" s="17">
        <v>43289</v>
      </c>
      <c r="B86" t="s">
        <v>95</v>
      </c>
      <c r="C86" t="s">
        <v>99</v>
      </c>
      <c r="D86">
        <v>14</v>
      </c>
      <c r="E86">
        <v>80</v>
      </c>
      <c r="F86">
        <v>0.11</v>
      </c>
      <c r="G86" t="s">
        <v>102</v>
      </c>
    </row>
    <row r="87" spans="1:7" x14ac:dyDescent="0.25">
      <c r="A87" s="17">
        <v>43289</v>
      </c>
      <c r="B87" t="s">
        <v>95</v>
      </c>
      <c r="C87" t="s">
        <v>96</v>
      </c>
      <c r="D87">
        <v>18</v>
      </c>
      <c r="E87">
        <v>80</v>
      </c>
      <c r="F87">
        <v>0.02</v>
      </c>
      <c r="G87" t="s">
        <v>103</v>
      </c>
    </row>
    <row r="88" spans="1:7" x14ac:dyDescent="0.25">
      <c r="A88" s="17">
        <v>43289</v>
      </c>
      <c r="B88" t="s">
        <v>98</v>
      </c>
      <c r="C88" t="s">
        <v>96</v>
      </c>
      <c r="D88">
        <v>20</v>
      </c>
      <c r="E88">
        <v>40</v>
      </c>
      <c r="F88">
        <v>0.04</v>
      </c>
      <c r="G88" t="s">
        <v>105</v>
      </c>
    </row>
    <row r="89" spans="1:7" x14ac:dyDescent="0.25">
      <c r="A89" s="17">
        <v>43290</v>
      </c>
      <c r="B89" t="s">
        <v>108</v>
      </c>
      <c r="C89" t="s">
        <v>104</v>
      </c>
      <c r="D89">
        <v>8</v>
      </c>
      <c r="E89">
        <v>16</v>
      </c>
      <c r="F89">
        <v>0.03</v>
      </c>
      <c r="G89" t="s">
        <v>107</v>
      </c>
    </row>
    <row r="90" spans="1:7" x14ac:dyDescent="0.25">
      <c r="A90" s="17">
        <v>43290</v>
      </c>
      <c r="B90" t="s">
        <v>95</v>
      </c>
      <c r="C90" t="s">
        <v>99</v>
      </c>
      <c r="D90">
        <v>14</v>
      </c>
      <c r="E90">
        <v>80</v>
      </c>
      <c r="F90">
        <v>0.06</v>
      </c>
      <c r="G90" t="s">
        <v>110</v>
      </c>
    </row>
    <row r="91" spans="1:7" x14ac:dyDescent="0.25">
      <c r="A91" s="17">
        <v>43290</v>
      </c>
      <c r="B91" t="s">
        <v>111</v>
      </c>
      <c r="C91" t="s">
        <v>96</v>
      </c>
      <c r="D91">
        <v>20</v>
      </c>
      <c r="E91">
        <v>150</v>
      </c>
      <c r="F91">
        <v>0.01</v>
      </c>
      <c r="G91" t="s">
        <v>112</v>
      </c>
    </row>
    <row r="92" spans="1:7" x14ac:dyDescent="0.25">
      <c r="A92" s="17">
        <v>43290</v>
      </c>
      <c r="B92" t="s">
        <v>98</v>
      </c>
      <c r="C92" t="s">
        <v>106</v>
      </c>
      <c r="D92">
        <v>15</v>
      </c>
      <c r="E92">
        <v>40</v>
      </c>
      <c r="F92">
        <v>0.03</v>
      </c>
      <c r="G92" t="s">
        <v>113</v>
      </c>
    </row>
    <row r="93" spans="1:7" x14ac:dyDescent="0.25">
      <c r="A93" s="17">
        <v>43290</v>
      </c>
      <c r="B93" t="s">
        <v>98</v>
      </c>
      <c r="C93" t="s">
        <v>99</v>
      </c>
      <c r="D93">
        <v>18</v>
      </c>
      <c r="E93">
        <v>40</v>
      </c>
      <c r="F93">
        <v>0.08</v>
      </c>
      <c r="G93" t="s">
        <v>114</v>
      </c>
    </row>
    <row r="94" spans="1:7" x14ac:dyDescent="0.25">
      <c r="A94" s="17">
        <v>43290</v>
      </c>
      <c r="B94" t="s">
        <v>98</v>
      </c>
      <c r="C94" t="s">
        <v>109</v>
      </c>
      <c r="D94">
        <v>11</v>
      </c>
      <c r="E94">
        <v>40</v>
      </c>
      <c r="F94">
        <v>0.05</v>
      </c>
      <c r="G94" t="s">
        <v>115</v>
      </c>
    </row>
    <row r="95" spans="1:7" x14ac:dyDescent="0.25">
      <c r="A95" s="17">
        <v>43291</v>
      </c>
      <c r="B95" t="s">
        <v>98</v>
      </c>
      <c r="C95" t="s">
        <v>109</v>
      </c>
      <c r="D95">
        <v>23</v>
      </c>
      <c r="E95">
        <v>40</v>
      </c>
      <c r="F95">
        <v>0.04</v>
      </c>
      <c r="G95" t="s">
        <v>116</v>
      </c>
    </row>
    <row r="96" spans="1:7" x14ac:dyDescent="0.25">
      <c r="A96" s="17">
        <v>43291</v>
      </c>
      <c r="B96" t="s">
        <v>108</v>
      </c>
      <c r="C96" t="s">
        <v>109</v>
      </c>
      <c r="D96">
        <v>17</v>
      </c>
      <c r="E96">
        <v>16</v>
      </c>
      <c r="F96">
        <v>0.1</v>
      </c>
      <c r="G96" t="s">
        <v>97</v>
      </c>
    </row>
    <row r="97" spans="1:7" x14ac:dyDescent="0.25">
      <c r="A97" s="17">
        <v>43291</v>
      </c>
      <c r="B97" t="s">
        <v>108</v>
      </c>
      <c r="C97" t="s">
        <v>99</v>
      </c>
      <c r="D97">
        <v>4</v>
      </c>
      <c r="E97">
        <v>16</v>
      </c>
      <c r="F97">
        <v>7.0000000000000007E-2</v>
      </c>
      <c r="G97" t="s">
        <v>100</v>
      </c>
    </row>
    <row r="98" spans="1:7" x14ac:dyDescent="0.25">
      <c r="A98" s="17">
        <v>43291</v>
      </c>
      <c r="B98" t="s">
        <v>95</v>
      </c>
      <c r="C98" t="s">
        <v>104</v>
      </c>
      <c r="D98">
        <v>23</v>
      </c>
      <c r="E98">
        <v>80</v>
      </c>
      <c r="F98">
        <v>0.05</v>
      </c>
      <c r="G98" t="s">
        <v>102</v>
      </c>
    </row>
    <row r="99" spans="1:7" x14ac:dyDescent="0.25">
      <c r="A99" s="17">
        <v>43291</v>
      </c>
      <c r="B99" t="s">
        <v>101</v>
      </c>
      <c r="C99" t="s">
        <v>104</v>
      </c>
      <c r="D99">
        <v>10</v>
      </c>
      <c r="E99">
        <v>230</v>
      </c>
      <c r="F99">
        <v>0.02</v>
      </c>
      <c r="G99" t="s">
        <v>103</v>
      </c>
    </row>
    <row r="100" spans="1:7" x14ac:dyDescent="0.25">
      <c r="A100" s="17">
        <v>43291</v>
      </c>
      <c r="B100" t="s">
        <v>108</v>
      </c>
      <c r="C100" t="s">
        <v>104</v>
      </c>
      <c r="D100">
        <v>14</v>
      </c>
      <c r="E100">
        <v>16</v>
      </c>
      <c r="F100">
        <v>0.01</v>
      </c>
      <c r="G100" t="s">
        <v>105</v>
      </c>
    </row>
    <row r="101" spans="1:7" x14ac:dyDescent="0.25">
      <c r="A101" s="17">
        <v>43291</v>
      </c>
      <c r="B101" t="s">
        <v>98</v>
      </c>
      <c r="C101" t="s">
        <v>99</v>
      </c>
      <c r="D101">
        <v>19</v>
      </c>
      <c r="E101">
        <v>40</v>
      </c>
      <c r="F101">
        <v>0.1</v>
      </c>
      <c r="G101" t="s">
        <v>107</v>
      </c>
    </row>
    <row r="102" spans="1:7" x14ac:dyDescent="0.25">
      <c r="A102" s="17">
        <v>43291</v>
      </c>
      <c r="B102" t="s">
        <v>95</v>
      </c>
      <c r="C102" t="s">
        <v>109</v>
      </c>
      <c r="D102">
        <v>22</v>
      </c>
      <c r="E102">
        <v>80</v>
      </c>
      <c r="F102">
        <v>0.09</v>
      </c>
      <c r="G102" t="s">
        <v>110</v>
      </c>
    </row>
    <row r="103" spans="1:7" x14ac:dyDescent="0.25">
      <c r="A103" s="17">
        <v>43291</v>
      </c>
      <c r="B103" t="s">
        <v>108</v>
      </c>
      <c r="C103" t="s">
        <v>96</v>
      </c>
      <c r="D103">
        <v>18</v>
      </c>
      <c r="E103">
        <v>16</v>
      </c>
      <c r="F103">
        <v>0.05</v>
      </c>
      <c r="G103" t="s">
        <v>112</v>
      </c>
    </row>
    <row r="104" spans="1:7" x14ac:dyDescent="0.25">
      <c r="A104" s="17">
        <v>43291</v>
      </c>
      <c r="B104" t="s">
        <v>98</v>
      </c>
      <c r="C104" t="s">
        <v>96</v>
      </c>
      <c r="D104">
        <v>18</v>
      </c>
      <c r="E104">
        <v>40</v>
      </c>
      <c r="F104">
        <v>0.11</v>
      </c>
      <c r="G104" t="s">
        <v>113</v>
      </c>
    </row>
    <row r="105" spans="1:7" x14ac:dyDescent="0.25">
      <c r="A105" s="17">
        <v>43291</v>
      </c>
      <c r="B105" t="s">
        <v>98</v>
      </c>
      <c r="C105" t="s">
        <v>109</v>
      </c>
      <c r="D105">
        <v>21</v>
      </c>
      <c r="E105">
        <v>40</v>
      </c>
      <c r="F105">
        <v>0.01</v>
      </c>
      <c r="G105" t="s">
        <v>114</v>
      </c>
    </row>
    <row r="106" spans="1:7" x14ac:dyDescent="0.25">
      <c r="A106" s="17">
        <v>43291</v>
      </c>
      <c r="B106" t="s">
        <v>95</v>
      </c>
      <c r="C106" t="s">
        <v>96</v>
      </c>
      <c r="D106">
        <v>6</v>
      </c>
      <c r="E106">
        <v>80</v>
      </c>
      <c r="F106">
        <v>7.0000000000000007E-2</v>
      </c>
      <c r="G106" t="s">
        <v>115</v>
      </c>
    </row>
    <row r="107" spans="1:7" x14ac:dyDescent="0.25">
      <c r="A107" s="17">
        <v>43291</v>
      </c>
      <c r="B107" t="s">
        <v>111</v>
      </c>
      <c r="C107" t="s">
        <v>109</v>
      </c>
      <c r="D107">
        <v>17</v>
      </c>
      <c r="E107">
        <v>150</v>
      </c>
      <c r="F107">
        <v>0.02</v>
      </c>
      <c r="G107" t="s">
        <v>116</v>
      </c>
    </row>
    <row r="108" spans="1:7" x14ac:dyDescent="0.25">
      <c r="A108" s="17">
        <v>43291</v>
      </c>
      <c r="B108" t="s">
        <v>95</v>
      </c>
      <c r="C108" t="s">
        <v>104</v>
      </c>
      <c r="D108">
        <v>16</v>
      </c>
      <c r="E108">
        <v>80</v>
      </c>
      <c r="F108">
        <v>0.02</v>
      </c>
      <c r="G108" t="s">
        <v>97</v>
      </c>
    </row>
    <row r="109" spans="1:7" x14ac:dyDescent="0.25">
      <c r="A109" s="17">
        <v>43291</v>
      </c>
      <c r="B109" t="s">
        <v>98</v>
      </c>
      <c r="C109" t="s">
        <v>99</v>
      </c>
      <c r="D109">
        <v>15</v>
      </c>
      <c r="E109">
        <v>40</v>
      </c>
      <c r="F109">
        <v>0.04</v>
      </c>
      <c r="G109" t="s">
        <v>100</v>
      </c>
    </row>
    <row r="110" spans="1:7" x14ac:dyDescent="0.25">
      <c r="A110" s="17">
        <v>43291</v>
      </c>
      <c r="B110" t="s">
        <v>101</v>
      </c>
      <c r="C110" t="s">
        <v>106</v>
      </c>
      <c r="D110">
        <v>2</v>
      </c>
      <c r="E110">
        <v>230</v>
      </c>
      <c r="F110">
        <v>0.08</v>
      </c>
      <c r="G110" t="s">
        <v>102</v>
      </c>
    </row>
    <row r="111" spans="1:7" x14ac:dyDescent="0.25">
      <c r="A111" s="17">
        <v>43291</v>
      </c>
      <c r="B111" t="s">
        <v>98</v>
      </c>
      <c r="C111" t="s">
        <v>109</v>
      </c>
      <c r="D111">
        <v>3</v>
      </c>
      <c r="E111">
        <v>40</v>
      </c>
      <c r="F111">
        <v>0.03</v>
      </c>
      <c r="G111" t="s">
        <v>103</v>
      </c>
    </row>
    <row r="112" spans="1:7" x14ac:dyDescent="0.25">
      <c r="A112" s="17">
        <v>43291</v>
      </c>
      <c r="B112" t="s">
        <v>101</v>
      </c>
      <c r="C112" t="s">
        <v>109</v>
      </c>
      <c r="D112">
        <v>21</v>
      </c>
      <c r="E112">
        <v>230</v>
      </c>
      <c r="F112">
        <v>0.05</v>
      </c>
      <c r="G112" t="s">
        <v>105</v>
      </c>
    </row>
    <row r="113" spans="1:7" x14ac:dyDescent="0.25">
      <c r="A113" s="17">
        <v>43291</v>
      </c>
      <c r="B113" t="s">
        <v>111</v>
      </c>
      <c r="C113" t="s">
        <v>96</v>
      </c>
      <c r="D113">
        <v>11</v>
      </c>
      <c r="E113">
        <v>150</v>
      </c>
      <c r="F113">
        <v>0.05</v>
      </c>
      <c r="G113" t="s">
        <v>107</v>
      </c>
    </row>
    <row r="114" spans="1:7" x14ac:dyDescent="0.25">
      <c r="A114" s="17">
        <v>43292</v>
      </c>
      <c r="B114" t="s">
        <v>111</v>
      </c>
      <c r="C114" t="s">
        <v>99</v>
      </c>
      <c r="D114">
        <v>15</v>
      </c>
      <c r="E114">
        <v>150</v>
      </c>
      <c r="F114">
        <v>0.02</v>
      </c>
      <c r="G114" t="s">
        <v>110</v>
      </c>
    </row>
    <row r="115" spans="1:7" x14ac:dyDescent="0.25">
      <c r="A115" s="17">
        <v>43292</v>
      </c>
      <c r="B115" t="s">
        <v>95</v>
      </c>
      <c r="C115" t="s">
        <v>106</v>
      </c>
      <c r="D115">
        <v>16</v>
      </c>
      <c r="E115">
        <v>80</v>
      </c>
      <c r="F115">
        <v>0.1</v>
      </c>
      <c r="G115" t="s">
        <v>112</v>
      </c>
    </row>
    <row r="116" spans="1:7" x14ac:dyDescent="0.25">
      <c r="A116" s="17">
        <v>43292</v>
      </c>
      <c r="B116" t="s">
        <v>101</v>
      </c>
      <c r="C116" t="s">
        <v>109</v>
      </c>
      <c r="D116">
        <v>17</v>
      </c>
      <c r="E116">
        <v>230</v>
      </c>
      <c r="F116">
        <v>0.11</v>
      </c>
      <c r="G116" t="s">
        <v>113</v>
      </c>
    </row>
    <row r="117" spans="1:7" x14ac:dyDescent="0.25">
      <c r="A117" s="17">
        <v>43292</v>
      </c>
      <c r="B117" t="s">
        <v>98</v>
      </c>
      <c r="C117" t="s">
        <v>109</v>
      </c>
      <c r="D117">
        <v>16</v>
      </c>
      <c r="E117">
        <v>40</v>
      </c>
      <c r="F117">
        <v>0.11</v>
      </c>
      <c r="G117" t="s">
        <v>114</v>
      </c>
    </row>
    <row r="118" spans="1:7" x14ac:dyDescent="0.25">
      <c r="A118" s="17">
        <v>43292</v>
      </c>
      <c r="B118" t="s">
        <v>95</v>
      </c>
      <c r="C118" t="s">
        <v>106</v>
      </c>
      <c r="D118">
        <v>2</v>
      </c>
      <c r="E118">
        <v>80</v>
      </c>
      <c r="F118">
        <v>0.08</v>
      </c>
      <c r="G118" t="s">
        <v>115</v>
      </c>
    </row>
    <row r="119" spans="1:7" x14ac:dyDescent="0.25">
      <c r="A119" s="17">
        <v>43292</v>
      </c>
      <c r="B119" t="s">
        <v>111</v>
      </c>
      <c r="C119" t="s">
        <v>99</v>
      </c>
      <c r="D119">
        <v>22</v>
      </c>
      <c r="E119">
        <v>150</v>
      </c>
      <c r="F119">
        <v>0.02</v>
      </c>
      <c r="G119" t="s">
        <v>116</v>
      </c>
    </row>
    <row r="120" spans="1:7" x14ac:dyDescent="0.25">
      <c r="A120" s="17">
        <v>43292</v>
      </c>
      <c r="B120" t="s">
        <v>95</v>
      </c>
      <c r="C120" t="s">
        <v>96</v>
      </c>
      <c r="D120">
        <v>16</v>
      </c>
      <c r="E120">
        <v>80</v>
      </c>
      <c r="F120">
        <v>0.03</v>
      </c>
      <c r="G120" t="s">
        <v>97</v>
      </c>
    </row>
    <row r="121" spans="1:7" x14ac:dyDescent="0.25">
      <c r="A121" s="17">
        <v>43293</v>
      </c>
      <c r="B121" t="s">
        <v>108</v>
      </c>
      <c r="C121" t="s">
        <v>96</v>
      </c>
      <c r="D121">
        <v>20</v>
      </c>
      <c r="E121">
        <v>16</v>
      </c>
      <c r="F121">
        <v>0.11</v>
      </c>
      <c r="G121" t="s">
        <v>100</v>
      </c>
    </row>
    <row r="122" spans="1:7" x14ac:dyDescent="0.25">
      <c r="A122" s="17">
        <v>43293</v>
      </c>
      <c r="B122" t="s">
        <v>95</v>
      </c>
      <c r="C122" t="s">
        <v>109</v>
      </c>
      <c r="D122">
        <v>9</v>
      </c>
      <c r="E122">
        <v>80</v>
      </c>
      <c r="F122">
        <v>7.0000000000000007E-2</v>
      </c>
      <c r="G122" t="s">
        <v>102</v>
      </c>
    </row>
    <row r="123" spans="1:7" x14ac:dyDescent="0.25">
      <c r="A123" s="17">
        <v>43293</v>
      </c>
      <c r="B123" t="s">
        <v>101</v>
      </c>
      <c r="C123" t="s">
        <v>109</v>
      </c>
      <c r="D123">
        <v>5</v>
      </c>
      <c r="E123">
        <v>230</v>
      </c>
      <c r="F123">
        <v>0.12</v>
      </c>
      <c r="G123" t="s">
        <v>103</v>
      </c>
    </row>
    <row r="124" spans="1:7" x14ac:dyDescent="0.25">
      <c r="A124" s="17">
        <v>43293</v>
      </c>
      <c r="B124" t="s">
        <v>108</v>
      </c>
      <c r="C124" t="s">
        <v>96</v>
      </c>
      <c r="D124">
        <v>20</v>
      </c>
      <c r="E124">
        <v>16</v>
      </c>
      <c r="F124">
        <v>0.01</v>
      </c>
      <c r="G124" t="s">
        <v>105</v>
      </c>
    </row>
    <row r="125" spans="1:7" x14ac:dyDescent="0.25">
      <c r="A125" s="17">
        <v>43293</v>
      </c>
      <c r="B125" t="s">
        <v>108</v>
      </c>
      <c r="C125" t="s">
        <v>96</v>
      </c>
      <c r="D125">
        <v>16</v>
      </c>
      <c r="E125">
        <v>16</v>
      </c>
      <c r="F125">
        <v>0.03</v>
      </c>
      <c r="G125" t="s">
        <v>107</v>
      </c>
    </row>
    <row r="126" spans="1:7" x14ac:dyDescent="0.25">
      <c r="A126" s="17">
        <v>43293</v>
      </c>
      <c r="B126" t="s">
        <v>111</v>
      </c>
      <c r="C126" t="s">
        <v>106</v>
      </c>
      <c r="D126">
        <v>15</v>
      </c>
      <c r="E126">
        <v>150</v>
      </c>
      <c r="F126">
        <v>0.05</v>
      </c>
      <c r="G126" t="s">
        <v>110</v>
      </c>
    </row>
    <row r="127" spans="1:7" x14ac:dyDescent="0.25">
      <c r="A127" s="17">
        <v>43293</v>
      </c>
      <c r="B127" t="s">
        <v>101</v>
      </c>
      <c r="C127" t="s">
        <v>99</v>
      </c>
      <c r="D127">
        <v>19</v>
      </c>
      <c r="E127">
        <v>230</v>
      </c>
      <c r="F127">
        <v>0.11</v>
      </c>
      <c r="G127" t="s">
        <v>112</v>
      </c>
    </row>
    <row r="128" spans="1:7" x14ac:dyDescent="0.25">
      <c r="A128" s="17">
        <v>43294</v>
      </c>
      <c r="B128" t="s">
        <v>111</v>
      </c>
      <c r="C128" t="s">
        <v>104</v>
      </c>
      <c r="D128">
        <v>2</v>
      </c>
      <c r="E128">
        <v>150</v>
      </c>
      <c r="F128">
        <v>0.02</v>
      </c>
      <c r="G128" t="s">
        <v>113</v>
      </c>
    </row>
    <row r="129" spans="1:7" x14ac:dyDescent="0.25">
      <c r="A129" s="17">
        <v>43294</v>
      </c>
      <c r="B129" t="s">
        <v>95</v>
      </c>
      <c r="C129" t="s">
        <v>109</v>
      </c>
      <c r="D129">
        <v>16</v>
      </c>
      <c r="E129">
        <v>80</v>
      </c>
      <c r="F129">
        <v>0.05</v>
      </c>
      <c r="G129" t="s">
        <v>114</v>
      </c>
    </row>
    <row r="130" spans="1:7" x14ac:dyDescent="0.25">
      <c r="A130" s="17">
        <v>43294</v>
      </c>
      <c r="B130" t="s">
        <v>98</v>
      </c>
      <c r="C130" t="s">
        <v>104</v>
      </c>
      <c r="D130">
        <v>2</v>
      </c>
      <c r="E130">
        <v>40</v>
      </c>
      <c r="F130">
        <v>0.03</v>
      </c>
      <c r="G130" t="s">
        <v>115</v>
      </c>
    </row>
    <row r="131" spans="1:7" x14ac:dyDescent="0.25">
      <c r="A131" s="17">
        <v>43294</v>
      </c>
      <c r="B131" t="s">
        <v>95</v>
      </c>
      <c r="C131" t="s">
        <v>99</v>
      </c>
      <c r="D131">
        <v>5</v>
      </c>
      <c r="E131">
        <v>80</v>
      </c>
      <c r="F131">
        <v>0.04</v>
      </c>
      <c r="G131" t="s">
        <v>116</v>
      </c>
    </row>
    <row r="132" spans="1:7" x14ac:dyDescent="0.25">
      <c r="A132" s="17">
        <v>43294</v>
      </c>
      <c r="B132" t="s">
        <v>101</v>
      </c>
      <c r="C132" t="s">
        <v>106</v>
      </c>
      <c r="D132">
        <v>17</v>
      </c>
      <c r="E132">
        <v>230</v>
      </c>
      <c r="F132">
        <v>0.12</v>
      </c>
      <c r="G132" t="s">
        <v>97</v>
      </c>
    </row>
    <row r="133" spans="1:7" x14ac:dyDescent="0.25">
      <c r="A133" s="17">
        <v>43294</v>
      </c>
      <c r="B133" t="s">
        <v>95</v>
      </c>
      <c r="C133" t="s">
        <v>96</v>
      </c>
      <c r="D133">
        <v>8</v>
      </c>
      <c r="E133">
        <v>80</v>
      </c>
      <c r="F133">
        <v>0.08</v>
      </c>
      <c r="G133" t="s">
        <v>100</v>
      </c>
    </row>
    <row r="134" spans="1:7" x14ac:dyDescent="0.25">
      <c r="A134" s="17">
        <v>43294</v>
      </c>
      <c r="B134" t="s">
        <v>98</v>
      </c>
      <c r="C134" t="s">
        <v>99</v>
      </c>
      <c r="D134">
        <v>4</v>
      </c>
      <c r="E134">
        <v>40</v>
      </c>
      <c r="F134">
        <v>0.06</v>
      </c>
      <c r="G134" t="s">
        <v>102</v>
      </c>
    </row>
    <row r="135" spans="1:7" x14ac:dyDescent="0.25">
      <c r="A135" s="17">
        <v>43294</v>
      </c>
      <c r="B135" t="s">
        <v>108</v>
      </c>
      <c r="C135" t="s">
        <v>104</v>
      </c>
      <c r="D135">
        <v>17</v>
      </c>
      <c r="E135">
        <v>16</v>
      </c>
      <c r="F135">
        <v>0.05</v>
      </c>
      <c r="G135" t="s">
        <v>103</v>
      </c>
    </row>
    <row r="136" spans="1:7" x14ac:dyDescent="0.25">
      <c r="A136" s="17">
        <v>43294</v>
      </c>
      <c r="B136" t="s">
        <v>101</v>
      </c>
      <c r="C136" t="s">
        <v>106</v>
      </c>
      <c r="D136">
        <v>8</v>
      </c>
      <c r="E136">
        <v>230</v>
      </c>
      <c r="F136">
        <v>0.01</v>
      </c>
      <c r="G136" t="s">
        <v>105</v>
      </c>
    </row>
    <row r="137" spans="1:7" x14ac:dyDescent="0.25">
      <c r="A137" s="17">
        <v>43294</v>
      </c>
      <c r="B137" t="s">
        <v>108</v>
      </c>
      <c r="C137" t="s">
        <v>109</v>
      </c>
      <c r="D137">
        <v>19</v>
      </c>
      <c r="E137">
        <v>16</v>
      </c>
      <c r="F137">
        <v>0.02</v>
      </c>
      <c r="G137" t="s">
        <v>107</v>
      </c>
    </row>
    <row r="138" spans="1:7" x14ac:dyDescent="0.25">
      <c r="A138" s="17">
        <v>43295</v>
      </c>
      <c r="B138" t="s">
        <v>98</v>
      </c>
      <c r="C138" t="s">
        <v>96</v>
      </c>
      <c r="D138">
        <v>18</v>
      </c>
      <c r="E138">
        <v>40</v>
      </c>
      <c r="F138">
        <v>0.06</v>
      </c>
      <c r="G138" t="s">
        <v>110</v>
      </c>
    </row>
    <row r="139" spans="1:7" x14ac:dyDescent="0.25">
      <c r="A139" s="17">
        <v>43295</v>
      </c>
      <c r="B139" t="s">
        <v>111</v>
      </c>
      <c r="C139" t="s">
        <v>109</v>
      </c>
      <c r="D139">
        <v>23</v>
      </c>
      <c r="E139">
        <v>150</v>
      </c>
      <c r="F139">
        <v>0.08</v>
      </c>
      <c r="G139" t="s">
        <v>112</v>
      </c>
    </row>
    <row r="140" spans="1:7" x14ac:dyDescent="0.25">
      <c r="A140" s="17">
        <v>43295</v>
      </c>
      <c r="B140" t="s">
        <v>101</v>
      </c>
      <c r="C140" t="s">
        <v>96</v>
      </c>
      <c r="D140">
        <v>5</v>
      </c>
      <c r="E140">
        <v>230</v>
      </c>
      <c r="F140">
        <v>0.1</v>
      </c>
      <c r="G140" t="s">
        <v>113</v>
      </c>
    </row>
    <row r="141" spans="1:7" x14ac:dyDescent="0.25">
      <c r="A141" s="17">
        <v>43295</v>
      </c>
      <c r="B141" t="s">
        <v>95</v>
      </c>
      <c r="C141" t="s">
        <v>106</v>
      </c>
      <c r="D141">
        <v>21</v>
      </c>
      <c r="E141">
        <v>80</v>
      </c>
      <c r="F141">
        <v>0.02</v>
      </c>
      <c r="G141" t="s">
        <v>114</v>
      </c>
    </row>
    <row r="142" spans="1:7" x14ac:dyDescent="0.25">
      <c r="A142" s="17">
        <v>43295</v>
      </c>
      <c r="B142" t="s">
        <v>108</v>
      </c>
      <c r="C142" t="s">
        <v>104</v>
      </c>
      <c r="D142">
        <v>6</v>
      </c>
      <c r="E142">
        <v>16</v>
      </c>
      <c r="F142">
        <v>7.0000000000000007E-2</v>
      </c>
      <c r="G142" t="s">
        <v>97</v>
      </c>
    </row>
    <row r="143" spans="1:7" x14ac:dyDescent="0.25">
      <c r="A143" s="17">
        <v>43295</v>
      </c>
      <c r="B143" t="s">
        <v>98</v>
      </c>
      <c r="C143" t="s">
        <v>96</v>
      </c>
      <c r="D143">
        <v>9</v>
      </c>
      <c r="E143">
        <v>40</v>
      </c>
      <c r="F143">
        <v>0.01</v>
      </c>
      <c r="G143" t="s">
        <v>100</v>
      </c>
    </row>
    <row r="144" spans="1:7" x14ac:dyDescent="0.25">
      <c r="A144" s="17">
        <v>43295</v>
      </c>
      <c r="B144" t="s">
        <v>101</v>
      </c>
      <c r="C144" t="s">
        <v>99</v>
      </c>
      <c r="D144">
        <v>9</v>
      </c>
      <c r="E144">
        <v>230</v>
      </c>
      <c r="F144">
        <v>0.03</v>
      </c>
      <c r="G144" t="s">
        <v>102</v>
      </c>
    </row>
    <row r="145" spans="1:7" x14ac:dyDescent="0.25">
      <c r="A145" s="17">
        <v>43295</v>
      </c>
      <c r="B145" t="s">
        <v>101</v>
      </c>
      <c r="C145" t="s">
        <v>104</v>
      </c>
      <c r="D145">
        <v>5</v>
      </c>
      <c r="E145">
        <v>230</v>
      </c>
      <c r="F145">
        <v>0.1</v>
      </c>
      <c r="G145" t="s">
        <v>103</v>
      </c>
    </row>
    <row r="146" spans="1:7" x14ac:dyDescent="0.25">
      <c r="A146" s="17">
        <v>43295</v>
      </c>
      <c r="B146" t="s">
        <v>98</v>
      </c>
      <c r="C146" t="s">
        <v>106</v>
      </c>
      <c r="D146">
        <v>7</v>
      </c>
      <c r="E146">
        <v>40</v>
      </c>
      <c r="F146">
        <v>0.11</v>
      </c>
      <c r="G146" t="s">
        <v>105</v>
      </c>
    </row>
    <row r="147" spans="1:7" x14ac:dyDescent="0.25">
      <c r="A147" s="17">
        <v>43295</v>
      </c>
      <c r="B147" t="s">
        <v>101</v>
      </c>
      <c r="C147" t="s">
        <v>96</v>
      </c>
      <c r="D147">
        <v>20</v>
      </c>
      <c r="E147">
        <v>230</v>
      </c>
      <c r="F147">
        <v>0.04</v>
      </c>
      <c r="G147" t="s">
        <v>107</v>
      </c>
    </row>
    <row r="148" spans="1:7" x14ac:dyDescent="0.25">
      <c r="A148" s="17">
        <v>43295</v>
      </c>
      <c r="B148" t="s">
        <v>111</v>
      </c>
      <c r="C148" t="s">
        <v>96</v>
      </c>
      <c r="D148">
        <v>22</v>
      </c>
      <c r="E148">
        <v>150</v>
      </c>
      <c r="F148">
        <v>7.0000000000000007E-2</v>
      </c>
      <c r="G148" t="s">
        <v>110</v>
      </c>
    </row>
    <row r="149" spans="1:7" x14ac:dyDescent="0.25">
      <c r="A149" s="17">
        <v>43296</v>
      </c>
      <c r="B149" t="s">
        <v>101</v>
      </c>
      <c r="C149" t="s">
        <v>104</v>
      </c>
      <c r="D149">
        <v>6</v>
      </c>
      <c r="E149">
        <v>230</v>
      </c>
      <c r="F149">
        <v>0.05</v>
      </c>
      <c r="G149" t="s">
        <v>112</v>
      </c>
    </row>
    <row r="150" spans="1:7" x14ac:dyDescent="0.25">
      <c r="A150" s="17">
        <v>43296</v>
      </c>
      <c r="B150" t="s">
        <v>101</v>
      </c>
      <c r="C150" t="s">
        <v>104</v>
      </c>
      <c r="D150">
        <v>15</v>
      </c>
      <c r="E150">
        <v>230</v>
      </c>
      <c r="F150">
        <v>0.11</v>
      </c>
      <c r="G150" t="s">
        <v>113</v>
      </c>
    </row>
    <row r="151" spans="1:7" x14ac:dyDescent="0.25">
      <c r="A151" s="17">
        <v>43296</v>
      </c>
      <c r="B151" t="s">
        <v>98</v>
      </c>
      <c r="C151" t="s">
        <v>99</v>
      </c>
      <c r="D151">
        <v>8</v>
      </c>
      <c r="E151">
        <v>40</v>
      </c>
      <c r="F151">
        <v>0.09</v>
      </c>
      <c r="G151" t="s">
        <v>114</v>
      </c>
    </row>
    <row r="152" spans="1:7" x14ac:dyDescent="0.25">
      <c r="A152" s="17">
        <v>43296</v>
      </c>
      <c r="B152" t="s">
        <v>98</v>
      </c>
      <c r="C152" t="s">
        <v>96</v>
      </c>
      <c r="D152">
        <v>5</v>
      </c>
      <c r="E152">
        <v>40</v>
      </c>
      <c r="F152">
        <v>0.06</v>
      </c>
      <c r="G152" t="s">
        <v>115</v>
      </c>
    </row>
    <row r="153" spans="1:7" x14ac:dyDescent="0.25">
      <c r="A153" s="17">
        <v>43296</v>
      </c>
      <c r="B153" t="s">
        <v>95</v>
      </c>
      <c r="C153" t="s">
        <v>109</v>
      </c>
      <c r="D153">
        <v>6</v>
      </c>
      <c r="E153">
        <v>80</v>
      </c>
      <c r="F153">
        <v>0.09</v>
      </c>
      <c r="G153" t="s">
        <v>116</v>
      </c>
    </row>
    <row r="154" spans="1:7" x14ac:dyDescent="0.25">
      <c r="A154" s="17">
        <v>43296</v>
      </c>
      <c r="B154" t="s">
        <v>98</v>
      </c>
      <c r="C154" t="s">
        <v>106</v>
      </c>
      <c r="D154">
        <v>22</v>
      </c>
      <c r="E154">
        <v>40</v>
      </c>
      <c r="F154">
        <v>0.01</v>
      </c>
      <c r="G154" t="s">
        <v>97</v>
      </c>
    </row>
    <row r="155" spans="1:7" x14ac:dyDescent="0.25">
      <c r="A155" s="17">
        <v>43296</v>
      </c>
      <c r="B155" t="s">
        <v>108</v>
      </c>
      <c r="C155" t="s">
        <v>96</v>
      </c>
      <c r="D155">
        <v>7</v>
      </c>
      <c r="E155">
        <v>16</v>
      </c>
      <c r="F155">
        <v>0.08</v>
      </c>
      <c r="G155" t="s">
        <v>100</v>
      </c>
    </row>
    <row r="156" spans="1:7" x14ac:dyDescent="0.25">
      <c r="A156" s="17">
        <v>43296</v>
      </c>
      <c r="B156" t="s">
        <v>111</v>
      </c>
      <c r="C156" t="s">
        <v>104</v>
      </c>
      <c r="D156">
        <v>22</v>
      </c>
      <c r="E156">
        <v>150</v>
      </c>
      <c r="F156">
        <v>0.04</v>
      </c>
      <c r="G156" t="s">
        <v>102</v>
      </c>
    </row>
    <row r="157" spans="1:7" x14ac:dyDescent="0.25">
      <c r="A157" s="17">
        <v>43296</v>
      </c>
      <c r="B157" t="s">
        <v>108</v>
      </c>
      <c r="C157" t="s">
        <v>106</v>
      </c>
      <c r="D157">
        <v>15</v>
      </c>
      <c r="E157">
        <v>16</v>
      </c>
      <c r="F157">
        <v>0.12</v>
      </c>
      <c r="G157" t="s">
        <v>103</v>
      </c>
    </row>
    <row r="158" spans="1:7" x14ac:dyDescent="0.25">
      <c r="A158" s="17">
        <v>43296</v>
      </c>
      <c r="B158" t="s">
        <v>95</v>
      </c>
      <c r="C158" t="s">
        <v>104</v>
      </c>
      <c r="D158">
        <v>20</v>
      </c>
      <c r="E158">
        <v>80</v>
      </c>
      <c r="F158">
        <v>7.0000000000000007E-2</v>
      </c>
      <c r="G158" t="s">
        <v>105</v>
      </c>
    </row>
    <row r="159" spans="1:7" x14ac:dyDescent="0.25">
      <c r="A159" s="17">
        <v>43296</v>
      </c>
      <c r="B159" t="s">
        <v>95</v>
      </c>
      <c r="C159" t="s">
        <v>104</v>
      </c>
      <c r="D159">
        <v>7</v>
      </c>
      <c r="E159">
        <v>80</v>
      </c>
      <c r="F159">
        <v>0.05</v>
      </c>
      <c r="G159" t="s">
        <v>107</v>
      </c>
    </row>
    <row r="160" spans="1:7" x14ac:dyDescent="0.25">
      <c r="A160" s="17">
        <v>43296</v>
      </c>
      <c r="B160" t="s">
        <v>95</v>
      </c>
      <c r="C160" t="s">
        <v>99</v>
      </c>
      <c r="D160">
        <v>10</v>
      </c>
      <c r="E160">
        <v>80</v>
      </c>
      <c r="F160">
        <v>0.11</v>
      </c>
      <c r="G160" t="s">
        <v>110</v>
      </c>
    </row>
    <row r="161" spans="1:7" x14ac:dyDescent="0.25">
      <c r="A161" s="17">
        <v>43296</v>
      </c>
      <c r="B161" t="s">
        <v>95</v>
      </c>
      <c r="C161" t="s">
        <v>99</v>
      </c>
      <c r="D161">
        <v>2</v>
      </c>
      <c r="E161">
        <v>80</v>
      </c>
      <c r="F161">
        <v>7.0000000000000007E-2</v>
      </c>
      <c r="G161" t="s">
        <v>112</v>
      </c>
    </row>
    <row r="162" spans="1:7" x14ac:dyDescent="0.25">
      <c r="A162" s="17">
        <v>43296</v>
      </c>
      <c r="B162" t="s">
        <v>108</v>
      </c>
      <c r="C162" t="s">
        <v>109</v>
      </c>
      <c r="D162">
        <v>23</v>
      </c>
      <c r="E162">
        <v>16</v>
      </c>
      <c r="F162">
        <v>0.01</v>
      </c>
      <c r="G162" t="s">
        <v>113</v>
      </c>
    </row>
    <row r="163" spans="1:7" x14ac:dyDescent="0.25">
      <c r="A163" s="17">
        <v>43296</v>
      </c>
      <c r="B163" t="s">
        <v>101</v>
      </c>
      <c r="C163" t="s">
        <v>99</v>
      </c>
      <c r="D163">
        <v>12</v>
      </c>
      <c r="E163">
        <v>230</v>
      </c>
      <c r="F163">
        <v>0.03</v>
      </c>
      <c r="G163" t="s">
        <v>114</v>
      </c>
    </row>
    <row r="164" spans="1:7" x14ac:dyDescent="0.25">
      <c r="A164" s="17">
        <v>43297</v>
      </c>
      <c r="B164" t="s">
        <v>101</v>
      </c>
      <c r="C164" t="s">
        <v>96</v>
      </c>
      <c r="D164">
        <v>7</v>
      </c>
      <c r="E164">
        <v>230</v>
      </c>
      <c r="F164">
        <v>0.08</v>
      </c>
      <c r="G164" t="s">
        <v>115</v>
      </c>
    </row>
    <row r="165" spans="1:7" x14ac:dyDescent="0.25">
      <c r="A165" s="17">
        <v>43297</v>
      </c>
      <c r="B165" t="s">
        <v>98</v>
      </c>
      <c r="C165" t="s">
        <v>106</v>
      </c>
      <c r="D165">
        <v>11</v>
      </c>
      <c r="E165">
        <v>40</v>
      </c>
      <c r="F165">
        <v>0.06</v>
      </c>
      <c r="G165" t="s">
        <v>116</v>
      </c>
    </row>
    <row r="166" spans="1:7" x14ac:dyDescent="0.25">
      <c r="A166" s="17">
        <v>43297</v>
      </c>
      <c r="B166" t="s">
        <v>101</v>
      </c>
      <c r="C166" t="s">
        <v>99</v>
      </c>
      <c r="D166">
        <v>7</v>
      </c>
      <c r="E166">
        <v>230</v>
      </c>
      <c r="F166">
        <v>0.08</v>
      </c>
      <c r="G166" t="s">
        <v>97</v>
      </c>
    </row>
    <row r="167" spans="1:7" x14ac:dyDescent="0.25">
      <c r="A167" s="17">
        <v>43297</v>
      </c>
      <c r="B167" t="s">
        <v>95</v>
      </c>
      <c r="C167" t="s">
        <v>96</v>
      </c>
      <c r="D167">
        <v>8</v>
      </c>
      <c r="E167">
        <v>80</v>
      </c>
      <c r="F167">
        <v>0.09</v>
      </c>
      <c r="G167" t="s">
        <v>100</v>
      </c>
    </row>
    <row r="168" spans="1:7" x14ac:dyDescent="0.25">
      <c r="A168" s="17">
        <v>43297</v>
      </c>
      <c r="B168" t="s">
        <v>95</v>
      </c>
      <c r="C168" t="s">
        <v>106</v>
      </c>
      <c r="D168">
        <v>16</v>
      </c>
      <c r="E168">
        <v>80</v>
      </c>
      <c r="F168">
        <v>7.0000000000000007E-2</v>
      </c>
      <c r="G168" t="s">
        <v>102</v>
      </c>
    </row>
    <row r="169" spans="1:7" x14ac:dyDescent="0.25">
      <c r="A169" s="17">
        <v>43297</v>
      </c>
      <c r="B169" t="s">
        <v>95</v>
      </c>
      <c r="C169" t="s">
        <v>104</v>
      </c>
      <c r="D169">
        <v>16</v>
      </c>
      <c r="E169">
        <v>80</v>
      </c>
      <c r="F169">
        <v>0.04</v>
      </c>
      <c r="G169" t="s">
        <v>103</v>
      </c>
    </row>
    <row r="170" spans="1:7" x14ac:dyDescent="0.25">
      <c r="A170" s="17">
        <v>43297</v>
      </c>
      <c r="B170" t="s">
        <v>108</v>
      </c>
      <c r="C170" t="s">
        <v>104</v>
      </c>
      <c r="D170">
        <v>9</v>
      </c>
      <c r="E170">
        <v>16</v>
      </c>
      <c r="F170">
        <v>0.05</v>
      </c>
      <c r="G170" t="s">
        <v>105</v>
      </c>
    </row>
    <row r="171" spans="1:7" x14ac:dyDescent="0.25">
      <c r="A171" s="17">
        <v>43297</v>
      </c>
      <c r="B171" t="s">
        <v>111</v>
      </c>
      <c r="C171" t="s">
        <v>109</v>
      </c>
      <c r="D171">
        <v>11</v>
      </c>
      <c r="E171">
        <v>150</v>
      </c>
      <c r="F171">
        <v>0.09</v>
      </c>
      <c r="G171" t="s">
        <v>107</v>
      </c>
    </row>
    <row r="172" spans="1:7" x14ac:dyDescent="0.25">
      <c r="A172" s="17">
        <v>43297</v>
      </c>
      <c r="B172" t="s">
        <v>108</v>
      </c>
      <c r="C172" t="s">
        <v>96</v>
      </c>
      <c r="D172">
        <v>4</v>
      </c>
      <c r="E172">
        <v>16</v>
      </c>
      <c r="F172">
        <v>0.12</v>
      </c>
      <c r="G172" t="s">
        <v>110</v>
      </c>
    </row>
    <row r="173" spans="1:7" x14ac:dyDescent="0.25">
      <c r="A173" s="17">
        <v>43297</v>
      </c>
      <c r="B173" t="s">
        <v>98</v>
      </c>
      <c r="C173" t="s">
        <v>106</v>
      </c>
      <c r="D173">
        <v>15</v>
      </c>
      <c r="E173">
        <v>40</v>
      </c>
      <c r="F173">
        <v>0.03</v>
      </c>
      <c r="G173" t="s">
        <v>112</v>
      </c>
    </row>
    <row r="174" spans="1:7" x14ac:dyDescent="0.25">
      <c r="A174" s="17">
        <v>43297</v>
      </c>
      <c r="B174" t="s">
        <v>98</v>
      </c>
      <c r="C174" t="s">
        <v>109</v>
      </c>
      <c r="D174">
        <v>20</v>
      </c>
      <c r="E174">
        <v>40</v>
      </c>
      <c r="F174">
        <v>0.03</v>
      </c>
      <c r="G174" t="s">
        <v>113</v>
      </c>
    </row>
    <row r="175" spans="1:7" x14ac:dyDescent="0.25">
      <c r="A175" s="17">
        <v>43298</v>
      </c>
      <c r="B175" t="s">
        <v>111</v>
      </c>
      <c r="C175" t="s">
        <v>104</v>
      </c>
      <c r="D175">
        <v>9</v>
      </c>
      <c r="E175">
        <v>150</v>
      </c>
      <c r="F175">
        <v>0.06</v>
      </c>
      <c r="G175" t="s">
        <v>114</v>
      </c>
    </row>
    <row r="176" spans="1:7" x14ac:dyDescent="0.25">
      <c r="A176" s="17">
        <v>43298</v>
      </c>
      <c r="B176" t="s">
        <v>98</v>
      </c>
      <c r="C176" t="s">
        <v>99</v>
      </c>
      <c r="D176">
        <v>23</v>
      </c>
      <c r="E176">
        <v>40</v>
      </c>
      <c r="F176">
        <v>0.06</v>
      </c>
      <c r="G176" t="s">
        <v>115</v>
      </c>
    </row>
    <row r="177" spans="1:7" x14ac:dyDescent="0.25">
      <c r="A177" s="17">
        <v>43298</v>
      </c>
      <c r="B177" t="s">
        <v>95</v>
      </c>
      <c r="C177" t="s">
        <v>109</v>
      </c>
      <c r="D177">
        <v>13</v>
      </c>
      <c r="E177">
        <v>80</v>
      </c>
      <c r="F177">
        <v>0.05</v>
      </c>
      <c r="G177" t="s">
        <v>116</v>
      </c>
    </row>
    <row r="178" spans="1:7" x14ac:dyDescent="0.25">
      <c r="A178" s="17">
        <v>43298</v>
      </c>
      <c r="B178" t="s">
        <v>108</v>
      </c>
      <c r="C178" t="s">
        <v>96</v>
      </c>
      <c r="D178">
        <v>22</v>
      </c>
      <c r="E178">
        <v>16</v>
      </c>
      <c r="F178">
        <v>0.01</v>
      </c>
      <c r="G178" t="s">
        <v>97</v>
      </c>
    </row>
    <row r="179" spans="1:7" x14ac:dyDescent="0.25">
      <c r="A179" s="17">
        <v>43298</v>
      </c>
      <c r="B179" t="s">
        <v>98</v>
      </c>
      <c r="C179" t="s">
        <v>96</v>
      </c>
      <c r="D179">
        <v>19</v>
      </c>
      <c r="E179">
        <v>40</v>
      </c>
      <c r="F179">
        <v>0.04</v>
      </c>
      <c r="G179" t="s">
        <v>100</v>
      </c>
    </row>
    <row r="180" spans="1:7" x14ac:dyDescent="0.25">
      <c r="A180" s="17">
        <v>43298</v>
      </c>
      <c r="B180" t="s">
        <v>95</v>
      </c>
      <c r="C180" t="s">
        <v>106</v>
      </c>
      <c r="D180">
        <v>4</v>
      </c>
      <c r="E180">
        <v>80</v>
      </c>
      <c r="F180">
        <v>0.11</v>
      </c>
      <c r="G180" t="s">
        <v>102</v>
      </c>
    </row>
    <row r="181" spans="1:7" x14ac:dyDescent="0.25">
      <c r="A181" s="17">
        <v>43298</v>
      </c>
      <c r="B181" t="s">
        <v>108</v>
      </c>
      <c r="C181" t="s">
        <v>96</v>
      </c>
      <c r="D181">
        <v>12</v>
      </c>
      <c r="E181">
        <v>16</v>
      </c>
      <c r="F181">
        <v>0.11</v>
      </c>
      <c r="G181" t="s">
        <v>103</v>
      </c>
    </row>
    <row r="182" spans="1:7" x14ac:dyDescent="0.25">
      <c r="A182" s="17">
        <v>43298</v>
      </c>
      <c r="B182" t="s">
        <v>111</v>
      </c>
      <c r="C182" t="s">
        <v>99</v>
      </c>
      <c r="D182">
        <v>16</v>
      </c>
      <c r="E182">
        <v>150</v>
      </c>
      <c r="F182">
        <v>0.08</v>
      </c>
      <c r="G182" t="s">
        <v>105</v>
      </c>
    </row>
    <row r="183" spans="1:7" x14ac:dyDescent="0.25">
      <c r="A183" s="17">
        <v>43298</v>
      </c>
      <c r="B183" t="s">
        <v>95</v>
      </c>
      <c r="C183" t="s">
        <v>96</v>
      </c>
      <c r="D183">
        <v>7</v>
      </c>
      <c r="E183">
        <v>80</v>
      </c>
      <c r="F183">
        <v>0.02</v>
      </c>
      <c r="G183" t="s">
        <v>107</v>
      </c>
    </row>
    <row r="184" spans="1:7" x14ac:dyDescent="0.25">
      <c r="A184" s="17">
        <v>43298</v>
      </c>
      <c r="B184" t="s">
        <v>98</v>
      </c>
      <c r="C184" t="s">
        <v>109</v>
      </c>
      <c r="D184">
        <v>20</v>
      </c>
      <c r="E184">
        <v>40</v>
      </c>
      <c r="F184">
        <v>7.0000000000000007E-2</v>
      </c>
      <c r="G184" t="s">
        <v>110</v>
      </c>
    </row>
    <row r="185" spans="1:7" x14ac:dyDescent="0.25">
      <c r="A185" s="17">
        <v>43298</v>
      </c>
      <c r="B185" t="s">
        <v>95</v>
      </c>
      <c r="C185" t="s">
        <v>99</v>
      </c>
      <c r="D185">
        <v>15</v>
      </c>
      <c r="E185">
        <v>80</v>
      </c>
      <c r="F185">
        <v>0.12</v>
      </c>
      <c r="G185" t="s">
        <v>112</v>
      </c>
    </row>
    <row r="186" spans="1:7" x14ac:dyDescent="0.25">
      <c r="A186" s="17">
        <v>43298</v>
      </c>
      <c r="B186" t="s">
        <v>98</v>
      </c>
      <c r="C186" t="s">
        <v>96</v>
      </c>
      <c r="D186">
        <v>5</v>
      </c>
      <c r="E186">
        <v>40</v>
      </c>
      <c r="F186">
        <v>0.09</v>
      </c>
      <c r="G186" t="s">
        <v>113</v>
      </c>
    </row>
    <row r="187" spans="1:7" x14ac:dyDescent="0.25">
      <c r="A187" s="17">
        <v>43298</v>
      </c>
      <c r="B187" t="s">
        <v>108</v>
      </c>
      <c r="C187" t="s">
        <v>109</v>
      </c>
      <c r="D187">
        <v>12</v>
      </c>
      <c r="E187">
        <v>16</v>
      </c>
      <c r="F187">
        <v>0.04</v>
      </c>
      <c r="G187" t="s">
        <v>114</v>
      </c>
    </row>
    <row r="188" spans="1:7" x14ac:dyDescent="0.25">
      <c r="A188" s="17">
        <v>43299</v>
      </c>
      <c r="B188" t="s">
        <v>111</v>
      </c>
      <c r="C188" t="s">
        <v>106</v>
      </c>
      <c r="D188">
        <v>3</v>
      </c>
      <c r="E188">
        <v>150</v>
      </c>
      <c r="F188">
        <v>0.01</v>
      </c>
      <c r="G188" t="s">
        <v>115</v>
      </c>
    </row>
    <row r="189" spans="1:7" x14ac:dyDescent="0.25">
      <c r="A189" s="17">
        <v>43299</v>
      </c>
      <c r="B189" t="s">
        <v>98</v>
      </c>
      <c r="C189" t="s">
        <v>109</v>
      </c>
      <c r="D189">
        <v>7</v>
      </c>
      <c r="E189">
        <v>40</v>
      </c>
      <c r="F189">
        <v>0.12</v>
      </c>
      <c r="G189" t="s">
        <v>116</v>
      </c>
    </row>
    <row r="190" spans="1:7" x14ac:dyDescent="0.25">
      <c r="A190" s="17">
        <v>43299</v>
      </c>
      <c r="B190" t="s">
        <v>95</v>
      </c>
      <c r="C190" t="s">
        <v>99</v>
      </c>
      <c r="D190">
        <v>2</v>
      </c>
      <c r="E190">
        <v>80</v>
      </c>
      <c r="F190">
        <v>0.04</v>
      </c>
      <c r="G190" t="s">
        <v>97</v>
      </c>
    </row>
    <row r="191" spans="1:7" x14ac:dyDescent="0.25">
      <c r="A191" s="17">
        <v>43299</v>
      </c>
      <c r="B191" t="s">
        <v>98</v>
      </c>
      <c r="C191" t="s">
        <v>106</v>
      </c>
      <c r="D191">
        <v>6</v>
      </c>
      <c r="E191">
        <v>40</v>
      </c>
      <c r="F191">
        <v>7.0000000000000007E-2</v>
      </c>
      <c r="G191" t="s">
        <v>100</v>
      </c>
    </row>
    <row r="192" spans="1:7" x14ac:dyDescent="0.25">
      <c r="A192" s="17">
        <v>43299</v>
      </c>
      <c r="B192" t="s">
        <v>108</v>
      </c>
      <c r="C192" t="s">
        <v>104</v>
      </c>
      <c r="D192">
        <v>6</v>
      </c>
      <c r="E192">
        <v>16</v>
      </c>
      <c r="F192">
        <v>0.06</v>
      </c>
      <c r="G192" t="s">
        <v>102</v>
      </c>
    </row>
    <row r="193" spans="1:7" x14ac:dyDescent="0.25">
      <c r="A193" s="17">
        <v>43299</v>
      </c>
      <c r="B193" t="s">
        <v>108</v>
      </c>
      <c r="C193" t="s">
        <v>96</v>
      </c>
      <c r="D193">
        <v>7</v>
      </c>
      <c r="E193">
        <v>16</v>
      </c>
      <c r="F193">
        <v>0.02</v>
      </c>
      <c r="G193" t="s">
        <v>103</v>
      </c>
    </row>
    <row r="194" spans="1:7" x14ac:dyDescent="0.25">
      <c r="A194" s="17">
        <v>43299</v>
      </c>
      <c r="B194" t="s">
        <v>108</v>
      </c>
      <c r="C194" t="s">
        <v>99</v>
      </c>
      <c r="D194">
        <v>20</v>
      </c>
      <c r="E194">
        <v>16</v>
      </c>
      <c r="F194">
        <v>0.06</v>
      </c>
      <c r="G194" t="s">
        <v>105</v>
      </c>
    </row>
    <row r="195" spans="1:7" x14ac:dyDescent="0.25">
      <c r="A195" s="17">
        <v>43299</v>
      </c>
      <c r="B195" t="s">
        <v>108</v>
      </c>
      <c r="C195" t="s">
        <v>99</v>
      </c>
      <c r="D195">
        <v>21</v>
      </c>
      <c r="E195">
        <v>16</v>
      </c>
      <c r="F195">
        <v>0.02</v>
      </c>
      <c r="G195" t="s">
        <v>107</v>
      </c>
    </row>
    <row r="196" spans="1:7" x14ac:dyDescent="0.25">
      <c r="A196" s="17">
        <v>43299</v>
      </c>
      <c r="B196" t="s">
        <v>95</v>
      </c>
      <c r="C196" t="s">
        <v>106</v>
      </c>
      <c r="D196">
        <v>21</v>
      </c>
      <c r="E196">
        <v>80</v>
      </c>
      <c r="F196">
        <v>0.05</v>
      </c>
      <c r="G196" t="s">
        <v>110</v>
      </c>
    </row>
    <row r="197" spans="1:7" x14ac:dyDescent="0.25">
      <c r="A197" s="17">
        <v>43299</v>
      </c>
      <c r="B197" t="s">
        <v>108</v>
      </c>
      <c r="C197" t="s">
        <v>106</v>
      </c>
      <c r="D197">
        <v>10</v>
      </c>
      <c r="E197">
        <v>16</v>
      </c>
      <c r="F197">
        <v>0.01</v>
      </c>
      <c r="G197" t="s">
        <v>112</v>
      </c>
    </row>
    <row r="198" spans="1:7" x14ac:dyDescent="0.25">
      <c r="A198" s="17">
        <v>43300</v>
      </c>
      <c r="B198" t="s">
        <v>101</v>
      </c>
      <c r="C198" t="s">
        <v>106</v>
      </c>
      <c r="D198">
        <v>2</v>
      </c>
      <c r="E198">
        <v>230</v>
      </c>
      <c r="F198">
        <v>0.09</v>
      </c>
      <c r="G198" t="s">
        <v>113</v>
      </c>
    </row>
    <row r="199" spans="1:7" x14ac:dyDescent="0.25">
      <c r="A199" s="17">
        <v>43300</v>
      </c>
      <c r="B199" t="s">
        <v>111</v>
      </c>
      <c r="C199" t="s">
        <v>96</v>
      </c>
      <c r="D199">
        <v>20</v>
      </c>
      <c r="E199">
        <v>150</v>
      </c>
      <c r="F199">
        <v>0.03</v>
      </c>
      <c r="G199" t="s">
        <v>114</v>
      </c>
    </row>
    <row r="200" spans="1:7" x14ac:dyDescent="0.25">
      <c r="A200" s="17">
        <v>43300</v>
      </c>
      <c r="B200" t="s">
        <v>98</v>
      </c>
      <c r="C200" t="s">
        <v>96</v>
      </c>
      <c r="D200">
        <v>23</v>
      </c>
      <c r="E200">
        <v>40</v>
      </c>
      <c r="F200">
        <v>0.03</v>
      </c>
      <c r="G200" t="s">
        <v>115</v>
      </c>
    </row>
    <row r="201" spans="1:7" x14ac:dyDescent="0.25">
      <c r="A201" s="17">
        <v>43300</v>
      </c>
      <c r="B201" t="s">
        <v>95</v>
      </c>
      <c r="C201" t="s">
        <v>106</v>
      </c>
      <c r="D201">
        <v>17</v>
      </c>
      <c r="E201">
        <v>80</v>
      </c>
      <c r="F201">
        <v>0.05</v>
      </c>
      <c r="G201" t="s">
        <v>116</v>
      </c>
    </row>
    <row r="202" spans="1:7" x14ac:dyDescent="0.25">
      <c r="A202" s="17">
        <v>43300</v>
      </c>
      <c r="B202" t="s">
        <v>101</v>
      </c>
      <c r="C202" t="s">
        <v>106</v>
      </c>
      <c r="D202">
        <v>11</v>
      </c>
      <c r="E202">
        <v>230</v>
      </c>
      <c r="F202">
        <v>0.12</v>
      </c>
      <c r="G202" t="s">
        <v>97</v>
      </c>
    </row>
    <row r="203" spans="1:7" x14ac:dyDescent="0.25">
      <c r="A203" s="17">
        <v>43300</v>
      </c>
      <c r="B203" t="s">
        <v>111</v>
      </c>
      <c r="C203" t="s">
        <v>99</v>
      </c>
      <c r="D203">
        <v>10</v>
      </c>
      <c r="E203">
        <v>150</v>
      </c>
      <c r="F203">
        <v>0.01</v>
      </c>
      <c r="G203" t="s">
        <v>100</v>
      </c>
    </row>
    <row r="204" spans="1:7" x14ac:dyDescent="0.25">
      <c r="A204" s="17">
        <v>43300</v>
      </c>
      <c r="B204" t="s">
        <v>95</v>
      </c>
      <c r="C204" t="s">
        <v>99</v>
      </c>
      <c r="D204">
        <v>17</v>
      </c>
      <c r="E204">
        <v>80</v>
      </c>
      <c r="F204">
        <v>0.03</v>
      </c>
      <c r="G204" t="s">
        <v>102</v>
      </c>
    </row>
    <row r="205" spans="1:7" x14ac:dyDescent="0.25">
      <c r="A205" s="17">
        <v>43301</v>
      </c>
      <c r="B205" t="s">
        <v>101</v>
      </c>
      <c r="C205" t="s">
        <v>96</v>
      </c>
      <c r="D205">
        <v>9</v>
      </c>
      <c r="E205">
        <v>230</v>
      </c>
      <c r="F205">
        <v>7.0000000000000007E-2</v>
      </c>
      <c r="G205" t="s">
        <v>103</v>
      </c>
    </row>
    <row r="206" spans="1:7" x14ac:dyDescent="0.25">
      <c r="A206" s="17">
        <v>43301</v>
      </c>
      <c r="B206" t="s">
        <v>101</v>
      </c>
      <c r="C206" t="s">
        <v>96</v>
      </c>
      <c r="D206">
        <v>11</v>
      </c>
      <c r="E206">
        <v>230</v>
      </c>
      <c r="F206">
        <v>0.02</v>
      </c>
      <c r="G206" t="s">
        <v>105</v>
      </c>
    </row>
    <row r="207" spans="1:7" x14ac:dyDescent="0.25">
      <c r="A207" s="17">
        <v>43301</v>
      </c>
      <c r="B207" t="s">
        <v>98</v>
      </c>
      <c r="C207" t="s">
        <v>104</v>
      </c>
      <c r="D207">
        <v>2</v>
      </c>
      <c r="E207">
        <v>40</v>
      </c>
      <c r="F207">
        <v>0.02</v>
      </c>
      <c r="G207" t="s">
        <v>107</v>
      </c>
    </row>
    <row r="208" spans="1:7" x14ac:dyDescent="0.25">
      <c r="A208" s="17">
        <v>43301</v>
      </c>
      <c r="B208" t="s">
        <v>101</v>
      </c>
      <c r="C208" t="s">
        <v>109</v>
      </c>
      <c r="D208">
        <v>3</v>
      </c>
      <c r="E208">
        <v>230</v>
      </c>
      <c r="F208">
        <v>0.1</v>
      </c>
      <c r="G208" t="s">
        <v>110</v>
      </c>
    </row>
    <row r="209" spans="1:7" x14ac:dyDescent="0.25">
      <c r="A209" s="17">
        <v>43301</v>
      </c>
      <c r="B209" t="s">
        <v>98</v>
      </c>
      <c r="C209" t="s">
        <v>109</v>
      </c>
      <c r="D209">
        <v>7</v>
      </c>
      <c r="E209">
        <v>40</v>
      </c>
      <c r="F209">
        <v>0.05</v>
      </c>
      <c r="G209" t="s">
        <v>112</v>
      </c>
    </row>
    <row r="210" spans="1:7" x14ac:dyDescent="0.25">
      <c r="A210" s="17">
        <v>43301</v>
      </c>
      <c r="B210" t="s">
        <v>111</v>
      </c>
      <c r="C210" t="s">
        <v>99</v>
      </c>
      <c r="D210">
        <v>20</v>
      </c>
      <c r="E210">
        <v>150</v>
      </c>
      <c r="F210">
        <v>0.09</v>
      </c>
      <c r="G210" t="s">
        <v>113</v>
      </c>
    </row>
    <row r="211" spans="1:7" x14ac:dyDescent="0.25">
      <c r="A211" s="17">
        <v>43301</v>
      </c>
      <c r="B211" t="s">
        <v>98</v>
      </c>
      <c r="C211" t="s">
        <v>104</v>
      </c>
      <c r="D211">
        <v>4</v>
      </c>
      <c r="E211">
        <v>40</v>
      </c>
      <c r="F211">
        <v>0.11</v>
      </c>
      <c r="G211" t="s">
        <v>114</v>
      </c>
    </row>
    <row r="212" spans="1:7" x14ac:dyDescent="0.25">
      <c r="A212" s="17">
        <v>43302</v>
      </c>
      <c r="B212" t="s">
        <v>101</v>
      </c>
      <c r="C212" t="s">
        <v>104</v>
      </c>
      <c r="D212">
        <v>2</v>
      </c>
      <c r="E212">
        <v>230</v>
      </c>
      <c r="F212">
        <v>0.09</v>
      </c>
      <c r="G212" t="s">
        <v>97</v>
      </c>
    </row>
    <row r="213" spans="1:7" x14ac:dyDescent="0.25">
      <c r="A213" s="17">
        <v>43302</v>
      </c>
      <c r="B213" t="s">
        <v>98</v>
      </c>
      <c r="C213" t="s">
        <v>99</v>
      </c>
      <c r="D213">
        <v>7</v>
      </c>
      <c r="E213">
        <v>40</v>
      </c>
      <c r="F213">
        <v>0.01</v>
      </c>
      <c r="G213" t="s">
        <v>100</v>
      </c>
    </row>
    <row r="214" spans="1:7" x14ac:dyDescent="0.25">
      <c r="A214" s="17">
        <v>43302</v>
      </c>
      <c r="B214" t="s">
        <v>98</v>
      </c>
      <c r="C214" t="s">
        <v>96</v>
      </c>
      <c r="D214">
        <v>2</v>
      </c>
      <c r="E214">
        <v>40</v>
      </c>
      <c r="F214">
        <v>0.12</v>
      </c>
      <c r="G214" t="s">
        <v>102</v>
      </c>
    </row>
    <row r="215" spans="1:7" x14ac:dyDescent="0.25">
      <c r="A215" s="17">
        <v>43302</v>
      </c>
      <c r="B215" t="s">
        <v>95</v>
      </c>
      <c r="C215" t="s">
        <v>99</v>
      </c>
      <c r="D215">
        <v>3</v>
      </c>
      <c r="E215">
        <v>80</v>
      </c>
      <c r="F215">
        <v>0.02</v>
      </c>
      <c r="G215" t="s">
        <v>103</v>
      </c>
    </row>
    <row r="216" spans="1:7" x14ac:dyDescent="0.25">
      <c r="A216" s="17">
        <v>43302</v>
      </c>
      <c r="B216" t="s">
        <v>108</v>
      </c>
      <c r="C216" t="s">
        <v>96</v>
      </c>
      <c r="D216">
        <v>18</v>
      </c>
      <c r="E216">
        <v>16</v>
      </c>
      <c r="F216">
        <v>0.11</v>
      </c>
      <c r="G216" t="s">
        <v>105</v>
      </c>
    </row>
    <row r="217" spans="1:7" x14ac:dyDescent="0.25">
      <c r="A217" s="17">
        <v>43302</v>
      </c>
      <c r="B217" t="s">
        <v>95</v>
      </c>
      <c r="C217" t="s">
        <v>99</v>
      </c>
      <c r="D217">
        <v>5</v>
      </c>
      <c r="E217">
        <v>80</v>
      </c>
      <c r="F217">
        <v>7.0000000000000007E-2</v>
      </c>
      <c r="G217" t="s">
        <v>107</v>
      </c>
    </row>
    <row r="218" spans="1:7" x14ac:dyDescent="0.25">
      <c r="A218" s="17">
        <v>43302</v>
      </c>
      <c r="B218" t="s">
        <v>108</v>
      </c>
      <c r="C218" t="s">
        <v>104</v>
      </c>
      <c r="D218">
        <v>3</v>
      </c>
      <c r="E218">
        <v>16</v>
      </c>
      <c r="F218">
        <v>0.05</v>
      </c>
      <c r="G218" t="s">
        <v>110</v>
      </c>
    </row>
    <row r="219" spans="1:7" x14ac:dyDescent="0.25">
      <c r="A219" s="17">
        <v>43302</v>
      </c>
      <c r="B219" t="s">
        <v>95</v>
      </c>
      <c r="C219" t="s">
        <v>106</v>
      </c>
      <c r="D219">
        <v>7</v>
      </c>
      <c r="E219">
        <v>80</v>
      </c>
      <c r="F219">
        <v>0.02</v>
      </c>
      <c r="G219" t="s">
        <v>112</v>
      </c>
    </row>
    <row r="220" spans="1:7" x14ac:dyDescent="0.25">
      <c r="A220" s="17">
        <v>43302</v>
      </c>
      <c r="B220" t="s">
        <v>111</v>
      </c>
      <c r="C220" t="s">
        <v>106</v>
      </c>
      <c r="D220">
        <v>15</v>
      </c>
      <c r="E220">
        <v>150</v>
      </c>
      <c r="F220">
        <v>0.08</v>
      </c>
      <c r="G220" t="s">
        <v>113</v>
      </c>
    </row>
    <row r="221" spans="1:7" x14ac:dyDescent="0.25">
      <c r="A221" s="17">
        <v>43302</v>
      </c>
      <c r="B221" t="s">
        <v>95</v>
      </c>
      <c r="C221" t="s">
        <v>104</v>
      </c>
      <c r="D221">
        <v>10</v>
      </c>
      <c r="E221">
        <v>80</v>
      </c>
      <c r="F221">
        <v>0.11</v>
      </c>
      <c r="G221" t="s">
        <v>114</v>
      </c>
    </row>
    <row r="222" spans="1:7" x14ac:dyDescent="0.25">
      <c r="A222" s="17">
        <v>43302</v>
      </c>
      <c r="B222" t="s">
        <v>101</v>
      </c>
      <c r="C222" t="s">
        <v>109</v>
      </c>
      <c r="D222">
        <v>13</v>
      </c>
      <c r="E222">
        <v>230</v>
      </c>
      <c r="F222">
        <v>0.06</v>
      </c>
      <c r="G222" t="s">
        <v>115</v>
      </c>
    </row>
    <row r="223" spans="1:7" x14ac:dyDescent="0.25">
      <c r="A223" s="17">
        <v>43302</v>
      </c>
      <c r="B223" t="s">
        <v>98</v>
      </c>
      <c r="C223" t="s">
        <v>96</v>
      </c>
      <c r="D223">
        <v>7</v>
      </c>
      <c r="E223">
        <v>40</v>
      </c>
      <c r="F223">
        <v>0.1</v>
      </c>
      <c r="G223" t="s">
        <v>116</v>
      </c>
    </row>
    <row r="224" spans="1:7" x14ac:dyDescent="0.25">
      <c r="A224" s="17">
        <v>43302</v>
      </c>
      <c r="B224" t="s">
        <v>108</v>
      </c>
      <c r="C224" t="s">
        <v>104</v>
      </c>
      <c r="D224">
        <v>6</v>
      </c>
      <c r="E224">
        <v>16</v>
      </c>
      <c r="F224">
        <v>0.01</v>
      </c>
      <c r="G224" t="s">
        <v>97</v>
      </c>
    </row>
    <row r="225" spans="1:7" x14ac:dyDescent="0.25">
      <c r="A225" s="17">
        <v>43303</v>
      </c>
      <c r="B225" t="s">
        <v>98</v>
      </c>
      <c r="C225" t="s">
        <v>104</v>
      </c>
      <c r="D225">
        <v>11</v>
      </c>
      <c r="E225">
        <v>40</v>
      </c>
      <c r="F225">
        <v>0.05</v>
      </c>
      <c r="G225" t="s">
        <v>100</v>
      </c>
    </row>
    <row r="226" spans="1:7" x14ac:dyDescent="0.25">
      <c r="A226" s="17">
        <v>43303</v>
      </c>
      <c r="B226" t="s">
        <v>95</v>
      </c>
      <c r="C226" t="s">
        <v>106</v>
      </c>
      <c r="D226">
        <v>8</v>
      </c>
      <c r="E226">
        <v>80</v>
      </c>
      <c r="F226">
        <v>0.06</v>
      </c>
      <c r="G226" t="s">
        <v>102</v>
      </c>
    </row>
    <row r="227" spans="1:7" x14ac:dyDescent="0.25">
      <c r="A227" s="17">
        <v>43303</v>
      </c>
      <c r="B227" t="s">
        <v>95</v>
      </c>
      <c r="C227" t="s">
        <v>96</v>
      </c>
      <c r="D227">
        <v>9</v>
      </c>
      <c r="E227">
        <v>80</v>
      </c>
      <c r="F227">
        <v>0.04</v>
      </c>
      <c r="G227" t="s">
        <v>103</v>
      </c>
    </row>
    <row r="228" spans="1:7" x14ac:dyDescent="0.25">
      <c r="A228" s="17">
        <v>43303</v>
      </c>
      <c r="B228" t="s">
        <v>98</v>
      </c>
      <c r="C228" t="s">
        <v>109</v>
      </c>
      <c r="D228">
        <v>4</v>
      </c>
      <c r="E228">
        <v>40</v>
      </c>
      <c r="F228">
        <v>0.09</v>
      </c>
      <c r="G228" t="s">
        <v>105</v>
      </c>
    </row>
    <row r="229" spans="1:7" x14ac:dyDescent="0.25">
      <c r="A229" s="17">
        <v>43303</v>
      </c>
      <c r="B229" t="s">
        <v>95</v>
      </c>
      <c r="C229" t="s">
        <v>99</v>
      </c>
      <c r="D229">
        <v>13</v>
      </c>
      <c r="E229">
        <v>80</v>
      </c>
      <c r="F229">
        <v>0.06</v>
      </c>
      <c r="G229" t="s">
        <v>107</v>
      </c>
    </row>
    <row r="230" spans="1:7" x14ac:dyDescent="0.25">
      <c r="A230" s="17">
        <v>43303</v>
      </c>
      <c r="B230" t="s">
        <v>111</v>
      </c>
      <c r="C230" t="s">
        <v>109</v>
      </c>
      <c r="D230">
        <v>4</v>
      </c>
      <c r="E230">
        <v>150</v>
      </c>
      <c r="F230">
        <v>0.05</v>
      </c>
      <c r="G230" t="s">
        <v>110</v>
      </c>
    </row>
    <row r="231" spans="1:7" x14ac:dyDescent="0.25">
      <c r="A231" s="17">
        <v>43303</v>
      </c>
      <c r="B231" t="s">
        <v>101</v>
      </c>
      <c r="C231" t="s">
        <v>104</v>
      </c>
      <c r="D231">
        <v>14</v>
      </c>
      <c r="E231">
        <v>230</v>
      </c>
      <c r="F231">
        <v>0.12</v>
      </c>
      <c r="G231" t="s">
        <v>112</v>
      </c>
    </row>
    <row r="232" spans="1:7" x14ac:dyDescent="0.25">
      <c r="A232" s="17">
        <v>43303</v>
      </c>
      <c r="B232" t="s">
        <v>111</v>
      </c>
      <c r="C232" t="s">
        <v>109</v>
      </c>
      <c r="D232">
        <v>13</v>
      </c>
      <c r="E232">
        <v>150</v>
      </c>
      <c r="F232">
        <v>0.11</v>
      </c>
      <c r="G232" t="s">
        <v>113</v>
      </c>
    </row>
    <row r="233" spans="1:7" x14ac:dyDescent="0.25">
      <c r="A233" s="17">
        <v>43303</v>
      </c>
      <c r="B233" t="s">
        <v>111</v>
      </c>
      <c r="C233" t="s">
        <v>99</v>
      </c>
      <c r="D233">
        <v>16</v>
      </c>
      <c r="E233">
        <v>150</v>
      </c>
      <c r="F233">
        <v>0.03</v>
      </c>
      <c r="G233" t="s">
        <v>114</v>
      </c>
    </row>
    <row r="234" spans="1:7" x14ac:dyDescent="0.25">
      <c r="A234" s="17">
        <v>43303</v>
      </c>
      <c r="B234" t="s">
        <v>108</v>
      </c>
      <c r="C234" t="s">
        <v>96</v>
      </c>
      <c r="D234">
        <v>7</v>
      </c>
      <c r="E234">
        <v>16</v>
      </c>
      <c r="F234">
        <v>0.12</v>
      </c>
      <c r="G234" t="s">
        <v>115</v>
      </c>
    </row>
    <row r="235" spans="1:7" x14ac:dyDescent="0.25">
      <c r="A235" s="17">
        <v>43303</v>
      </c>
      <c r="B235" t="s">
        <v>111</v>
      </c>
      <c r="C235" t="s">
        <v>106</v>
      </c>
      <c r="D235">
        <v>9</v>
      </c>
      <c r="E235">
        <v>150</v>
      </c>
      <c r="F235">
        <v>0.02</v>
      </c>
      <c r="G235" t="s">
        <v>116</v>
      </c>
    </row>
    <row r="236" spans="1:7" x14ac:dyDescent="0.25">
      <c r="A236" s="17">
        <v>43303</v>
      </c>
      <c r="B236" t="s">
        <v>108</v>
      </c>
      <c r="C236" t="s">
        <v>96</v>
      </c>
      <c r="D236">
        <v>10</v>
      </c>
      <c r="E236">
        <v>16</v>
      </c>
      <c r="F236">
        <v>0.08</v>
      </c>
      <c r="G236" t="s">
        <v>97</v>
      </c>
    </row>
    <row r="237" spans="1:7" x14ac:dyDescent="0.25">
      <c r="A237" s="17">
        <v>43303</v>
      </c>
      <c r="B237" t="s">
        <v>95</v>
      </c>
      <c r="C237" t="s">
        <v>106</v>
      </c>
      <c r="D237">
        <v>15</v>
      </c>
      <c r="E237">
        <v>80</v>
      </c>
      <c r="F237">
        <v>0.08</v>
      </c>
      <c r="G237" t="s">
        <v>100</v>
      </c>
    </row>
    <row r="238" spans="1:7" x14ac:dyDescent="0.25">
      <c r="A238" s="17">
        <v>43303</v>
      </c>
      <c r="B238" t="s">
        <v>95</v>
      </c>
      <c r="C238" t="s">
        <v>109</v>
      </c>
      <c r="D238">
        <v>9</v>
      </c>
      <c r="E238">
        <v>80</v>
      </c>
      <c r="F238">
        <v>0.06</v>
      </c>
      <c r="G238" t="s">
        <v>102</v>
      </c>
    </row>
    <row r="239" spans="1:7" x14ac:dyDescent="0.25">
      <c r="A239" s="17">
        <v>43304</v>
      </c>
      <c r="B239" t="s">
        <v>108</v>
      </c>
      <c r="C239" t="s">
        <v>106</v>
      </c>
      <c r="D239">
        <v>7</v>
      </c>
      <c r="E239">
        <v>16</v>
      </c>
      <c r="F239">
        <v>0.08</v>
      </c>
      <c r="G239" t="s">
        <v>103</v>
      </c>
    </row>
    <row r="240" spans="1:7" x14ac:dyDescent="0.25">
      <c r="A240" s="17">
        <v>43304</v>
      </c>
      <c r="B240" t="s">
        <v>111</v>
      </c>
      <c r="C240" t="s">
        <v>109</v>
      </c>
      <c r="D240">
        <v>7</v>
      </c>
      <c r="E240">
        <v>150</v>
      </c>
      <c r="F240">
        <v>0.03</v>
      </c>
      <c r="G240" t="s">
        <v>105</v>
      </c>
    </row>
    <row r="241" spans="1:7" x14ac:dyDescent="0.25">
      <c r="A241" s="17">
        <v>43304</v>
      </c>
      <c r="B241" t="s">
        <v>101</v>
      </c>
      <c r="C241" t="s">
        <v>106</v>
      </c>
      <c r="D241">
        <v>16</v>
      </c>
      <c r="E241">
        <v>230</v>
      </c>
      <c r="F241">
        <v>0.11</v>
      </c>
      <c r="G241" t="s">
        <v>107</v>
      </c>
    </row>
    <row r="242" spans="1:7" x14ac:dyDescent="0.25">
      <c r="A242" s="17">
        <v>43304</v>
      </c>
      <c r="B242" t="s">
        <v>108</v>
      </c>
      <c r="C242" t="s">
        <v>106</v>
      </c>
      <c r="D242">
        <v>18</v>
      </c>
      <c r="E242">
        <v>16</v>
      </c>
      <c r="F242">
        <v>0.04</v>
      </c>
      <c r="G242" t="s">
        <v>110</v>
      </c>
    </row>
    <row r="243" spans="1:7" x14ac:dyDescent="0.25">
      <c r="A243" s="17">
        <v>43304</v>
      </c>
      <c r="B243" t="s">
        <v>101</v>
      </c>
      <c r="C243" t="s">
        <v>109</v>
      </c>
      <c r="D243">
        <v>20</v>
      </c>
      <c r="E243">
        <v>230</v>
      </c>
      <c r="F243">
        <v>0.11</v>
      </c>
      <c r="G243" t="s">
        <v>112</v>
      </c>
    </row>
    <row r="244" spans="1:7" x14ac:dyDescent="0.25">
      <c r="A244" s="17">
        <v>43304</v>
      </c>
      <c r="B244" t="s">
        <v>111</v>
      </c>
      <c r="C244" t="s">
        <v>96</v>
      </c>
      <c r="D244">
        <v>7</v>
      </c>
      <c r="E244">
        <v>150</v>
      </c>
      <c r="F244">
        <v>0.02</v>
      </c>
      <c r="G244" t="s">
        <v>113</v>
      </c>
    </row>
    <row r="245" spans="1:7" x14ac:dyDescent="0.25">
      <c r="A245" s="17">
        <v>43304</v>
      </c>
      <c r="B245" t="s">
        <v>108</v>
      </c>
      <c r="C245" t="s">
        <v>104</v>
      </c>
      <c r="D245">
        <v>11</v>
      </c>
      <c r="E245">
        <v>16</v>
      </c>
      <c r="F245">
        <v>0.12</v>
      </c>
      <c r="G245" t="s">
        <v>114</v>
      </c>
    </row>
    <row r="246" spans="1:7" x14ac:dyDescent="0.25">
      <c r="A246" s="17">
        <v>43304</v>
      </c>
      <c r="B246" t="s">
        <v>98</v>
      </c>
      <c r="C246" t="s">
        <v>104</v>
      </c>
      <c r="D246">
        <v>12</v>
      </c>
      <c r="E246">
        <v>40</v>
      </c>
      <c r="F246">
        <v>0.02</v>
      </c>
      <c r="G246" t="s">
        <v>115</v>
      </c>
    </row>
    <row r="247" spans="1:7" x14ac:dyDescent="0.25">
      <c r="A247" s="17">
        <v>43304</v>
      </c>
      <c r="B247" t="s">
        <v>111</v>
      </c>
      <c r="C247" t="s">
        <v>109</v>
      </c>
      <c r="D247">
        <v>7</v>
      </c>
      <c r="E247">
        <v>150</v>
      </c>
      <c r="F247">
        <v>0.02</v>
      </c>
      <c r="G247" t="s">
        <v>116</v>
      </c>
    </row>
    <row r="248" spans="1:7" x14ac:dyDescent="0.25">
      <c r="A248" s="17">
        <v>43304</v>
      </c>
      <c r="B248" t="s">
        <v>95</v>
      </c>
      <c r="C248" t="s">
        <v>104</v>
      </c>
      <c r="D248">
        <v>14</v>
      </c>
      <c r="E248">
        <v>80</v>
      </c>
      <c r="F248">
        <v>0.1</v>
      </c>
      <c r="G248" t="s">
        <v>97</v>
      </c>
    </row>
    <row r="249" spans="1:7" x14ac:dyDescent="0.25">
      <c r="A249" s="17">
        <v>43304</v>
      </c>
      <c r="B249" t="s">
        <v>101</v>
      </c>
      <c r="C249" t="s">
        <v>104</v>
      </c>
      <c r="D249">
        <v>12</v>
      </c>
      <c r="E249">
        <v>230</v>
      </c>
      <c r="F249">
        <v>0.06</v>
      </c>
      <c r="G249" t="s">
        <v>100</v>
      </c>
    </row>
    <row r="250" spans="1:7" x14ac:dyDescent="0.25">
      <c r="A250" s="17">
        <v>43305</v>
      </c>
      <c r="B250" t="s">
        <v>95</v>
      </c>
      <c r="C250" t="s">
        <v>99</v>
      </c>
      <c r="D250">
        <v>21</v>
      </c>
      <c r="E250">
        <v>80</v>
      </c>
      <c r="F250">
        <v>0.04</v>
      </c>
      <c r="G250" t="s">
        <v>102</v>
      </c>
    </row>
    <row r="251" spans="1:7" x14ac:dyDescent="0.25">
      <c r="A251" s="17">
        <v>43305</v>
      </c>
      <c r="B251" t="s">
        <v>111</v>
      </c>
      <c r="C251" t="s">
        <v>96</v>
      </c>
      <c r="D251">
        <v>8</v>
      </c>
      <c r="E251">
        <v>150</v>
      </c>
      <c r="F251">
        <v>0.09</v>
      </c>
      <c r="G251" t="s">
        <v>103</v>
      </c>
    </row>
    <row r="252" spans="1:7" x14ac:dyDescent="0.25">
      <c r="A252" s="17">
        <v>43305</v>
      </c>
      <c r="B252" t="s">
        <v>95</v>
      </c>
      <c r="C252" t="s">
        <v>99</v>
      </c>
      <c r="D252">
        <v>16</v>
      </c>
      <c r="E252">
        <v>80</v>
      </c>
      <c r="F252">
        <v>0.04</v>
      </c>
      <c r="G252" t="s">
        <v>105</v>
      </c>
    </row>
    <row r="253" spans="1:7" x14ac:dyDescent="0.25">
      <c r="A253" s="17">
        <v>43305</v>
      </c>
      <c r="B253" t="s">
        <v>101</v>
      </c>
      <c r="C253" t="s">
        <v>99</v>
      </c>
      <c r="D253">
        <v>14</v>
      </c>
      <c r="E253">
        <v>230</v>
      </c>
      <c r="F253">
        <v>0.05</v>
      </c>
      <c r="G253" t="s">
        <v>107</v>
      </c>
    </row>
    <row r="254" spans="1:7" x14ac:dyDescent="0.25">
      <c r="A254" s="17">
        <v>43305</v>
      </c>
      <c r="B254" t="s">
        <v>98</v>
      </c>
      <c r="C254" t="s">
        <v>104</v>
      </c>
      <c r="D254">
        <v>2</v>
      </c>
      <c r="E254">
        <v>40</v>
      </c>
      <c r="F254">
        <v>0.03</v>
      </c>
      <c r="G254" t="s">
        <v>110</v>
      </c>
    </row>
    <row r="255" spans="1:7" x14ac:dyDescent="0.25">
      <c r="A255" s="17">
        <v>43305</v>
      </c>
      <c r="B255" t="s">
        <v>111</v>
      </c>
      <c r="C255" t="s">
        <v>96</v>
      </c>
      <c r="D255">
        <v>4</v>
      </c>
      <c r="E255">
        <v>150</v>
      </c>
      <c r="F255">
        <v>0.1</v>
      </c>
      <c r="G255" t="s">
        <v>112</v>
      </c>
    </row>
    <row r="256" spans="1:7" x14ac:dyDescent="0.25">
      <c r="A256" s="17">
        <v>43305</v>
      </c>
      <c r="B256" t="s">
        <v>95</v>
      </c>
      <c r="C256" t="s">
        <v>104</v>
      </c>
      <c r="D256">
        <v>6</v>
      </c>
      <c r="E256">
        <v>80</v>
      </c>
      <c r="F256">
        <v>0.01</v>
      </c>
      <c r="G256" t="s">
        <v>113</v>
      </c>
    </row>
    <row r="257" spans="1:7" x14ac:dyDescent="0.25">
      <c r="A257" s="17">
        <v>43305</v>
      </c>
      <c r="B257" t="s">
        <v>98</v>
      </c>
      <c r="C257" t="s">
        <v>104</v>
      </c>
      <c r="D257">
        <v>6</v>
      </c>
      <c r="E257">
        <v>40</v>
      </c>
      <c r="F257">
        <v>0.06</v>
      </c>
      <c r="G257" t="s">
        <v>114</v>
      </c>
    </row>
    <row r="258" spans="1:7" x14ac:dyDescent="0.25">
      <c r="A258" s="17">
        <v>43305</v>
      </c>
      <c r="B258" t="s">
        <v>111</v>
      </c>
      <c r="C258" t="s">
        <v>96</v>
      </c>
      <c r="D258">
        <v>20</v>
      </c>
      <c r="E258">
        <v>150</v>
      </c>
      <c r="F258">
        <v>0.04</v>
      </c>
      <c r="G258" t="s">
        <v>115</v>
      </c>
    </row>
    <row r="259" spans="1:7" x14ac:dyDescent="0.25">
      <c r="A259" s="17">
        <v>43305</v>
      </c>
      <c r="B259" t="s">
        <v>98</v>
      </c>
      <c r="C259" t="s">
        <v>104</v>
      </c>
      <c r="D259">
        <v>18</v>
      </c>
      <c r="E259">
        <v>40</v>
      </c>
      <c r="F259">
        <v>0.03</v>
      </c>
      <c r="G259" t="s">
        <v>116</v>
      </c>
    </row>
    <row r="260" spans="1:7" x14ac:dyDescent="0.25">
      <c r="A260" s="17">
        <v>43305</v>
      </c>
      <c r="B260" t="s">
        <v>101</v>
      </c>
      <c r="C260" t="s">
        <v>106</v>
      </c>
      <c r="D260">
        <v>18</v>
      </c>
      <c r="E260">
        <v>230</v>
      </c>
      <c r="F260">
        <v>0.01</v>
      </c>
      <c r="G260" t="s">
        <v>97</v>
      </c>
    </row>
    <row r="261" spans="1:7" x14ac:dyDescent="0.25">
      <c r="A261" s="17">
        <v>43305</v>
      </c>
      <c r="B261" t="s">
        <v>101</v>
      </c>
      <c r="C261" t="s">
        <v>104</v>
      </c>
      <c r="D261">
        <v>15</v>
      </c>
      <c r="E261">
        <v>230</v>
      </c>
      <c r="F261">
        <v>0.04</v>
      </c>
      <c r="G261" t="s">
        <v>100</v>
      </c>
    </row>
    <row r="262" spans="1:7" x14ac:dyDescent="0.25">
      <c r="A262" s="17">
        <v>43305</v>
      </c>
      <c r="B262" t="s">
        <v>108</v>
      </c>
      <c r="C262" t="s">
        <v>99</v>
      </c>
      <c r="D262">
        <v>22</v>
      </c>
      <c r="E262">
        <v>16</v>
      </c>
      <c r="F262">
        <v>0.01</v>
      </c>
      <c r="G262" t="s">
        <v>102</v>
      </c>
    </row>
    <row r="263" spans="1:7" x14ac:dyDescent="0.25">
      <c r="A263" s="17">
        <v>43305</v>
      </c>
      <c r="B263" t="s">
        <v>111</v>
      </c>
      <c r="C263" t="s">
        <v>96</v>
      </c>
      <c r="D263">
        <v>17</v>
      </c>
      <c r="E263">
        <v>150</v>
      </c>
      <c r="F263">
        <v>0.12</v>
      </c>
      <c r="G263" t="s">
        <v>103</v>
      </c>
    </row>
    <row r="264" spans="1:7" x14ac:dyDescent="0.25">
      <c r="A264" s="17">
        <v>43306</v>
      </c>
      <c r="B264" t="s">
        <v>108</v>
      </c>
      <c r="C264" t="s">
        <v>99</v>
      </c>
      <c r="D264">
        <v>5</v>
      </c>
      <c r="E264">
        <v>16</v>
      </c>
      <c r="F264">
        <v>0.11</v>
      </c>
      <c r="G264" t="s">
        <v>105</v>
      </c>
    </row>
    <row r="265" spans="1:7" x14ac:dyDescent="0.25">
      <c r="A265" s="17">
        <v>43306</v>
      </c>
      <c r="B265" t="s">
        <v>111</v>
      </c>
      <c r="C265" t="s">
        <v>96</v>
      </c>
      <c r="D265">
        <v>23</v>
      </c>
      <c r="E265">
        <v>150</v>
      </c>
      <c r="F265">
        <v>0.1</v>
      </c>
      <c r="G265" t="s">
        <v>107</v>
      </c>
    </row>
    <row r="266" spans="1:7" x14ac:dyDescent="0.25">
      <c r="A266" s="17">
        <v>43306</v>
      </c>
      <c r="B266" t="s">
        <v>111</v>
      </c>
      <c r="C266" t="s">
        <v>106</v>
      </c>
      <c r="D266">
        <v>22</v>
      </c>
      <c r="E266">
        <v>150</v>
      </c>
      <c r="F266">
        <v>0.05</v>
      </c>
      <c r="G266" t="s">
        <v>110</v>
      </c>
    </row>
    <row r="267" spans="1:7" x14ac:dyDescent="0.25">
      <c r="A267" s="17">
        <v>43306</v>
      </c>
      <c r="B267" t="s">
        <v>108</v>
      </c>
      <c r="C267" t="s">
        <v>109</v>
      </c>
      <c r="D267">
        <v>15</v>
      </c>
      <c r="E267">
        <v>16</v>
      </c>
      <c r="F267">
        <v>0.01</v>
      </c>
      <c r="G267" t="s">
        <v>112</v>
      </c>
    </row>
    <row r="268" spans="1:7" x14ac:dyDescent="0.25">
      <c r="A268" s="17">
        <v>43306</v>
      </c>
      <c r="B268" t="s">
        <v>98</v>
      </c>
      <c r="C268" t="s">
        <v>106</v>
      </c>
      <c r="D268">
        <v>7</v>
      </c>
      <c r="E268">
        <v>40</v>
      </c>
      <c r="F268">
        <v>7.0000000000000007E-2</v>
      </c>
      <c r="G268" t="s">
        <v>113</v>
      </c>
    </row>
    <row r="269" spans="1:7" x14ac:dyDescent="0.25">
      <c r="A269" s="17">
        <v>43306</v>
      </c>
      <c r="B269" t="s">
        <v>95</v>
      </c>
      <c r="C269" t="s">
        <v>109</v>
      </c>
      <c r="D269">
        <v>22</v>
      </c>
      <c r="E269">
        <v>80</v>
      </c>
      <c r="F269">
        <v>0.11</v>
      </c>
      <c r="G269" t="s">
        <v>114</v>
      </c>
    </row>
    <row r="270" spans="1:7" x14ac:dyDescent="0.25">
      <c r="A270" s="17">
        <v>43306</v>
      </c>
      <c r="B270" t="s">
        <v>111</v>
      </c>
      <c r="C270" t="s">
        <v>104</v>
      </c>
      <c r="D270">
        <v>11</v>
      </c>
      <c r="E270">
        <v>150</v>
      </c>
      <c r="F270">
        <v>0.05</v>
      </c>
      <c r="G270" t="s">
        <v>115</v>
      </c>
    </row>
    <row r="271" spans="1:7" x14ac:dyDescent="0.25">
      <c r="A271" s="17">
        <v>43306</v>
      </c>
      <c r="B271" t="s">
        <v>98</v>
      </c>
      <c r="C271" t="s">
        <v>99</v>
      </c>
      <c r="D271">
        <v>21</v>
      </c>
      <c r="E271">
        <v>40</v>
      </c>
      <c r="F271">
        <v>0.03</v>
      </c>
      <c r="G271" t="s">
        <v>116</v>
      </c>
    </row>
    <row r="272" spans="1:7" x14ac:dyDescent="0.25">
      <c r="A272" s="17">
        <v>43306</v>
      </c>
      <c r="B272" t="s">
        <v>95</v>
      </c>
      <c r="C272" t="s">
        <v>106</v>
      </c>
      <c r="D272">
        <v>23</v>
      </c>
      <c r="E272">
        <v>80</v>
      </c>
      <c r="F272">
        <v>0.11</v>
      </c>
      <c r="G272" t="s">
        <v>97</v>
      </c>
    </row>
    <row r="273" spans="1:7" x14ac:dyDescent="0.25">
      <c r="A273" s="17">
        <v>43306</v>
      </c>
      <c r="B273" t="s">
        <v>101</v>
      </c>
      <c r="C273" t="s">
        <v>104</v>
      </c>
      <c r="D273">
        <v>7</v>
      </c>
      <c r="E273">
        <v>230</v>
      </c>
      <c r="F273">
        <v>0.01</v>
      </c>
      <c r="G273" t="s">
        <v>100</v>
      </c>
    </row>
    <row r="274" spans="1:7" x14ac:dyDescent="0.25">
      <c r="A274" s="17">
        <v>43306</v>
      </c>
      <c r="B274" t="s">
        <v>101</v>
      </c>
      <c r="C274" t="s">
        <v>96</v>
      </c>
      <c r="D274">
        <v>16</v>
      </c>
      <c r="E274">
        <v>230</v>
      </c>
      <c r="F274">
        <v>7.0000000000000007E-2</v>
      </c>
      <c r="G274" t="s">
        <v>102</v>
      </c>
    </row>
    <row r="275" spans="1:7" x14ac:dyDescent="0.25">
      <c r="A275" s="17">
        <v>43306</v>
      </c>
      <c r="B275" t="s">
        <v>95</v>
      </c>
      <c r="C275" t="s">
        <v>99</v>
      </c>
      <c r="D275">
        <v>14</v>
      </c>
      <c r="E275">
        <v>80</v>
      </c>
      <c r="F275">
        <v>0.11</v>
      </c>
      <c r="G275" t="s">
        <v>103</v>
      </c>
    </row>
    <row r="276" spans="1:7" x14ac:dyDescent="0.25">
      <c r="A276" s="17">
        <v>43306</v>
      </c>
      <c r="B276" t="s">
        <v>111</v>
      </c>
      <c r="C276" t="s">
        <v>104</v>
      </c>
      <c r="D276">
        <v>22</v>
      </c>
      <c r="E276">
        <v>150</v>
      </c>
      <c r="F276">
        <v>0.09</v>
      </c>
      <c r="G276" t="s">
        <v>105</v>
      </c>
    </row>
    <row r="277" spans="1:7" x14ac:dyDescent="0.25">
      <c r="A277" s="17">
        <v>43306</v>
      </c>
      <c r="B277" t="s">
        <v>111</v>
      </c>
      <c r="C277" t="s">
        <v>106</v>
      </c>
      <c r="D277">
        <v>4</v>
      </c>
      <c r="E277">
        <v>150</v>
      </c>
      <c r="F277">
        <v>0.12</v>
      </c>
      <c r="G277" t="s">
        <v>107</v>
      </c>
    </row>
    <row r="278" spans="1:7" x14ac:dyDescent="0.25">
      <c r="A278" s="17">
        <v>43306</v>
      </c>
      <c r="B278" t="s">
        <v>111</v>
      </c>
      <c r="C278" t="s">
        <v>96</v>
      </c>
      <c r="D278">
        <v>3</v>
      </c>
      <c r="E278">
        <v>150</v>
      </c>
      <c r="F278">
        <v>0.03</v>
      </c>
      <c r="G278" t="s">
        <v>110</v>
      </c>
    </row>
    <row r="279" spans="1:7" x14ac:dyDescent="0.25">
      <c r="A279" s="17">
        <v>43306</v>
      </c>
      <c r="B279" t="s">
        <v>98</v>
      </c>
      <c r="C279" t="s">
        <v>109</v>
      </c>
      <c r="D279">
        <v>17</v>
      </c>
      <c r="E279">
        <v>40</v>
      </c>
      <c r="F279">
        <v>0.02</v>
      </c>
      <c r="G279" t="s">
        <v>112</v>
      </c>
    </row>
    <row r="280" spans="1:7" x14ac:dyDescent="0.25">
      <c r="A280" s="17">
        <v>43306</v>
      </c>
      <c r="B280" t="s">
        <v>95</v>
      </c>
      <c r="C280" t="s">
        <v>109</v>
      </c>
      <c r="D280">
        <v>22</v>
      </c>
      <c r="E280">
        <v>80</v>
      </c>
      <c r="F280">
        <v>0.1</v>
      </c>
      <c r="G280" t="s">
        <v>113</v>
      </c>
    </row>
    <row r="281" spans="1:7" x14ac:dyDescent="0.25">
      <c r="A281" s="17">
        <v>43306</v>
      </c>
      <c r="B281" t="s">
        <v>111</v>
      </c>
      <c r="C281" t="s">
        <v>109</v>
      </c>
      <c r="D281">
        <v>18</v>
      </c>
      <c r="E281">
        <v>150</v>
      </c>
      <c r="F281">
        <v>0.12</v>
      </c>
      <c r="G281" t="s">
        <v>114</v>
      </c>
    </row>
    <row r="282" spans="1:7" x14ac:dyDescent="0.25">
      <c r="A282" s="17">
        <v>43307</v>
      </c>
      <c r="B282" t="s">
        <v>111</v>
      </c>
      <c r="C282" t="s">
        <v>96</v>
      </c>
      <c r="D282">
        <v>4</v>
      </c>
      <c r="E282">
        <v>150</v>
      </c>
      <c r="F282">
        <v>0.06</v>
      </c>
      <c r="G282" t="s">
        <v>97</v>
      </c>
    </row>
    <row r="283" spans="1:7" x14ac:dyDescent="0.25">
      <c r="A283" s="17">
        <v>43307</v>
      </c>
      <c r="B283" t="s">
        <v>101</v>
      </c>
      <c r="C283" t="s">
        <v>99</v>
      </c>
      <c r="D283">
        <v>22</v>
      </c>
      <c r="E283">
        <v>230</v>
      </c>
      <c r="F283">
        <v>0.04</v>
      </c>
      <c r="G283" t="s">
        <v>100</v>
      </c>
    </row>
    <row r="284" spans="1:7" x14ac:dyDescent="0.25">
      <c r="A284" s="17">
        <v>43307</v>
      </c>
      <c r="B284" t="s">
        <v>111</v>
      </c>
      <c r="C284" t="s">
        <v>99</v>
      </c>
      <c r="D284">
        <v>15</v>
      </c>
      <c r="E284">
        <v>150</v>
      </c>
      <c r="F284">
        <v>0.12</v>
      </c>
      <c r="G284" t="s">
        <v>102</v>
      </c>
    </row>
    <row r="285" spans="1:7" x14ac:dyDescent="0.25">
      <c r="A285" s="17">
        <v>43307</v>
      </c>
      <c r="B285" t="s">
        <v>95</v>
      </c>
      <c r="C285" t="s">
        <v>96</v>
      </c>
      <c r="D285">
        <v>17</v>
      </c>
      <c r="E285">
        <v>80</v>
      </c>
      <c r="F285">
        <v>7.0000000000000007E-2</v>
      </c>
      <c r="G285" t="s">
        <v>103</v>
      </c>
    </row>
    <row r="286" spans="1:7" x14ac:dyDescent="0.25">
      <c r="A286" s="17">
        <v>43307</v>
      </c>
      <c r="B286" t="s">
        <v>98</v>
      </c>
      <c r="C286" t="s">
        <v>109</v>
      </c>
      <c r="D286">
        <v>10</v>
      </c>
      <c r="E286">
        <v>40</v>
      </c>
      <c r="F286">
        <v>0.03</v>
      </c>
      <c r="G286" t="s">
        <v>105</v>
      </c>
    </row>
    <row r="287" spans="1:7" x14ac:dyDescent="0.25">
      <c r="A287" s="17">
        <v>43307</v>
      </c>
      <c r="B287" t="s">
        <v>98</v>
      </c>
      <c r="C287" t="s">
        <v>96</v>
      </c>
      <c r="D287">
        <v>23</v>
      </c>
      <c r="E287">
        <v>40</v>
      </c>
      <c r="F287">
        <v>7.0000000000000007E-2</v>
      </c>
      <c r="G287" t="s">
        <v>107</v>
      </c>
    </row>
    <row r="288" spans="1:7" x14ac:dyDescent="0.25">
      <c r="A288" s="17">
        <v>43307</v>
      </c>
      <c r="B288" t="s">
        <v>108</v>
      </c>
      <c r="C288" t="s">
        <v>99</v>
      </c>
      <c r="D288">
        <v>22</v>
      </c>
      <c r="E288">
        <v>16</v>
      </c>
      <c r="F288">
        <v>0.04</v>
      </c>
      <c r="G288" t="s">
        <v>110</v>
      </c>
    </row>
    <row r="289" spans="1:7" x14ac:dyDescent="0.25">
      <c r="A289" s="17">
        <v>43307</v>
      </c>
      <c r="B289" t="s">
        <v>95</v>
      </c>
      <c r="C289" t="s">
        <v>104</v>
      </c>
      <c r="D289">
        <v>8</v>
      </c>
      <c r="E289">
        <v>80</v>
      </c>
      <c r="F289">
        <v>0.02</v>
      </c>
      <c r="G289" t="s">
        <v>112</v>
      </c>
    </row>
    <row r="290" spans="1:7" x14ac:dyDescent="0.25">
      <c r="A290" s="17">
        <v>43307</v>
      </c>
      <c r="B290" t="s">
        <v>108</v>
      </c>
      <c r="C290" t="s">
        <v>99</v>
      </c>
      <c r="D290">
        <v>4</v>
      </c>
      <c r="E290">
        <v>16</v>
      </c>
      <c r="F290">
        <v>0.09</v>
      </c>
      <c r="G290" t="s">
        <v>113</v>
      </c>
    </row>
    <row r="291" spans="1:7" x14ac:dyDescent="0.25">
      <c r="A291" s="17">
        <v>43307</v>
      </c>
      <c r="B291" t="s">
        <v>98</v>
      </c>
      <c r="C291" t="s">
        <v>106</v>
      </c>
      <c r="D291">
        <v>11</v>
      </c>
      <c r="E291">
        <v>40</v>
      </c>
      <c r="F291">
        <v>0.09</v>
      </c>
      <c r="G291" t="s">
        <v>114</v>
      </c>
    </row>
    <row r="292" spans="1:7" x14ac:dyDescent="0.25">
      <c r="A292" s="17">
        <v>43307</v>
      </c>
      <c r="B292" t="s">
        <v>101</v>
      </c>
      <c r="C292" t="s">
        <v>104</v>
      </c>
      <c r="D292">
        <v>18</v>
      </c>
      <c r="E292">
        <v>230</v>
      </c>
      <c r="F292">
        <v>0.01</v>
      </c>
      <c r="G292" t="s">
        <v>115</v>
      </c>
    </row>
    <row r="293" spans="1:7" x14ac:dyDescent="0.25">
      <c r="A293" s="17">
        <v>43308</v>
      </c>
      <c r="B293" t="s">
        <v>101</v>
      </c>
      <c r="C293" t="s">
        <v>99</v>
      </c>
      <c r="D293">
        <v>11</v>
      </c>
      <c r="E293">
        <v>230</v>
      </c>
      <c r="F293">
        <v>0.1</v>
      </c>
      <c r="G293" t="s">
        <v>116</v>
      </c>
    </row>
    <row r="294" spans="1:7" x14ac:dyDescent="0.25">
      <c r="A294" s="17">
        <v>43308</v>
      </c>
      <c r="B294" t="s">
        <v>101</v>
      </c>
      <c r="C294" t="s">
        <v>96</v>
      </c>
      <c r="D294">
        <v>15</v>
      </c>
      <c r="E294">
        <v>230</v>
      </c>
      <c r="F294">
        <v>0.05</v>
      </c>
      <c r="G294" t="s">
        <v>97</v>
      </c>
    </row>
    <row r="295" spans="1:7" x14ac:dyDescent="0.25">
      <c r="A295" s="17">
        <v>43308</v>
      </c>
      <c r="B295" t="s">
        <v>98</v>
      </c>
      <c r="C295" t="s">
        <v>109</v>
      </c>
      <c r="D295">
        <v>7</v>
      </c>
      <c r="E295">
        <v>40</v>
      </c>
      <c r="F295">
        <v>0.04</v>
      </c>
      <c r="G295" t="s">
        <v>100</v>
      </c>
    </row>
    <row r="296" spans="1:7" x14ac:dyDescent="0.25">
      <c r="A296" s="17">
        <v>43308</v>
      </c>
      <c r="B296" t="s">
        <v>111</v>
      </c>
      <c r="C296" t="s">
        <v>104</v>
      </c>
      <c r="D296">
        <v>20</v>
      </c>
      <c r="E296">
        <v>150</v>
      </c>
      <c r="F296">
        <v>0.12</v>
      </c>
      <c r="G296" t="s">
        <v>102</v>
      </c>
    </row>
    <row r="297" spans="1:7" x14ac:dyDescent="0.25">
      <c r="A297" s="17">
        <v>43308</v>
      </c>
      <c r="B297" t="s">
        <v>95</v>
      </c>
      <c r="C297" t="s">
        <v>104</v>
      </c>
      <c r="D297">
        <v>5</v>
      </c>
      <c r="E297">
        <v>80</v>
      </c>
      <c r="F297">
        <v>0.09</v>
      </c>
      <c r="G297" t="s">
        <v>103</v>
      </c>
    </row>
    <row r="298" spans="1:7" x14ac:dyDescent="0.25">
      <c r="A298" s="17">
        <v>43308</v>
      </c>
      <c r="B298" t="s">
        <v>95</v>
      </c>
      <c r="C298" t="s">
        <v>106</v>
      </c>
      <c r="D298">
        <v>14</v>
      </c>
      <c r="E298">
        <v>80</v>
      </c>
      <c r="F298">
        <v>0.05</v>
      </c>
      <c r="G298" t="s">
        <v>105</v>
      </c>
    </row>
    <row r="299" spans="1:7" x14ac:dyDescent="0.25">
      <c r="A299" s="17">
        <v>43308</v>
      </c>
      <c r="B299" t="s">
        <v>101</v>
      </c>
      <c r="C299" t="s">
        <v>106</v>
      </c>
      <c r="D299">
        <v>7</v>
      </c>
      <c r="E299">
        <v>230</v>
      </c>
      <c r="F299">
        <v>0.06</v>
      </c>
      <c r="G299" t="s">
        <v>107</v>
      </c>
    </row>
    <row r="300" spans="1:7" x14ac:dyDescent="0.25">
      <c r="A300" s="17">
        <v>43308</v>
      </c>
      <c r="B300" t="s">
        <v>98</v>
      </c>
      <c r="C300" t="s">
        <v>106</v>
      </c>
      <c r="D300">
        <v>13</v>
      </c>
      <c r="E300">
        <v>40</v>
      </c>
      <c r="F300">
        <v>0.06</v>
      </c>
      <c r="G300" t="s">
        <v>110</v>
      </c>
    </row>
    <row r="301" spans="1:7" x14ac:dyDescent="0.25">
      <c r="A301" s="17">
        <v>43309</v>
      </c>
      <c r="B301" t="s">
        <v>108</v>
      </c>
      <c r="C301" t="s">
        <v>99</v>
      </c>
      <c r="D301">
        <v>15</v>
      </c>
      <c r="E301">
        <v>16</v>
      </c>
      <c r="F301">
        <v>0.02</v>
      </c>
      <c r="G301" t="s">
        <v>112</v>
      </c>
    </row>
    <row r="302" spans="1:7" x14ac:dyDescent="0.25">
      <c r="A302" s="17">
        <v>43309</v>
      </c>
      <c r="B302" t="s">
        <v>108</v>
      </c>
      <c r="C302" t="s">
        <v>106</v>
      </c>
      <c r="D302">
        <v>5</v>
      </c>
      <c r="E302">
        <v>16</v>
      </c>
      <c r="F302">
        <v>0.09</v>
      </c>
      <c r="G302" t="s">
        <v>113</v>
      </c>
    </row>
    <row r="303" spans="1:7" x14ac:dyDescent="0.25">
      <c r="A303" s="17">
        <v>43309</v>
      </c>
      <c r="B303" t="s">
        <v>108</v>
      </c>
      <c r="C303" t="s">
        <v>96</v>
      </c>
      <c r="D303">
        <v>22</v>
      </c>
      <c r="E303">
        <v>16</v>
      </c>
      <c r="F303">
        <v>0.06</v>
      </c>
      <c r="G303" t="s">
        <v>114</v>
      </c>
    </row>
    <row r="304" spans="1:7" x14ac:dyDescent="0.25">
      <c r="A304" s="17">
        <v>43309</v>
      </c>
      <c r="B304" t="s">
        <v>111</v>
      </c>
      <c r="C304" t="s">
        <v>104</v>
      </c>
      <c r="D304">
        <v>15</v>
      </c>
      <c r="E304">
        <v>150</v>
      </c>
      <c r="F304">
        <v>0.05</v>
      </c>
      <c r="G304" t="s">
        <v>115</v>
      </c>
    </row>
    <row r="305" spans="1:7" x14ac:dyDescent="0.25">
      <c r="A305" s="17">
        <v>43309</v>
      </c>
      <c r="B305" t="s">
        <v>101</v>
      </c>
      <c r="C305" t="s">
        <v>104</v>
      </c>
      <c r="D305">
        <v>5</v>
      </c>
      <c r="E305">
        <v>230</v>
      </c>
      <c r="F305">
        <v>0.01</v>
      </c>
      <c r="G305" t="s">
        <v>116</v>
      </c>
    </row>
    <row r="306" spans="1:7" x14ac:dyDescent="0.25">
      <c r="A306" s="17">
        <v>43309</v>
      </c>
      <c r="B306" t="s">
        <v>98</v>
      </c>
      <c r="C306" t="s">
        <v>96</v>
      </c>
      <c r="D306">
        <v>11</v>
      </c>
      <c r="E306">
        <v>40</v>
      </c>
      <c r="F306">
        <v>0.04</v>
      </c>
      <c r="G306" t="s">
        <v>97</v>
      </c>
    </row>
    <row r="307" spans="1:7" x14ac:dyDescent="0.25">
      <c r="A307" s="17">
        <v>43309</v>
      </c>
      <c r="B307" t="s">
        <v>111</v>
      </c>
      <c r="C307" t="s">
        <v>99</v>
      </c>
      <c r="D307">
        <v>13</v>
      </c>
      <c r="E307">
        <v>150</v>
      </c>
      <c r="F307">
        <v>0.08</v>
      </c>
      <c r="G307" t="s">
        <v>100</v>
      </c>
    </row>
    <row r="308" spans="1:7" x14ac:dyDescent="0.25">
      <c r="A308" s="17">
        <v>43309</v>
      </c>
      <c r="B308" t="s">
        <v>108</v>
      </c>
      <c r="C308" t="s">
        <v>109</v>
      </c>
      <c r="D308">
        <v>13</v>
      </c>
      <c r="E308">
        <v>16</v>
      </c>
      <c r="F308">
        <v>7.0000000000000007E-2</v>
      </c>
      <c r="G308" t="s">
        <v>102</v>
      </c>
    </row>
    <row r="309" spans="1:7" x14ac:dyDescent="0.25">
      <c r="A309" s="17">
        <v>43309</v>
      </c>
      <c r="B309" t="s">
        <v>108</v>
      </c>
      <c r="C309" t="s">
        <v>109</v>
      </c>
      <c r="D309">
        <v>3</v>
      </c>
      <c r="E309">
        <v>16</v>
      </c>
      <c r="F309">
        <v>0.03</v>
      </c>
      <c r="G309" t="s">
        <v>103</v>
      </c>
    </row>
    <row r="310" spans="1:7" x14ac:dyDescent="0.25">
      <c r="A310" s="17">
        <v>43310</v>
      </c>
      <c r="B310" t="s">
        <v>111</v>
      </c>
      <c r="C310" t="s">
        <v>99</v>
      </c>
      <c r="D310">
        <v>2</v>
      </c>
      <c r="E310">
        <v>150</v>
      </c>
      <c r="F310">
        <v>0.09</v>
      </c>
      <c r="G310" t="s">
        <v>105</v>
      </c>
    </row>
    <row r="311" spans="1:7" x14ac:dyDescent="0.25">
      <c r="A311" s="17">
        <v>43310</v>
      </c>
      <c r="B311" t="s">
        <v>101</v>
      </c>
      <c r="C311" t="s">
        <v>104</v>
      </c>
      <c r="D311">
        <v>14</v>
      </c>
      <c r="E311">
        <v>230</v>
      </c>
      <c r="F311">
        <v>0.03</v>
      </c>
      <c r="G311" t="s">
        <v>107</v>
      </c>
    </row>
    <row r="312" spans="1:7" x14ac:dyDescent="0.25">
      <c r="A312" s="17">
        <v>43310</v>
      </c>
      <c r="B312" t="s">
        <v>98</v>
      </c>
      <c r="C312" t="s">
        <v>104</v>
      </c>
      <c r="D312">
        <v>11</v>
      </c>
      <c r="E312">
        <v>40</v>
      </c>
      <c r="F312">
        <v>0.12</v>
      </c>
      <c r="G312" t="s">
        <v>110</v>
      </c>
    </row>
    <row r="313" spans="1:7" x14ac:dyDescent="0.25">
      <c r="A313" s="17">
        <v>43310</v>
      </c>
      <c r="B313" t="s">
        <v>108</v>
      </c>
      <c r="C313" t="s">
        <v>109</v>
      </c>
      <c r="D313">
        <v>3</v>
      </c>
      <c r="E313">
        <v>16</v>
      </c>
      <c r="F313">
        <v>0.06</v>
      </c>
      <c r="G313" t="s">
        <v>112</v>
      </c>
    </row>
    <row r="314" spans="1:7" x14ac:dyDescent="0.25">
      <c r="A314" s="17">
        <v>43310</v>
      </c>
      <c r="B314" t="s">
        <v>98</v>
      </c>
      <c r="C314" t="s">
        <v>109</v>
      </c>
      <c r="D314">
        <v>18</v>
      </c>
      <c r="E314">
        <v>40</v>
      </c>
      <c r="F314">
        <v>0.06</v>
      </c>
      <c r="G314" t="s">
        <v>113</v>
      </c>
    </row>
    <row r="315" spans="1:7" x14ac:dyDescent="0.25">
      <c r="A315" s="17">
        <v>43310</v>
      </c>
      <c r="B315" t="s">
        <v>101</v>
      </c>
      <c r="C315" t="s">
        <v>109</v>
      </c>
      <c r="D315">
        <v>7</v>
      </c>
      <c r="E315">
        <v>230</v>
      </c>
      <c r="F315">
        <v>0.05</v>
      </c>
      <c r="G315" t="s">
        <v>114</v>
      </c>
    </row>
    <row r="316" spans="1:7" x14ac:dyDescent="0.25">
      <c r="A316" s="17">
        <v>43310</v>
      </c>
      <c r="B316" t="s">
        <v>98</v>
      </c>
      <c r="C316" t="s">
        <v>109</v>
      </c>
      <c r="D316">
        <v>23</v>
      </c>
      <c r="E316">
        <v>40</v>
      </c>
      <c r="F316">
        <v>0.05</v>
      </c>
      <c r="G316" t="s">
        <v>115</v>
      </c>
    </row>
    <row r="317" spans="1:7" x14ac:dyDescent="0.25">
      <c r="A317" s="17">
        <v>43311</v>
      </c>
      <c r="B317" t="s">
        <v>101</v>
      </c>
      <c r="C317" t="s">
        <v>109</v>
      </c>
      <c r="D317">
        <v>2</v>
      </c>
      <c r="E317">
        <v>230</v>
      </c>
      <c r="F317">
        <v>0.08</v>
      </c>
      <c r="G317" t="s">
        <v>116</v>
      </c>
    </row>
    <row r="318" spans="1:7" x14ac:dyDescent="0.25">
      <c r="A318" s="17">
        <v>43311</v>
      </c>
      <c r="B318" t="s">
        <v>98</v>
      </c>
      <c r="C318" t="s">
        <v>106</v>
      </c>
      <c r="D318">
        <v>18</v>
      </c>
      <c r="E318">
        <v>40</v>
      </c>
      <c r="F318">
        <v>0.04</v>
      </c>
      <c r="G318" t="s">
        <v>97</v>
      </c>
    </row>
    <row r="319" spans="1:7" x14ac:dyDescent="0.25">
      <c r="A319" s="17">
        <v>43311</v>
      </c>
      <c r="B319" t="s">
        <v>101</v>
      </c>
      <c r="C319" t="s">
        <v>99</v>
      </c>
      <c r="D319">
        <v>7</v>
      </c>
      <c r="E319">
        <v>230</v>
      </c>
      <c r="F319">
        <v>0.05</v>
      </c>
      <c r="G319" t="s">
        <v>100</v>
      </c>
    </row>
    <row r="320" spans="1:7" x14ac:dyDescent="0.25">
      <c r="A320" s="17">
        <v>43311</v>
      </c>
      <c r="B320" t="s">
        <v>98</v>
      </c>
      <c r="C320" t="s">
        <v>109</v>
      </c>
      <c r="D320">
        <v>14</v>
      </c>
      <c r="E320">
        <v>40</v>
      </c>
      <c r="F320">
        <v>0.11</v>
      </c>
      <c r="G320" t="s">
        <v>102</v>
      </c>
    </row>
    <row r="321" spans="1:7" x14ac:dyDescent="0.25">
      <c r="A321" s="17">
        <v>43311</v>
      </c>
      <c r="B321" t="s">
        <v>111</v>
      </c>
      <c r="C321" t="s">
        <v>99</v>
      </c>
      <c r="D321">
        <v>13</v>
      </c>
      <c r="E321">
        <v>150</v>
      </c>
      <c r="F321">
        <v>0.02</v>
      </c>
      <c r="G321" t="s">
        <v>103</v>
      </c>
    </row>
    <row r="322" spans="1:7" x14ac:dyDescent="0.25">
      <c r="A322" s="17">
        <v>43311</v>
      </c>
      <c r="B322" t="s">
        <v>95</v>
      </c>
      <c r="C322" t="s">
        <v>96</v>
      </c>
      <c r="D322">
        <v>12</v>
      </c>
      <c r="E322">
        <v>80</v>
      </c>
      <c r="F322">
        <v>0.04</v>
      </c>
      <c r="G322" t="s">
        <v>105</v>
      </c>
    </row>
    <row r="323" spans="1:7" x14ac:dyDescent="0.25">
      <c r="A323" s="17">
        <v>43311</v>
      </c>
      <c r="B323" t="s">
        <v>101</v>
      </c>
      <c r="C323" t="s">
        <v>109</v>
      </c>
      <c r="D323">
        <v>20</v>
      </c>
      <c r="E323">
        <v>230</v>
      </c>
      <c r="F323">
        <v>0.09</v>
      </c>
      <c r="G323" t="s">
        <v>107</v>
      </c>
    </row>
    <row r="324" spans="1:7" x14ac:dyDescent="0.25">
      <c r="A324" s="17">
        <v>43311</v>
      </c>
      <c r="B324" t="s">
        <v>98</v>
      </c>
      <c r="C324" t="s">
        <v>109</v>
      </c>
      <c r="D324">
        <v>5</v>
      </c>
      <c r="E324">
        <v>40</v>
      </c>
      <c r="F324">
        <v>0.03</v>
      </c>
      <c r="G324" t="s">
        <v>110</v>
      </c>
    </row>
    <row r="325" spans="1:7" x14ac:dyDescent="0.25">
      <c r="A325" s="17">
        <v>43311</v>
      </c>
      <c r="B325" t="s">
        <v>108</v>
      </c>
      <c r="C325" t="s">
        <v>109</v>
      </c>
      <c r="D325">
        <v>2</v>
      </c>
      <c r="E325">
        <v>16</v>
      </c>
      <c r="F325">
        <v>0.04</v>
      </c>
      <c r="G325" t="s">
        <v>112</v>
      </c>
    </row>
    <row r="326" spans="1:7" x14ac:dyDescent="0.25">
      <c r="A326" s="17">
        <v>43282</v>
      </c>
      <c r="B326" t="s">
        <v>95</v>
      </c>
      <c r="C326" t="s">
        <v>104</v>
      </c>
      <c r="D326">
        <v>10</v>
      </c>
      <c r="E326">
        <v>80</v>
      </c>
      <c r="F326">
        <v>0.08</v>
      </c>
      <c r="G326" t="s">
        <v>113</v>
      </c>
    </row>
    <row r="327" spans="1:7" x14ac:dyDescent="0.25">
      <c r="A327" s="17">
        <v>43282</v>
      </c>
      <c r="B327" t="s">
        <v>98</v>
      </c>
      <c r="C327" t="s">
        <v>106</v>
      </c>
      <c r="D327">
        <v>18</v>
      </c>
      <c r="E327">
        <v>40</v>
      </c>
      <c r="F327">
        <v>0.06</v>
      </c>
      <c r="G327" t="s">
        <v>114</v>
      </c>
    </row>
    <row r="328" spans="1:7" x14ac:dyDescent="0.25">
      <c r="A328" s="17">
        <v>43282</v>
      </c>
      <c r="B328" t="s">
        <v>101</v>
      </c>
      <c r="C328" t="s">
        <v>99</v>
      </c>
      <c r="D328">
        <v>7</v>
      </c>
      <c r="E328">
        <v>230</v>
      </c>
      <c r="F328">
        <v>0.08</v>
      </c>
      <c r="G328" t="s">
        <v>115</v>
      </c>
    </row>
    <row r="329" spans="1:7" x14ac:dyDescent="0.25">
      <c r="A329" s="17">
        <v>43282</v>
      </c>
      <c r="B329" t="s">
        <v>98</v>
      </c>
      <c r="C329" t="s">
        <v>106</v>
      </c>
      <c r="D329">
        <v>15</v>
      </c>
      <c r="E329">
        <v>40</v>
      </c>
      <c r="F329">
        <v>0.03</v>
      </c>
      <c r="G329" t="s">
        <v>116</v>
      </c>
    </row>
    <row r="330" spans="1:7" x14ac:dyDescent="0.25">
      <c r="A330" s="17">
        <v>43282</v>
      </c>
      <c r="B330" t="s">
        <v>108</v>
      </c>
      <c r="C330" t="s">
        <v>104</v>
      </c>
      <c r="D330">
        <v>6</v>
      </c>
      <c r="E330">
        <v>16</v>
      </c>
      <c r="F330">
        <v>0.01</v>
      </c>
      <c r="G330" t="s">
        <v>97</v>
      </c>
    </row>
    <row r="331" spans="1:7" x14ac:dyDescent="0.25">
      <c r="A331" s="17">
        <v>43282</v>
      </c>
      <c r="B331" t="s">
        <v>111</v>
      </c>
      <c r="C331" t="s">
        <v>106</v>
      </c>
      <c r="D331">
        <v>9</v>
      </c>
      <c r="E331">
        <v>150</v>
      </c>
      <c r="F331">
        <v>0.02</v>
      </c>
      <c r="G331" t="s">
        <v>100</v>
      </c>
    </row>
    <row r="332" spans="1:7" x14ac:dyDescent="0.25">
      <c r="A332" s="17">
        <v>43282</v>
      </c>
      <c r="B332" t="s">
        <v>108</v>
      </c>
      <c r="C332" t="s">
        <v>109</v>
      </c>
      <c r="D332">
        <v>15</v>
      </c>
      <c r="E332">
        <v>16</v>
      </c>
      <c r="F332">
        <v>0.01</v>
      </c>
      <c r="G332" t="s">
        <v>102</v>
      </c>
    </row>
    <row r="333" spans="1:7" x14ac:dyDescent="0.25">
      <c r="A333" s="17">
        <v>43282</v>
      </c>
      <c r="B333" t="s">
        <v>95</v>
      </c>
      <c r="C333" t="s">
        <v>109</v>
      </c>
      <c r="D333">
        <v>22</v>
      </c>
      <c r="E333">
        <v>80</v>
      </c>
      <c r="F333">
        <v>0.11</v>
      </c>
      <c r="G333" t="s">
        <v>103</v>
      </c>
    </row>
    <row r="334" spans="1:7" x14ac:dyDescent="0.25">
      <c r="A334" s="17">
        <v>43282</v>
      </c>
      <c r="B334" t="s">
        <v>111</v>
      </c>
      <c r="C334" t="s">
        <v>99</v>
      </c>
      <c r="D334">
        <v>13</v>
      </c>
      <c r="E334">
        <v>150</v>
      </c>
      <c r="F334">
        <v>0.02</v>
      </c>
      <c r="G334" t="s">
        <v>105</v>
      </c>
    </row>
    <row r="335" spans="1:7" x14ac:dyDescent="0.25">
      <c r="A335" s="17">
        <v>43283</v>
      </c>
      <c r="B335" t="s">
        <v>108</v>
      </c>
      <c r="C335" t="s">
        <v>104</v>
      </c>
      <c r="D335">
        <v>12</v>
      </c>
      <c r="E335">
        <v>16</v>
      </c>
      <c r="F335">
        <v>0.03</v>
      </c>
      <c r="G335" t="s">
        <v>107</v>
      </c>
    </row>
    <row r="336" spans="1:7" x14ac:dyDescent="0.25">
      <c r="A336" s="17">
        <v>43283</v>
      </c>
      <c r="B336" t="s">
        <v>98</v>
      </c>
      <c r="C336" t="s">
        <v>106</v>
      </c>
      <c r="D336">
        <v>4</v>
      </c>
      <c r="E336">
        <v>40</v>
      </c>
      <c r="F336">
        <v>0.05</v>
      </c>
      <c r="G336" t="s">
        <v>110</v>
      </c>
    </row>
    <row r="337" spans="1:7" x14ac:dyDescent="0.25">
      <c r="A337" s="17">
        <v>43283</v>
      </c>
      <c r="B337" t="s">
        <v>101</v>
      </c>
      <c r="C337" t="s">
        <v>99</v>
      </c>
      <c r="D337">
        <v>19</v>
      </c>
      <c r="E337">
        <v>230</v>
      </c>
      <c r="F337">
        <v>0.11</v>
      </c>
      <c r="G337" t="s">
        <v>112</v>
      </c>
    </row>
    <row r="338" spans="1:7" x14ac:dyDescent="0.25">
      <c r="A338" s="17">
        <v>43283</v>
      </c>
      <c r="B338" t="s">
        <v>98</v>
      </c>
      <c r="C338" t="s">
        <v>99</v>
      </c>
      <c r="D338">
        <v>4</v>
      </c>
      <c r="E338">
        <v>40</v>
      </c>
      <c r="F338">
        <v>0.06</v>
      </c>
      <c r="G338" t="s">
        <v>113</v>
      </c>
    </row>
    <row r="339" spans="1:7" x14ac:dyDescent="0.25">
      <c r="A339" s="17">
        <v>43283</v>
      </c>
      <c r="B339" t="s">
        <v>108</v>
      </c>
      <c r="C339" t="s">
        <v>104</v>
      </c>
      <c r="D339">
        <v>6</v>
      </c>
      <c r="E339">
        <v>16</v>
      </c>
      <c r="F339">
        <v>7.0000000000000007E-2</v>
      </c>
      <c r="G339" t="s">
        <v>114</v>
      </c>
    </row>
    <row r="340" spans="1:7" x14ac:dyDescent="0.25">
      <c r="A340" s="17">
        <v>43283</v>
      </c>
      <c r="B340" t="s">
        <v>101</v>
      </c>
      <c r="C340" t="s">
        <v>104</v>
      </c>
      <c r="D340">
        <v>15</v>
      </c>
      <c r="E340">
        <v>230</v>
      </c>
      <c r="F340">
        <v>0.11</v>
      </c>
      <c r="G340" t="s">
        <v>115</v>
      </c>
    </row>
    <row r="341" spans="1:7" x14ac:dyDescent="0.25">
      <c r="A341" s="17">
        <v>43283</v>
      </c>
      <c r="B341" t="s">
        <v>95</v>
      </c>
      <c r="C341" t="s">
        <v>104</v>
      </c>
      <c r="D341">
        <v>16</v>
      </c>
      <c r="E341">
        <v>80</v>
      </c>
      <c r="F341">
        <v>0.04</v>
      </c>
      <c r="G341" t="s">
        <v>116</v>
      </c>
    </row>
    <row r="342" spans="1:7" x14ac:dyDescent="0.25">
      <c r="A342" s="17">
        <v>43283</v>
      </c>
      <c r="B342" t="s">
        <v>98</v>
      </c>
      <c r="C342" t="s">
        <v>96</v>
      </c>
      <c r="D342">
        <v>7</v>
      </c>
      <c r="E342">
        <v>40</v>
      </c>
      <c r="F342">
        <v>0.1</v>
      </c>
      <c r="G342" t="s">
        <v>97</v>
      </c>
    </row>
    <row r="343" spans="1:7" x14ac:dyDescent="0.25">
      <c r="A343" s="17">
        <v>43283</v>
      </c>
      <c r="B343" t="s">
        <v>98</v>
      </c>
      <c r="C343" t="s">
        <v>104</v>
      </c>
      <c r="D343">
        <v>11</v>
      </c>
      <c r="E343">
        <v>40</v>
      </c>
      <c r="F343">
        <v>0.05</v>
      </c>
      <c r="G343" t="s">
        <v>100</v>
      </c>
    </row>
    <row r="344" spans="1:7" x14ac:dyDescent="0.25">
      <c r="A344" s="17">
        <v>43283</v>
      </c>
      <c r="B344" t="s">
        <v>95</v>
      </c>
      <c r="C344" t="s">
        <v>109</v>
      </c>
      <c r="D344">
        <v>9</v>
      </c>
      <c r="E344">
        <v>80</v>
      </c>
      <c r="F344">
        <v>0.06</v>
      </c>
      <c r="G344" t="s">
        <v>102</v>
      </c>
    </row>
    <row r="345" spans="1:7" x14ac:dyDescent="0.25">
      <c r="A345" s="17">
        <v>43283</v>
      </c>
      <c r="B345" t="s">
        <v>95</v>
      </c>
      <c r="C345" t="s">
        <v>99</v>
      </c>
      <c r="D345">
        <v>21</v>
      </c>
      <c r="E345">
        <v>80</v>
      </c>
      <c r="F345">
        <v>0.04</v>
      </c>
      <c r="G345" t="s">
        <v>103</v>
      </c>
    </row>
    <row r="346" spans="1:7" x14ac:dyDescent="0.25">
      <c r="A346" s="17">
        <v>43283</v>
      </c>
      <c r="B346" t="s">
        <v>98</v>
      </c>
      <c r="C346" t="s">
        <v>104</v>
      </c>
      <c r="D346">
        <v>2</v>
      </c>
      <c r="E346">
        <v>40</v>
      </c>
      <c r="F346">
        <v>0.03</v>
      </c>
      <c r="G346" t="s">
        <v>105</v>
      </c>
    </row>
    <row r="347" spans="1:7" x14ac:dyDescent="0.25">
      <c r="A347" s="17">
        <v>43284</v>
      </c>
      <c r="B347" t="s">
        <v>108</v>
      </c>
      <c r="C347" t="s">
        <v>104</v>
      </c>
      <c r="D347">
        <v>17</v>
      </c>
      <c r="E347">
        <v>16</v>
      </c>
      <c r="F347">
        <v>0.05</v>
      </c>
      <c r="G347" t="s">
        <v>107</v>
      </c>
    </row>
    <row r="348" spans="1:7" x14ac:dyDescent="0.25">
      <c r="A348" s="17">
        <v>43284</v>
      </c>
      <c r="B348" t="s">
        <v>98</v>
      </c>
      <c r="C348" t="s">
        <v>96</v>
      </c>
      <c r="D348">
        <v>18</v>
      </c>
      <c r="E348">
        <v>40</v>
      </c>
      <c r="F348">
        <v>0.06</v>
      </c>
      <c r="G348" t="s">
        <v>110</v>
      </c>
    </row>
    <row r="349" spans="1:7" x14ac:dyDescent="0.25">
      <c r="A349" s="17">
        <v>43284</v>
      </c>
      <c r="B349" t="s">
        <v>98</v>
      </c>
      <c r="C349" t="s">
        <v>96</v>
      </c>
      <c r="D349">
        <v>9</v>
      </c>
      <c r="E349">
        <v>40</v>
      </c>
      <c r="F349">
        <v>0.01</v>
      </c>
      <c r="G349" t="s">
        <v>112</v>
      </c>
    </row>
    <row r="350" spans="1:7" x14ac:dyDescent="0.25">
      <c r="A350" s="17">
        <v>43284</v>
      </c>
      <c r="B350" t="s">
        <v>98</v>
      </c>
      <c r="C350" t="s">
        <v>99</v>
      </c>
      <c r="D350">
        <v>7</v>
      </c>
      <c r="E350">
        <v>40</v>
      </c>
      <c r="F350">
        <v>0.01</v>
      </c>
      <c r="G350" t="s">
        <v>113</v>
      </c>
    </row>
    <row r="351" spans="1:7" x14ac:dyDescent="0.25">
      <c r="A351" s="17">
        <v>43284</v>
      </c>
      <c r="B351" t="s">
        <v>101</v>
      </c>
      <c r="C351" t="s">
        <v>104</v>
      </c>
      <c r="D351">
        <v>12</v>
      </c>
      <c r="E351">
        <v>230</v>
      </c>
      <c r="F351">
        <v>0.06</v>
      </c>
      <c r="G351" t="s">
        <v>114</v>
      </c>
    </row>
    <row r="352" spans="1:7" x14ac:dyDescent="0.25">
      <c r="A352" s="17">
        <v>43284</v>
      </c>
      <c r="B352" t="s">
        <v>108</v>
      </c>
      <c r="C352" t="s">
        <v>99</v>
      </c>
      <c r="D352">
        <v>22</v>
      </c>
      <c r="E352">
        <v>16</v>
      </c>
      <c r="F352">
        <v>0.04</v>
      </c>
      <c r="G352" t="s">
        <v>97</v>
      </c>
    </row>
    <row r="353" spans="1:7" x14ac:dyDescent="0.25">
      <c r="A353" s="17">
        <v>43285</v>
      </c>
      <c r="B353" t="s">
        <v>111</v>
      </c>
      <c r="C353" t="s">
        <v>96</v>
      </c>
      <c r="D353">
        <v>5</v>
      </c>
      <c r="E353">
        <v>150</v>
      </c>
      <c r="F353">
        <v>0.11</v>
      </c>
      <c r="G353" t="s">
        <v>100</v>
      </c>
    </row>
    <row r="354" spans="1:7" x14ac:dyDescent="0.25">
      <c r="A354" s="17">
        <v>43285</v>
      </c>
      <c r="B354" t="s">
        <v>95</v>
      </c>
      <c r="C354" t="s">
        <v>99</v>
      </c>
      <c r="D354">
        <v>14</v>
      </c>
      <c r="E354">
        <v>80</v>
      </c>
      <c r="F354">
        <v>0.11</v>
      </c>
      <c r="G354" t="s">
        <v>102</v>
      </c>
    </row>
    <row r="355" spans="1:7" x14ac:dyDescent="0.25">
      <c r="A355" s="17">
        <v>43285</v>
      </c>
      <c r="B355" t="s">
        <v>108</v>
      </c>
      <c r="C355" t="s">
        <v>104</v>
      </c>
      <c r="D355">
        <v>8</v>
      </c>
      <c r="E355">
        <v>16</v>
      </c>
      <c r="F355">
        <v>0.03</v>
      </c>
      <c r="G355" t="s">
        <v>103</v>
      </c>
    </row>
    <row r="356" spans="1:7" x14ac:dyDescent="0.25">
      <c r="A356" s="17">
        <v>43285</v>
      </c>
      <c r="B356" t="s">
        <v>101</v>
      </c>
      <c r="C356" t="s">
        <v>104</v>
      </c>
      <c r="D356">
        <v>6</v>
      </c>
      <c r="E356">
        <v>230</v>
      </c>
      <c r="F356">
        <v>0.05</v>
      </c>
      <c r="G356" t="s">
        <v>105</v>
      </c>
    </row>
    <row r="357" spans="1:7" x14ac:dyDescent="0.25">
      <c r="A357" s="17">
        <v>43285</v>
      </c>
      <c r="B357" t="s">
        <v>108</v>
      </c>
      <c r="C357" t="s">
        <v>106</v>
      </c>
      <c r="D357">
        <v>7</v>
      </c>
      <c r="E357">
        <v>16</v>
      </c>
      <c r="F357">
        <v>0.08</v>
      </c>
      <c r="G357" t="s">
        <v>107</v>
      </c>
    </row>
    <row r="358" spans="1:7" x14ac:dyDescent="0.25">
      <c r="A358" s="17">
        <v>43285</v>
      </c>
      <c r="B358" t="s">
        <v>95</v>
      </c>
      <c r="C358" t="s">
        <v>99</v>
      </c>
      <c r="D358">
        <v>16</v>
      </c>
      <c r="E358">
        <v>80</v>
      </c>
      <c r="F358">
        <v>0.04</v>
      </c>
      <c r="G358" t="s">
        <v>110</v>
      </c>
    </row>
    <row r="359" spans="1:7" x14ac:dyDescent="0.25">
      <c r="A359" s="17">
        <v>43285</v>
      </c>
      <c r="B359" t="s">
        <v>111</v>
      </c>
      <c r="C359" t="s">
        <v>96</v>
      </c>
      <c r="D359">
        <v>17</v>
      </c>
      <c r="E359">
        <v>150</v>
      </c>
      <c r="F359">
        <v>0.12</v>
      </c>
      <c r="G359" t="s">
        <v>112</v>
      </c>
    </row>
    <row r="360" spans="1:7" x14ac:dyDescent="0.25">
      <c r="A360" s="17">
        <v>43285</v>
      </c>
      <c r="B360" t="s">
        <v>108</v>
      </c>
      <c r="C360" t="s">
        <v>99</v>
      </c>
      <c r="D360">
        <v>7</v>
      </c>
      <c r="E360">
        <v>16</v>
      </c>
      <c r="F360">
        <v>0.08</v>
      </c>
      <c r="G360" t="s">
        <v>113</v>
      </c>
    </row>
    <row r="361" spans="1:7" x14ac:dyDescent="0.25">
      <c r="A361" s="17">
        <v>43286</v>
      </c>
      <c r="B361" t="s">
        <v>108</v>
      </c>
      <c r="C361" t="s">
        <v>96</v>
      </c>
      <c r="D361">
        <v>21</v>
      </c>
      <c r="E361">
        <v>16</v>
      </c>
      <c r="F361">
        <v>0.09</v>
      </c>
      <c r="G361" t="s">
        <v>114</v>
      </c>
    </row>
    <row r="362" spans="1:7" x14ac:dyDescent="0.25">
      <c r="A362" s="17">
        <v>43286</v>
      </c>
      <c r="B362" t="s">
        <v>108</v>
      </c>
      <c r="C362" t="s">
        <v>104</v>
      </c>
      <c r="D362">
        <v>23</v>
      </c>
      <c r="E362">
        <v>16</v>
      </c>
      <c r="F362">
        <v>0.11</v>
      </c>
      <c r="G362" t="s">
        <v>115</v>
      </c>
    </row>
    <row r="363" spans="1:7" x14ac:dyDescent="0.25">
      <c r="A363" s="17">
        <v>43286</v>
      </c>
      <c r="B363" t="s">
        <v>111</v>
      </c>
      <c r="C363" t="s">
        <v>104</v>
      </c>
      <c r="D363">
        <v>2</v>
      </c>
      <c r="E363">
        <v>150</v>
      </c>
      <c r="F363">
        <v>0.02</v>
      </c>
      <c r="G363" t="s">
        <v>116</v>
      </c>
    </row>
    <row r="364" spans="1:7" x14ac:dyDescent="0.25">
      <c r="A364" s="17">
        <v>43286</v>
      </c>
      <c r="B364" t="s">
        <v>111</v>
      </c>
      <c r="C364" t="s">
        <v>96</v>
      </c>
      <c r="D364">
        <v>22</v>
      </c>
      <c r="E364">
        <v>150</v>
      </c>
      <c r="F364">
        <v>7.0000000000000007E-2</v>
      </c>
      <c r="G364" t="s">
        <v>97</v>
      </c>
    </row>
    <row r="365" spans="1:7" x14ac:dyDescent="0.25">
      <c r="A365" s="17">
        <v>43286</v>
      </c>
      <c r="B365" t="s">
        <v>98</v>
      </c>
      <c r="C365" t="s">
        <v>106</v>
      </c>
      <c r="D365">
        <v>22</v>
      </c>
      <c r="E365">
        <v>40</v>
      </c>
      <c r="F365">
        <v>0.01</v>
      </c>
      <c r="G365" t="s">
        <v>100</v>
      </c>
    </row>
    <row r="366" spans="1:7" x14ac:dyDescent="0.25">
      <c r="A366" s="17">
        <v>43286</v>
      </c>
      <c r="B366" t="s">
        <v>95</v>
      </c>
      <c r="C366" t="s">
        <v>99</v>
      </c>
      <c r="D366">
        <v>10</v>
      </c>
      <c r="E366">
        <v>80</v>
      </c>
      <c r="F366">
        <v>0.11</v>
      </c>
      <c r="G366" t="s">
        <v>102</v>
      </c>
    </row>
    <row r="367" spans="1:7" x14ac:dyDescent="0.25">
      <c r="A367" s="17">
        <v>43286</v>
      </c>
      <c r="B367" t="s">
        <v>95</v>
      </c>
      <c r="C367" t="s">
        <v>109</v>
      </c>
      <c r="D367">
        <v>13</v>
      </c>
      <c r="E367">
        <v>80</v>
      </c>
      <c r="F367">
        <v>0.05</v>
      </c>
      <c r="G367" t="s">
        <v>103</v>
      </c>
    </row>
    <row r="368" spans="1:7" x14ac:dyDescent="0.25">
      <c r="A368" s="17">
        <v>43286</v>
      </c>
      <c r="B368" t="s">
        <v>101</v>
      </c>
      <c r="C368" t="s">
        <v>106</v>
      </c>
      <c r="D368">
        <v>11</v>
      </c>
      <c r="E368">
        <v>230</v>
      </c>
      <c r="F368">
        <v>0.12</v>
      </c>
      <c r="G368" t="s">
        <v>105</v>
      </c>
    </row>
    <row r="369" spans="1:7" x14ac:dyDescent="0.25">
      <c r="A369" s="17">
        <v>43286</v>
      </c>
      <c r="B369" t="s">
        <v>101</v>
      </c>
      <c r="C369" t="s">
        <v>96</v>
      </c>
      <c r="D369">
        <v>9</v>
      </c>
      <c r="E369">
        <v>230</v>
      </c>
      <c r="F369">
        <v>7.0000000000000007E-2</v>
      </c>
      <c r="G369" t="s">
        <v>107</v>
      </c>
    </row>
    <row r="370" spans="1:7" x14ac:dyDescent="0.25">
      <c r="A370" s="17">
        <v>43286</v>
      </c>
      <c r="B370" t="s">
        <v>101</v>
      </c>
      <c r="C370" t="s">
        <v>106</v>
      </c>
      <c r="D370">
        <v>16</v>
      </c>
      <c r="E370">
        <v>230</v>
      </c>
      <c r="F370">
        <v>0.11</v>
      </c>
      <c r="G370" t="s">
        <v>110</v>
      </c>
    </row>
    <row r="371" spans="1:7" x14ac:dyDescent="0.25">
      <c r="A371" s="17">
        <v>43286</v>
      </c>
      <c r="B371" t="s">
        <v>101</v>
      </c>
      <c r="C371" t="s">
        <v>106</v>
      </c>
      <c r="D371">
        <v>18</v>
      </c>
      <c r="E371">
        <v>230</v>
      </c>
      <c r="F371">
        <v>0.01</v>
      </c>
      <c r="G371" t="s">
        <v>112</v>
      </c>
    </row>
    <row r="372" spans="1:7" x14ac:dyDescent="0.25">
      <c r="A372" s="17">
        <v>43286</v>
      </c>
      <c r="B372" t="s">
        <v>108</v>
      </c>
      <c r="C372" t="s">
        <v>99</v>
      </c>
      <c r="D372">
        <v>15</v>
      </c>
      <c r="E372">
        <v>16</v>
      </c>
      <c r="F372">
        <v>0.02</v>
      </c>
      <c r="G372" t="s">
        <v>113</v>
      </c>
    </row>
    <row r="373" spans="1:7" x14ac:dyDescent="0.25">
      <c r="A373" s="17">
        <v>43286</v>
      </c>
      <c r="B373" t="s">
        <v>98</v>
      </c>
      <c r="C373" t="s">
        <v>109</v>
      </c>
      <c r="D373">
        <v>18</v>
      </c>
      <c r="E373">
        <v>40</v>
      </c>
      <c r="F373">
        <v>0.06</v>
      </c>
      <c r="G373" t="s">
        <v>114</v>
      </c>
    </row>
    <row r="374" spans="1:7" x14ac:dyDescent="0.25">
      <c r="A374" s="17">
        <v>43286</v>
      </c>
      <c r="B374" t="s">
        <v>98</v>
      </c>
      <c r="C374" t="s">
        <v>106</v>
      </c>
      <c r="D374">
        <v>18</v>
      </c>
      <c r="E374">
        <v>40</v>
      </c>
      <c r="F374">
        <v>0.04</v>
      </c>
      <c r="G374" t="s">
        <v>115</v>
      </c>
    </row>
    <row r="375" spans="1:7" x14ac:dyDescent="0.25">
      <c r="A375" s="17">
        <v>43286</v>
      </c>
      <c r="B375" t="s">
        <v>108</v>
      </c>
      <c r="C375" t="s">
        <v>106</v>
      </c>
      <c r="D375">
        <v>22</v>
      </c>
      <c r="E375">
        <v>16</v>
      </c>
      <c r="F375">
        <v>0.03</v>
      </c>
      <c r="G375" t="s">
        <v>116</v>
      </c>
    </row>
    <row r="376" spans="1:7" x14ac:dyDescent="0.25">
      <c r="A376" s="17">
        <v>43286</v>
      </c>
      <c r="B376" t="s">
        <v>108</v>
      </c>
      <c r="C376" t="s">
        <v>104</v>
      </c>
      <c r="D376">
        <v>12</v>
      </c>
      <c r="E376">
        <v>16</v>
      </c>
      <c r="F376">
        <v>0.11</v>
      </c>
      <c r="G376" t="s">
        <v>97</v>
      </c>
    </row>
    <row r="377" spans="1:7" x14ac:dyDescent="0.25">
      <c r="A377" s="17">
        <v>43287</v>
      </c>
      <c r="B377" t="s">
        <v>95</v>
      </c>
      <c r="C377" t="s">
        <v>96</v>
      </c>
      <c r="D377">
        <v>20</v>
      </c>
      <c r="E377">
        <v>80</v>
      </c>
      <c r="F377">
        <v>0.01</v>
      </c>
      <c r="G377" t="s">
        <v>100</v>
      </c>
    </row>
    <row r="378" spans="1:7" x14ac:dyDescent="0.25">
      <c r="A378" s="17">
        <v>43287</v>
      </c>
      <c r="B378" t="s">
        <v>101</v>
      </c>
      <c r="C378" t="s">
        <v>104</v>
      </c>
      <c r="D378">
        <v>10</v>
      </c>
      <c r="E378">
        <v>230</v>
      </c>
      <c r="F378">
        <v>0.02</v>
      </c>
      <c r="G378" t="s">
        <v>102</v>
      </c>
    </row>
    <row r="379" spans="1:7" x14ac:dyDescent="0.25">
      <c r="A379" s="17">
        <v>43287</v>
      </c>
      <c r="B379" t="s">
        <v>101</v>
      </c>
      <c r="C379" t="s">
        <v>99</v>
      </c>
      <c r="D379">
        <v>9</v>
      </c>
      <c r="E379">
        <v>230</v>
      </c>
      <c r="F379">
        <v>0.03</v>
      </c>
      <c r="G379" t="s">
        <v>103</v>
      </c>
    </row>
    <row r="380" spans="1:7" x14ac:dyDescent="0.25">
      <c r="A380" s="17">
        <v>43287</v>
      </c>
      <c r="B380" t="s">
        <v>95</v>
      </c>
      <c r="C380" t="s">
        <v>99</v>
      </c>
      <c r="D380">
        <v>17</v>
      </c>
      <c r="E380">
        <v>80</v>
      </c>
      <c r="F380">
        <v>0.03</v>
      </c>
      <c r="G380" t="s">
        <v>105</v>
      </c>
    </row>
    <row r="381" spans="1:7" x14ac:dyDescent="0.25">
      <c r="A381" s="17">
        <v>43287</v>
      </c>
      <c r="B381" t="s">
        <v>98</v>
      </c>
      <c r="C381" t="s">
        <v>109</v>
      </c>
      <c r="D381">
        <v>4</v>
      </c>
      <c r="E381">
        <v>40</v>
      </c>
      <c r="F381">
        <v>0.09</v>
      </c>
      <c r="G381" t="s">
        <v>107</v>
      </c>
    </row>
    <row r="382" spans="1:7" x14ac:dyDescent="0.25">
      <c r="A382" s="17">
        <v>43287</v>
      </c>
      <c r="B382" t="s">
        <v>111</v>
      </c>
      <c r="C382" t="s">
        <v>99</v>
      </c>
      <c r="D382">
        <v>16</v>
      </c>
      <c r="E382">
        <v>150</v>
      </c>
      <c r="F382">
        <v>0.03</v>
      </c>
      <c r="G382" t="s">
        <v>110</v>
      </c>
    </row>
    <row r="383" spans="1:7" x14ac:dyDescent="0.25">
      <c r="A383" s="17">
        <v>43287</v>
      </c>
      <c r="B383" t="s">
        <v>95</v>
      </c>
      <c r="C383" t="s">
        <v>104</v>
      </c>
      <c r="D383">
        <v>8</v>
      </c>
      <c r="E383">
        <v>80</v>
      </c>
      <c r="F383">
        <v>0.02</v>
      </c>
      <c r="G383" t="s">
        <v>112</v>
      </c>
    </row>
    <row r="384" spans="1:7" x14ac:dyDescent="0.25">
      <c r="A384" s="17">
        <v>43287</v>
      </c>
      <c r="B384" t="s">
        <v>98</v>
      </c>
      <c r="C384" t="s">
        <v>106</v>
      </c>
      <c r="D384">
        <v>23</v>
      </c>
      <c r="E384">
        <v>40</v>
      </c>
      <c r="F384">
        <v>0.06</v>
      </c>
      <c r="G384" t="s">
        <v>113</v>
      </c>
    </row>
    <row r="385" spans="1:7" x14ac:dyDescent="0.25">
      <c r="A385" s="17">
        <v>43288</v>
      </c>
      <c r="B385" t="s">
        <v>111</v>
      </c>
      <c r="C385" t="s">
        <v>106</v>
      </c>
      <c r="D385">
        <v>20</v>
      </c>
      <c r="E385">
        <v>150</v>
      </c>
      <c r="F385">
        <v>0.1</v>
      </c>
      <c r="G385" t="s">
        <v>114</v>
      </c>
    </row>
    <row r="386" spans="1:7" x14ac:dyDescent="0.25">
      <c r="A386" s="17">
        <v>43288</v>
      </c>
      <c r="B386" t="s">
        <v>101</v>
      </c>
      <c r="C386" t="s">
        <v>109</v>
      </c>
      <c r="D386">
        <v>22</v>
      </c>
      <c r="E386">
        <v>230</v>
      </c>
      <c r="F386">
        <v>0.1</v>
      </c>
      <c r="G386" t="s">
        <v>115</v>
      </c>
    </row>
    <row r="387" spans="1:7" x14ac:dyDescent="0.25">
      <c r="A387" s="17">
        <v>43288</v>
      </c>
      <c r="B387" t="s">
        <v>101</v>
      </c>
      <c r="C387" t="s">
        <v>99</v>
      </c>
      <c r="D387">
        <v>6</v>
      </c>
      <c r="E387">
        <v>230</v>
      </c>
      <c r="F387">
        <v>0.1</v>
      </c>
      <c r="G387" t="s">
        <v>116</v>
      </c>
    </row>
    <row r="388" spans="1:7" x14ac:dyDescent="0.25">
      <c r="A388" s="17">
        <v>43288</v>
      </c>
      <c r="B388" t="s">
        <v>95</v>
      </c>
      <c r="C388" t="s">
        <v>106</v>
      </c>
      <c r="D388">
        <v>10</v>
      </c>
      <c r="E388">
        <v>80</v>
      </c>
      <c r="F388">
        <v>0.1</v>
      </c>
      <c r="G388" t="s">
        <v>97</v>
      </c>
    </row>
    <row r="389" spans="1:7" x14ac:dyDescent="0.25">
      <c r="A389" s="17">
        <v>43288</v>
      </c>
      <c r="B389" t="s">
        <v>101</v>
      </c>
      <c r="C389" t="s">
        <v>109</v>
      </c>
      <c r="D389">
        <v>21</v>
      </c>
      <c r="E389">
        <v>230</v>
      </c>
      <c r="F389">
        <v>0.05</v>
      </c>
      <c r="G389" t="s">
        <v>100</v>
      </c>
    </row>
    <row r="390" spans="1:7" x14ac:dyDescent="0.25">
      <c r="A390" s="17">
        <v>43288</v>
      </c>
      <c r="B390" t="s">
        <v>101</v>
      </c>
      <c r="C390" t="s">
        <v>96</v>
      </c>
      <c r="D390">
        <v>20</v>
      </c>
      <c r="E390">
        <v>230</v>
      </c>
      <c r="F390">
        <v>0.04</v>
      </c>
      <c r="G390" t="s">
        <v>102</v>
      </c>
    </row>
    <row r="391" spans="1:7" x14ac:dyDescent="0.25">
      <c r="A391" s="17">
        <v>43288</v>
      </c>
      <c r="B391" t="s">
        <v>95</v>
      </c>
      <c r="C391" t="s">
        <v>104</v>
      </c>
      <c r="D391">
        <v>20</v>
      </c>
      <c r="E391">
        <v>80</v>
      </c>
      <c r="F391">
        <v>7.0000000000000007E-2</v>
      </c>
      <c r="G391" t="s">
        <v>103</v>
      </c>
    </row>
    <row r="392" spans="1:7" x14ac:dyDescent="0.25">
      <c r="A392" s="17">
        <v>43288</v>
      </c>
      <c r="B392" t="s">
        <v>95</v>
      </c>
      <c r="C392" t="s">
        <v>104</v>
      </c>
      <c r="D392">
        <v>7</v>
      </c>
      <c r="E392">
        <v>80</v>
      </c>
      <c r="F392">
        <v>0.05</v>
      </c>
      <c r="G392" t="s">
        <v>105</v>
      </c>
    </row>
    <row r="393" spans="1:7" x14ac:dyDescent="0.25">
      <c r="A393" s="17">
        <v>43288</v>
      </c>
      <c r="B393" t="s">
        <v>95</v>
      </c>
      <c r="C393" t="s">
        <v>96</v>
      </c>
      <c r="D393">
        <v>8</v>
      </c>
      <c r="E393">
        <v>80</v>
      </c>
      <c r="F393">
        <v>0.09</v>
      </c>
      <c r="G393" t="s">
        <v>107</v>
      </c>
    </row>
    <row r="394" spans="1:7" x14ac:dyDescent="0.25">
      <c r="A394" s="17">
        <v>43288</v>
      </c>
      <c r="B394" t="s">
        <v>95</v>
      </c>
      <c r="C394" t="s">
        <v>99</v>
      </c>
      <c r="D394">
        <v>3</v>
      </c>
      <c r="E394">
        <v>80</v>
      </c>
      <c r="F394">
        <v>0.02</v>
      </c>
      <c r="G394" t="s">
        <v>110</v>
      </c>
    </row>
    <row r="395" spans="1:7" x14ac:dyDescent="0.25">
      <c r="A395" s="17">
        <v>43288</v>
      </c>
      <c r="B395" t="s">
        <v>95</v>
      </c>
      <c r="C395" t="s">
        <v>106</v>
      </c>
      <c r="D395">
        <v>8</v>
      </c>
      <c r="E395">
        <v>80</v>
      </c>
      <c r="F395">
        <v>0.06</v>
      </c>
      <c r="G395" t="s">
        <v>112</v>
      </c>
    </row>
    <row r="396" spans="1:7" x14ac:dyDescent="0.25">
      <c r="A396" s="17">
        <v>43288</v>
      </c>
      <c r="B396" t="s">
        <v>111</v>
      </c>
      <c r="C396" t="s">
        <v>109</v>
      </c>
      <c r="D396">
        <v>13</v>
      </c>
      <c r="E396">
        <v>150</v>
      </c>
      <c r="F396">
        <v>0.11</v>
      </c>
      <c r="G396" t="s">
        <v>113</v>
      </c>
    </row>
    <row r="397" spans="1:7" x14ac:dyDescent="0.25">
      <c r="A397" s="17">
        <v>43288</v>
      </c>
      <c r="B397" t="s">
        <v>95</v>
      </c>
      <c r="C397" t="s">
        <v>106</v>
      </c>
      <c r="D397">
        <v>15</v>
      </c>
      <c r="E397">
        <v>80</v>
      </c>
      <c r="F397">
        <v>0.08</v>
      </c>
      <c r="G397" t="s">
        <v>114</v>
      </c>
    </row>
    <row r="398" spans="1:7" x14ac:dyDescent="0.25">
      <c r="A398" s="17">
        <v>43288</v>
      </c>
      <c r="B398" t="s">
        <v>111</v>
      </c>
      <c r="C398" t="s">
        <v>109</v>
      </c>
      <c r="D398">
        <v>7</v>
      </c>
      <c r="E398">
        <v>150</v>
      </c>
      <c r="F398">
        <v>0.02</v>
      </c>
      <c r="G398" t="s">
        <v>115</v>
      </c>
    </row>
    <row r="399" spans="1:7" x14ac:dyDescent="0.25">
      <c r="A399" s="17">
        <v>43288</v>
      </c>
      <c r="B399" t="s">
        <v>98</v>
      </c>
      <c r="C399" t="s">
        <v>104</v>
      </c>
      <c r="D399">
        <v>6</v>
      </c>
      <c r="E399">
        <v>40</v>
      </c>
      <c r="F399">
        <v>0.06</v>
      </c>
      <c r="G399" t="s">
        <v>116</v>
      </c>
    </row>
    <row r="400" spans="1:7" x14ac:dyDescent="0.25">
      <c r="A400" s="17">
        <v>43288</v>
      </c>
      <c r="B400" t="s">
        <v>95</v>
      </c>
      <c r="C400" t="s">
        <v>106</v>
      </c>
      <c r="D400">
        <v>23</v>
      </c>
      <c r="E400">
        <v>80</v>
      </c>
      <c r="F400">
        <v>0.11</v>
      </c>
      <c r="G400" t="s">
        <v>97</v>
      </c>
    </row>
    <row r="401" spans="1:7" x14ac:dyDescent="0.25">
      <c r="A401" s="17">
        <v>43288</v>
      </c>
      <c r="B401" t="s">
        <v>101</v>
      </c>
      <c r="C401" t="s">
        <v>104</v>
      </c>
      <c r="D401">
        <v>18</v>
      </c>
      <c r="E401">
        <v>230</v>
      </c>
      <c r="F401">
        <v>0.01</v>
      </c>
      <c r="G401" t="s">
        <v>100</v>
      </c>
    </row>
    <row r="402" spans="1:7" x14ac:dyDescent="0.25">
      <c r="A402" s="17">
        <v>43289</v>
      </c>
      <c r="B402" t="s">
        <v>95</v>
      </c>
      <c r="C402" t="s">
        <v>109</v>
      </c>
      <c r="D402">
        <v>21</v>
      </c>
      <c r="E402">
        <v>80</v>
      </c>
      <c r="F402">
        <v>0.09</v>
      </c>
      <c r="G402" t="s">
        <v>102</v>
      </c>
    </row>
    <row r="403" spans="1:7" x14ac:dyDescent="0.25">
      <c r="A403" s="17">
        <v>43289</v>
      </c>
      <c r="B403" t="s">
        <v>98</v>
      </c>
      <c r="C403" t="s">
        <v>104</v>
      </c>
      <c r="D403">
        <v>13</v>
      </c>
      <c r="E403">
        <v>40</v>
      </c>
      <c r="F403">
        <v>0.02</v>
      </c>
      <c r="G403" t="s">
        <v>103</v>
      </c>
    </row>
    <row r="404" spans="1:7" x14ac:dyDescent="0.25">
      <c r="A404" s="17">
        <v>43289</v>
      </c>
      <c r="B404" t="s">
        <v>95</v>
      </c>
      <c r="C404" t="s">
        <v>104</v>
      </c>
      <c r="D404">
        <v>23</v>
      </c>
      <c r="E404">
        <v>80</v>
      </c>
      <c r="F404">
        <v>0.05</v>
      </c>
      <c r="G404" t="s">
        <v>105</v>
      </c>
    </row>
    <row r="405" spans="1:7" x14ac:dyDescent="0.25">
      <c r="A405" s="17">
        <v>43289</v>
      </c>
      <c r="B405" t="s">
        <v>111</v>
      </c>
      <c r="C405" t="s">
        <v>106</v>
      </c>
      <c r="D405">
        <v>15</v>
      </c>
      <c r="E405">
        <v>150</v>
      </c>
      <c r="F405">
        <v>0.05</v>
      </c>
      <c r="G405" t="s">
        <v>107</v>
      </c>
    </row>
    <row r="406" spans="1:7" x14ac:dyDescent="0.25">
      <c r="A406" s="17">
        <v>43289</v>
      </c>
      <c r="B406" t="s">
        <v>98</v>
      </c>
      <c r="C406" t="s">
        <v>96</v>
      </c>
      <c r="D406">
        <v>5</v>
      </c>
      <c r="E406">
        <v>40</v>
      </c>
      <c r="F406">
        <v>0.09</v>
      </c>
      <c r="G406" t="s">
        <v>110</v>
      </c>
    </row>
    <row r="407" spans="1:7" x14ac:dyDescent="0.25">
      <c r="A407" s="17">
        <v>43289</v>
      </c>
      <c r="B407" t="s">
        <v>108</v>
      </c>
      <c r="C407" t="s">
        <v>106</v>
      </c>
      <c r="D407">
        <v>10</v>
      </c>
      <c r="E407">
        <v>16</v>
      </c>
      <c r="F407">
        <v>0.01</v>
      </c>
      <c r="G407" t="s">
        <v>112</v>
      </c>
    </row>
    <row r="408" spans="1:7" x14ac:dyDescent="0.25">
      <c r="A408" s="17">
        <v>43289</v>
      </c>
      <c r="B408" t="s">
        <v>101</v>
      </c>
      <c r="C408" t="s">
        <v>104</v>
      </c>
      <c r="D408">
        <v>2</v>
      </c>
      <c r="E408">
        <v>230</v>
      </c>
      <c r="F408">
        <v>0.09</v>
      </c>
      <c r="G408" t="s">
        <v>113</v>
      </c>
    </row>
    <row r="409" spans="1:7" x14ac:dyDescent="0.25">
      <c r="A409" s="17">
        <v>43289</v>
      </c>
      <c r="B409" t="s">
        <v>95</v>
      </c>
      <c r="C409" t="s">
        <v>106</v>
      </c>
      <c r="D409">
        <v>7</v>
      </c>
      <c r="E409">
        <v>80</v>
      </c>
      <c r="F409">
        <v>0.02</v>
      </c>
      <c r="G409" t="s">
        <v>114</v>
      </c>
    </row>
    <row r="410" spans="1:7" x14ac:dyDescent="0.25">
      <c r="A410" s="17">
        <v>43289</v>
      </c>
      <c r="B410" t="s">
        <v>111</v>
      </c>
      <c r="C410" t="s">
        <v>106</v>
      </c>
      <c r="D410">
        <v>22</v>
      </c>
      <c r="E410">
        <v>150</v>
      </c>
      <c r="F410">
        <v>0.05</v>
      </c>
      <c r="G410" t="s">
        <v>115</v>
      </c>
    </row>
    <row r="411" spans="1:7" x14ac:dyDescent="0.25">
      <c r="A411" s="17">
        <v>43289</v>
      </c>
      <c r="B411" t="s">
        <v>98</v>
      </c>
      <c r="C411" t="s">
        <v>109</v>
      </c>
      <c r="D411">
        <v>17</v>
      </c>
      <c r="E411">
        <v>40</v>
      </c>
      <c r="F411">
        <v>0.02</v>
      </c>
      <c r="G411" t="s">
        <v>116</v>
      </c>
    </row>
    <row r="412" spans="1:7" x14ac:dyDescent="0.25">
      <c r="A412" s="17">
        <v>43289</v>
      </c>
      <c r="B412" t="s">
        <v>108</v>
      </c>
      <c r="C412" t="s">
        <v>96</v>
      </c>
      <c r="D412">
        <v>22</v>
      </c>
      <c r="E412">
        <v>16</v>
      </c>
      <c r="F412">
        <v>0.06</v>
      </c>
      <c r="G412" t="s">
        <v>97</v>
      </c>
    </row>
    <row r="413" spans="1:7" x14ac:dyDescent="0.25">
      <c r="A413" s="17">
        <v>43289</v>
      </c>
      <c r="B413" t="s">
        <v>108</v>
      </c>
      <c r="C413" t="s">
        <v>109</v>
      </c>
      <c r="D413">
        <v>3</v>
      </c>
      <c r="E413">
        <v>16</v>
      </c>
      <c r="F413">
        <v>0.03</v>
      </c>
      <c r="G413" t="s">
        <v>100</v>
      </c>
    </row>
    <row r="414" spans="1:7" x14ac:dyDescent="0.25">
      <c r="A414" s="17">
        <v>43289</v>
      </c>
      <c r="B414" t="s">
        <v>101</v>
      </c>
      <c r="C414" t="s">
        <v>109</v>
      </c>
      <c r="D414">
        <v>2</v>
      </c>
      <c r="E414">
        <v>230</v>
      </c>
      <c r="F414">
        <v>0.08</v>
      </c>
      <c r="G414" t="s">
        <v>102</v>
      </c>
    </row>
    <row r="415" spans="1:7" x14ac:dyDescent="0.25">
      <c r="A415" s="17">
        <v>43289</v>
      </c>
      <c r="B415" t="s">
        <v>108</v>
      </c>
      <c r="C415" t="s">
        <v>96</v>
      </c>
      <c r="D415">
        <v>21</v>
      </c>
      <c r="E415">
        <v>16</v>
      </c>
      <c r="F415">
        <v>0.09</v>
      </c>
      <c r="G415" t="s">
        <v>103</v>
      </c>
    </row>
    <row r="416" spans="1:7" x14ac:dyDescent="0.25">
      <c r="A416" s="17">
        <v>43289</v>
      </c>
      <c r="B416" t="s">
        <v>95</v>
      </c>
      <c r="C416" t="s">
        <v>106</v>
      </c>
      <c r="D416">
        <v>7</v>
      </c>
      <c r="E416">
        <v>80</v>
      </c>
      <c r="F416">
        <v>7.0000000000000007E-2</v>
      </c>
      <c r="G416" t="s">
        <v>105</v>
      </c>
    </row>
    <row r="417" spans="1:7" x14ac:dyDescent="0.25">
      <c r="A417" s="17">
        <v>43289</v>
      </c>
      <c r="B417" t="s">
        <v>111</v>
      </c>
      <c r="C417" t="s">
        <v>99</v>
      </c>
      <c r="D417">
        <v>23</v>
      </c>
      <c r="E417">
        <v>150</v>
      </c>
      <c r="F417">
        <v>0.11</v>
      </c>
      <c r="G417" t="s">
        <v>107</v>
      </c>
    </row>
    <row r="418" spans="1:7" x14ac:dyDescent="0.25">
      <c r="A418" s="17">
        <v>43290</v>
      </c>
      <c r="B418" t="s">
        <v>111</v>
      </c>
      <c r="C418" t="s">
        <v>96</v>
      </c>
      <c r="D418">
        <v>11</v>
      </c>
      <c r="E418">
        <v>150</v>
      </c>
      <c r="F418">
        <v>0.05</v>
      </c>
      <c r="G418" t="s">
        <v>110</v>
      </c>
    </row>
    <row r="419" spans="1:7" x14ac:dyDescent="0.25">
      <c r="A419" s="17">
        <v>43290</v>
      </c>
      <c r="B419" t="s">
        <v>95</v>
      </c>
      <c r="C419" t="s">
        <v>109</v>
      </c>
      <c r="D419">
        <v>16</v>
      </c>
      <c r="E419">
        <v>80</v>
      </c>
      <c r="F419">
        <v>0.05</v>
      </c>
      <c r="G419" t="s">
        <v>112</v>
      </c>
    </row>
    <row r="420" spans="1:7" x14ac:dyDescent="0.25">
      <c r="A420" s="17">
        <v>43290</v>
      </c>
      <c r="B420" t="s">
        <v>101</v>
      </c>
      <c r="C420" t="s">
        <v>104</v>
      </c>
      <c r="D420">
        <v>5</v>
      </c>
      <c r="E420">
        <v>230</v>
      </c>
      <c r="F420">
        <v>0.1</v>
      </c>
      <c r="G420" t="s">
        <v>113</v>
      </c>
    </row>
    <row r="421" spans="1:7" x14ac:dyDescent="0.25">
      <c r="A421" s="17">
        <v>43290</v>
      </c>
      <c r="B421" t="s">
        <v>108</v>
      </c>
      <c r="C421" t="s">
        <v>96</v>
      </c>
      <c r="D421">
        <v>22</v>
      </c>
      <c r="E421">
        <v>16</v>
      </c>
      <c r="F421">
        <v>0.01</v>
      </c>
      <c r="G421" t="s">
        <v>114</v>
      </c>
    </row>
    <row r="422" spans="1:7" x14ac:dyDescent="0.25">
      <c r="A422" s="17">
        <v>43290</v>
      </c>
      <c r="B422" t="s">
        <v>98</v>
      </c>
      <c r="C422" t="s">
        <v>109</v>
      </c>
      <c r="D422">
        <v>7</v>
      </c>
      <c r="E422">
        <v>40</v>
      </c>
      <c r="F422">
        <v>0.12</v>
      </c>
      <c r="G422" t="s">
        <v>97</v>
      </c>
    </row>
    <row r="423" spans="1:7" x14ac:dyDescent="0.25">
      <c r="A423" s="17">
        <v>43290</v>
      </c>
      <c r="B423" t="s">
        <v>95</v>
      </c>
      <c r="C423" t="s">
        <v>99</v>
      </c>
      <c r="D423">
        <v>2</v>
      </c>
      <c r="E423">
        <v>80</v>
      </c>
      <c r="F423">
        <v>0.04</v>
      </c>
      <c r="G423" t="s">
        <v>100</v>
      </c>
    </row>
    <row r="424" spans="1:7" x14ac:dyDescent="0.25">
      <c r="A424" s="17">
        <v>43290</v>
      </c>
      <c r="B424" t="s">
        <v>98</v>
      </c>
      <c r="C424" t="s">
        <v>106</v>
      </c>
      <c r="D424">
        <v>6</v>
      </c>
      <c r="E424">
        <v>40</v>
      </c>
      <c r="F424">
        <v>7.0000000000000007E-2</v>
      </c>
      <c r="G424" t="s">
        <v>102</v>
      </c>
    </row>
    <row r="425" spans="1:7" x14ac:dyDescent="0.25">
      <c r="A425" s="17">
        <v>43290</v>
      </c>
      <c r="B425" t="s">
        <v>95</v>
      </c>
      <c r="C425" t="s">
        <v>104</v>
      </c>
      <c r="D425">
        <v>6</v>
      </c>
      <c r="E425">
        <v>80</v>
      </c>
      <c r="F425">
        <v>0.01</v>
      </c>
      <c r="G425" t="s">
        <v>103</v>
      </c>
    </row>
    <row r="426" spans="1:7" x14ac:dyDescent="0.25">
      <c r="A426" s="17">
        <v>43290</v>
      </c>
      <c r="B426" t="s">
        <v>108</v>
      </c>
      <c r="C426" t="s">
        <v>99</v>
      </c>
      <c r="D426">
        <v>22</v>
      </c>
      <c r="E426">
        <v>16</v>
      </c>
      <c r="F426">
        <v>0.01</v>
      </c>
      <c r="G426" t="s">
        <v>105</v>
      </c>
    </row>
    <row r="427" spans="1:7" x14ac:dyDescent="0.25">
      <c r="A427" s="17">
        <v>43290</v>
      </c>
      <c r="B427" t="s">
        <v>101</v>
      </c>
      <c r="C427" t="s">
        <v>106</v>
      </c>
      <c r="D427">
        <v>7</v>
      </c>
      <c r="E427">
        <v>230</v>
      </c>
      <c r="F427">
        <v>0.06</v>
      </c>
      <c r="G427" t="s">
        <v>107</v>
      </c>
    </row>
    <row r="428" spans="1:7" x14ac:dyDescent="0.25">
      <c r="A428" s="17">
        <v>43291</v>
      </c>
      <c r="B428" t="s">
        <v>108</v>
      </c>
      <c r="C428" t="s">
        <v>106</v>
      </c>
      <c r="D428">
        <v>22</v>
      </c>
      <c r="E428">
        <v>16</v>
      </c>
      <c r="F428">
        <v>0.03</v>
      </c>
      <c r="G428" t="s">
        <v>110</v>
      </c>
    </row>
    <row r="429" spans="1:7" x14ac:dyDescent="0.25">
      <c r="A429" s="17">
        <v>43291</v>
      </c>
      <c r="B429" t="s">
        <v>98</v>
      </c>
      <c r="C429" t="s">
        <v>109</v>
      </c>
      <c r="D429">
        <v>20</v>
      </c>
      <c r="E429">
        <v>40</v>
      </c>
      <c r="F429">
        <v>0.05</v>
      </c>
      <c r="G429" t="s">
        <v>112</v>
      </c>
    </row>
    <row r="430" spans="1:7" x14ac:dyDescent="0.25">
      <c r="A430" s="17">
        <v>43291</v>
      </c>
      <c r="B430" t="s">
        <v>98</v>
      </c>
      <c r="C430" t="s">
        <v>99</v>
      </c>
      <c r="D430">
        <v>19</v>
      </c>
      <c r="E430">
        <v>40</v>
      </c>
      <c r="F430">
        <v>0.1</v>
      </c>
      <c r="G430" t="s">
        <v>113</v>
      </c>
    </row>
    <row r="431" spans="1:7" x14ac:dyDescent="0.25">
      <c r="A431" s="17">
        <v>43291</v>
      </c>
      <c r="B431" t="s">
        <v>108</v>
      </c>
      <c r="C431" t="s">
        <v>96</v>
      </c>
      <c r="D431">
        <v>18</v>
      </c>
      <c r="E431">
        <v>16</v>
      </c>
      <c r="F431">
        <v>0.05</v>
      </c>
      <c r="G431" t="s">
        <v>114</v>
      </c>
    </row>
    <row r="432" spans="1:7" x14ac:dyDescent="0.25">
      <c r="A432" s="17">
        <v>43291</v>
      </c>
      <c r="B432" t="s">
        <v>98</v>
      </c>
      <c r="C432" t="s">
        <v>104</v>
      </c>
      <c r="D432">
        <v>2</v>
      </c>
      <c r="E432">
        <v>40</v>
      </c>
      <c r="F432">
        <v>0.02</v>
      </c>
      <c r="G432" t="s">
        <v>115</v>
      </c>
    </row>
    <row r="433" spans="1:7" x14ac:dyDescent="0.25">
      <c r="A433" s="17">
        <v>43291</v>
      </c>
      <c r="B433" t="s">
        <v>98</v>
      </c>
      <c r="C433" t="s">
        <v>106</v>
      </c>
      <c r="D433">
        <v>7</v>
      </c>
      <c r="E433">
        <v>40</v>
      </c>
      <c r="F433">
        <v>7.0000000000000007E-2</v>
      </c>
      <c r="G433" t="s">
        <v>116</v>
      </c>
    </row>
    <row r="434" spans="1:7" x14ac:dyDescent="0.25">
      <c r="A434" s="17">
        <v>43291</v>
      </c>
      <c r="B434" t="s">
        <v>111</v>
      </c>
      <c r="C434" t="s">
        <v>104</v>
      </c>
      <c r="D434">
        <v>11</v>
      </c>
      <c r="E434">
        <v>150</v>
      </c>
      <c r="F434">
        <v>0.05</v>
      </c>
      <c r="G434" t="s">
        <v>97</v>
      </c>
    </row>
    <row r="435" spans="1:7" x14ac:dyDescent="0.25">
      <c r="A435" s="17">
        <v>43291</v>
      </c>
      <c r="B435" t="s">
        <v>95</v>
      </c>
      <c r="C435" t="s">
        <v>99</v>
      </c>
      <c r="D435">
        <v>14</v>
      </c>
      <c r="E435">
        <v>80</v>
      </c>
      <c r="F435">
        <v>0.11</v>
      </c>
      <c r="G435" t="s">
        <v>100</v>
      </c>
    </row>
    <row r="436" spans="1:7" x14ac:dyDescent="0.25">
      <c r="A436" s="17">
        <v>43291</v>
      </c>
      <c r="B436" t="s">
        <v>98</v>
      </c>
      <c r="C436" t="s">
        <v>109</v>
      </c>
      <c r="D436">
        <v>7</v>
      </c>
      <c r="E436">
        <v>40</v>
      </c>
      <c r="F436">
        <v>0.04</v>
      </c>
      <c r="G436" t="s">
        <v>102</v>
      </c>
    </row>
    <row r="437" spans="1:7" x14ac:dyDescent="0.25">
      <c r="A437" s="17">
        <v>43291</v>
      </c>
      <c r="B437" t="s">
        <v>95</v>
      </c>
      <c r="C437" t="s">
        <v>106</v>
      </c>
      <c r="D437">
        <v>14</v>
      </c>
      <c r="E437">
        <v>80</v>
      </c>
      <c r="F437">
        <v>0.05</v>
      </c>
      <c r="G437" t="s">
        <v>103</v>
      </c>
    </row>
    <row r="438" spans="1:7" x14ac:dyDescent="0.25">
      <c r="A438" s="17">
        <v>43292</v>
      </c>
      <c r="B438" t="s">
        <v>108</v>
      </c>
      <c r="C438" t="s">
        <v>104</v>
      </c>
      <c r="D438">
        <v>12</v>
      </c>
      <c r="E438">
        <v>16</v>
      </c>
      <c r="F438">
        <v>0.11</v>
      </c>
      <c r="G438" t="s">
        <v>105</v>
      </c>
    </row>
    <row r="439" spans="1:7" x14ac:dyDescent="0.25">
      <c r="A439" s="17">
        <v>43292</v>
      </c>
      <c r="B439" t="s">
        <v>98</v>
      </c>
      <c r="C439" t="s">
        <v>109</v>
      </c>
      <c r="D439">
        <v>11</v>
      </c>
      <c r="E439">
        <v>40</v>
      </c>
      <c r="F439">
        <v>0.05</v>
      </c>
      <c r="G439" t="s">
        <v>107</v>
      </c>
    </row>
    <row r="440" spans="1:7" x14ac:dyDescent="0.25">
      <c r="A440" s="17">
        <v>43292</v>
      </c>
      <c r="B440" t="s">
        <v>108</v>
      </c>
      <c r="C440" t="s">
        <v>104</v>
      </c>
      <c r="D440">
        <v>14</v>
      </c>
      <c r="E440">
        <v>16</v>
      </c>
      <c r="F440">
        <v>0.01</v>
      </c>
      <c r="G440" t="s">
        <v>110</v>
      </c>
    </row>
    <row r="441" spans="1:7" x14ac:dyDescent="0.25">
      <c r="A441" s="17">
        <v>43292</v>
      </c>
      <c r="B441" t="s">
        <v>101</v>
      </c>
      <c r="C441" t="s">
        <v>106</v>
      </c>
      <c r="D441">
        <v>2</v>
      </c>
      <c r="E441">
        <v>230</v>
      </c>
      <c r="F441">
        <v>0.08</v>
      </c>
      <c r="G441" t="s">
        <v>112</v>
      </c>
    </row>
    <row r="442" spans="1:7" x14ac:dyDescent="0.25">
      <c r="A442" s="17">
        <v>43292</v>
      </c>
      <c r="B442" t="s">
        <v>108</v>
      </c>
      <c r="C442" t="s">
        <v>96</v>
      </c>
      <c r="D442">
        <v>20</v>
      </c>
      <c r="E442">
        <v>16</v>
      </c>
      <c r="F442">
        <v>0.11</v>
      </c>
      <c r="G442" t="s">
        <v>113</v>
      </c>
    </row>
    <row r="443" spans="1:7" x14ac:dyDescent="0.25">
      <c r="A443" s="17">
        <v>43292</v>
      </c>
      <c r="B443" t="s">
        <v>108</v>
      </c>
      <c r="C443" t="s">
        <v>104</v>
      </c>
      <c r="D443">
        <v>6</v>
      </c>
      <c r="E443">
        <v>16</v>
      </c>
      <c r="F443">
        <v>0.06</v>
      </c>
      <c r="G443" t="s">
        <v>114</v>
      </c>
    </row>
    <row r="444" spans="1:7" x14ac:dyDescent="0.25">
      <c r="A444" s="17">
        <v>43292</v>
      </c>
      <c r="B444" t="s">
        <v>95</v>
      </c>
      <c r="C444" t="s">
        <v>106</v>
      </c>
      <c r="D444">
        <v>17</v>
      </c>
      <c r="E444">
        <v>80</v>
      </c>
      <c r="F444">
        <v>0.05</v>
      </c>
      <c r="G444" t="s">
        <v>115</v>
      </c>
    </row>
    <row r="445" spans="1:7" x14ac:dyDescent="0.25">
      <c r="A445" s="17">
        <v>43292</v>
      </c>
      <c r="B445" t="s">
        <v>98</v>
      </c>
      <c r="C445" t="s">
        <v>96</v>
      </c>
      <c r="D445">
        <v>2</v>
      </c>
      <c r="E445">
        <v>40</v>
      </c>
      <c r="F445">
        <v>0.12</v>
      </c>
      <c r="G445" t="s">
        <v>116</v>
      </c>
    </row>
    <row r="446" spans="1:7" x14ac:dyDescent="0.25">
      <c r="A446" s="17">
        <v>43292</v>
      </c>
      <c r="B446" t="s">
        <v>108</v>
      </c>
      <c r="C446" t="s">
        <v>96</v>
      </c>
      <c r="D446">
        <v>7</v>
      </c>
      <c r="E446">
        <v>16</v>
      </c>
      <c r="F446">
        <v>0.12</v>
      </c>
      <c r="G446" t="s">
        <v>97</v>
      </c>
    </row>
    <row r="447" spans="1:7" x14ac:dyDescent="0.25">
      <c r="A447" s="17">
        <v>43292</v>
      </c>
      <c r="B447" t="s">
        <v>111</v>
      </c>
      <c r="C447" t="s">
        <v>96</v>
      </c>
      <c r="D447">
        <v>7</v>
      </c>
      <c r="E447">
        <v>150</v>
      </c>
      <c r="F447">
        <v>0.02</v>
      </c>
      <c r="G447" t="s">
        <v>100</v>
      </c>
    </row>
    <row r="448" spans="1:7" x14ac:dyDescent="0.25">
      <c r="A448" s="17">
        <v>43292</v>
      </c>
      <c r="B448" t="s">
        <v>95</v>
      </c>
      <c r="C448" t="s">
        <v>96</v>
      </c>
      <c r="D448">
        <v>20</v>
      </c>
      <c r="E448">
        <v>80</v>
      </c>
      <c r="F448">
        <v>0.01</v>
      </c>
      <c r="G448" t="s">
        <v>102</v>
      </c>
    </row>
    <row r="449" spans="1:7" x14ac:dyDescent="0.25">
      <c r="A449" s="17">
        <v>43292</v>
      </c>
      <c r="B449" t="s">
        <v>95</v>
      </c>
      <c r="C449" t="s">
        <v>106</v>
      </c>
      <c r="D449">
        <v>11</v>
      </c>
      <c r="E449">
        <v>80</v>
      </c>
      <c r="F449">
        <v>0.01</v>
      </c>
      <c r="G449" t="s">
        <v>103</v>
      </c>
    </row>
    <row r="450" spans="1:7" x14ac:dyDescent="0.25">
      <c r="A450" s="17">
        <v>43292</v>
      </c>
      <c r="B450" t="s">
        <v>95</v>
      </c>
      <c r="C450" t="s">
        <v>104</v>
      </c>
      <c r="D450">
        <v>10</v>
      </c>
      <c r="E450">
        <v>80</v>
      </c>
      <c r="F450">
        <v>0.08</v>
      </c>
      <c r="G450" t="s">
        <v>105</v>
      </c>
    </row>
    <row r="451" spans="1:7" x14ac:dyDescent="0.25">
      <c r="A451" s="17">
        <v>43293</v>
      </c>
      <c r="B451" t="s">
        <v>95</v>
      </c>
      <c r="C451" t="s">
        <v>99</v>
      </c>
      <c r="D451">
        <v>5</v>
      </c>
      <c r="E451">
        <v>80</v>
      </c>
      <c r="F451">
        <v>0.04</v>
      </c>
      <c r="G451" t="s">
        <v>107</v>
      </c>
    </row>
    <row r="452" spans="1:7" x14ac:dyDescent="0.25">
      <c r="A452" s="17">
        <v>43293</v>
      </c>
      <c r="B452" t="s">
        <v>95</v>
      </c>
      <c r="C452" t="s">
        <v>106</v>
      </c>
      <c r="D452">
        <v>4</v>
      </c>
      <c r="E452">
        <v>80</v>
      </c>
      <c r="F452">
        <v>0.11</v>
      </c>
      <c r="G452" t="s">
        <v>110</v>
      </c>
    </row>
    <row r="453" spans="1:7" x14ac:dyDescent="0.25">
      <c r="A453" s="17">
        <v>43293</v>
      </c>
      <c r="B453" t="s">
        <v>108</v>
      </c>
      <c r="C453" t="s">
        <v>104</v>
      </c>
      <c r="D453">
        <v>3</v>
      </c>
      <c r="E453">
        <v>16</v>
      </c>
      <c r="F453">
        <v>0.05</v>
      </c>
      <c r="G453" t="s">
        <v>112</v>
      </c>
    </row>
    <row r="454" spans="1:7" x14ac:dyDescent="0.25">
      <c r="A454" s="17">
        <v>43293</v>
      </c>
      <c r="B454" t="s">
        <v>95</v>
      </c>
      <c r="C454" t="s">
        <v>96</v>
      </c>
      <c r="D454">
        <v>9</v>
      </c>
      <c r="E454">
        <v>80</v>
      </c>
      <c r="F454">
        <v>0.04</v>
      </c>
      <c r="G454" t="s">
        <v>113</v>
      </c>
    </row>
    <row r="455" spans="1:7" x14ac:dyDescent="0.25">
      <c r="A455" s="17">
        <v>43293</v>
      </c>
      <c r="B455" t="s">
        <v>95</v>
      </c>
      <c r="C455" t="s">
        <v>109</v>
      </c>
      <c r="D455">
        <v>16</v>
      </c>
      <c r="E455">
        <v>80</v>
      </c>
      <c r="F455">
        <v>0.09</v>
      </c>
      <c r="G455" t="s">
        <v>114</v>
      </c>
    </row>
    <row r="456" spans="1:7" x14ac:dyDescent="0.25">
      <c r="A456" s="17">
        <v>43294</v>
      </c>
      <c r="B456" t="s">
        <v>108</v>
      </c>
      <c r="C456" t="s">
        <v>99</v>
      </c>
      <c r="D456">
        <v>7</v>
      </c>
      <c r="E456">
        <v>16</v>
      </c>
      <c r="F456">
        <v>0.08</v>
      </c>
      <c r="G456" t="s">
        <v>115</v>
      </c>
    </row>
    <row r="457" spans="1:7" x14ac:dyDescent="0.25">
      <c r="A457" s="17">
        <v>43294</v>
      </c>
      <c r="B457" t="s">
        <v>111</v>
      </c>
      <c r="C457" t="s">
        <v>99</v>
      </c>
      <c r="D457">
        <v>16</v>
      </c>
      <c r="E457">
        <v>150</v>
      </c>
      <c r="F457">
        <v>0.05</v>
      </c>
      <c r="G457" t="s">
        <v>116</v>
      </c>
    </row>
    <row r="458" spans="1:7" x14ac:dyDescent="0.25">
      <c r="A458" s="17">
        <v>43294</v>
      </c>
      <c r="B458" t="s">
        <v>108</v>
      </c>
      <c r="C458" t="s">
        <v>106</v>
      </c>
      <c r="D458">
        <v>10</v>
      </c>
      <c r="E458">
        <v>16</v>
      </c>
      <c r="F458">
        <v>0.04</v>
      </c>
      <c r="G458" t="s">
        <v>97</v>
      </c>
    </row>
    <row r="459" spans="1:7" x14ac:dyDescent="0.25">
      <c r="A459" s="17">
        <v>43294</v>
      </c>
      <c r="B459" t="s">
        <v>98</v>
      </c>
      <c r="C459" t="s">
        <v>99</v>
      </c>
      <c r="D459">
        <v>4</v>
      </c>
      <c r="E459">
        <v>40</v>
      </c>
      <c r="F459">
        <v>0.03</v>
      </c>
      <c r="G459" t="s">
        <v>100</v>
      </c>
    </row>
    <row r="460" spans="1:7" x14ac:dyDescent="0.25">
      <c r="A460" s="17">
        <v>43294</v>
      </c>
      <c r="B460" t="s">
        <v>98</v>
      </c>
      <c r="C460" t="s">
        <v>99</v>
      </c>
      <c r="D460">
        <v>15</v>
      </c>
      <c r="E460">
        <v>40</v>
      </c>
      <c r="F460">
        <v>0.02</v>
      </c>
      <c r="G460" t="s">
        <v>102</v>
      </c>
    </row>
    <row r="461" spans="1:7" x14ac:dyDescent="0.25">
      <c r="A461" s="17">
        <v>43294</v>
      </c>
      <c r="B461" t="s">
        <v>95</v>
      </c>
      <c r="C461" t="s">
        <v>104</v>
      </c>
      <c r="D461">
        <v>6</v>
      </c>
      <c r="E461">
        <v>80</v>
      </c>
      <c r="F461">
        <v>0.09</v>
      </c>
      <c r="G461" t="s">
        <v>103</v>
      </c>
    </row>
    <row r="462" spans="1:7" x14ac:dyDescent="0.25">
      <c r="A462" s="17">
        <v>43294</v>
      </c>
      <c r="B462" t="s">
        <v>111</v>
      </c>
      <c r="C462" t="s">
        <v>96</v>
      </c>
      <c r="D462">
        <v>20</v>
      </c>
      <c r="E462">
        <v>150</v>
      </c>
      <c r="F462">
        <v>0.01</v>
      </c>
      <c r="G462" t="s">
        <v>105</v>
      </c>
    </row>
    <row r="463" spans="1:7" x14ac:dyDescent="0.25">
      <c r="A463" s="17">
        <v>43294</v>
      </c>
      <c r="B463" t="s">
        <v>108</v>
      </c>
      <c r="C463" t="s">
        <v>96</v>
      </c>
      <c r="D463">
        <v>7</v>
      </c>
      <c r="E463">
        <v>16</v>
      </c>
      <c r="F463">
        <v>0.08</v>
      </c>
      <c r="G463" t="s">
        <v>107</v>
      </c>
    </row>
    <row r="464" spans="1:7" x14ac:dyDescent="0.25">
      <c r="A464" s="17">
        <v>43294</v>
      </c>
      <c r="B464" t="s">
        <v>95</v>
      </c>
      <c r="C464" t="s">
        <v>99</v>
      </c>
      <c r="D464">
        <v>2</v>
      </c>
      <c r="E464">
        <v>80</v>
      </c>
      <c r="F464">
        <v>7.0000000000000007E-2</v>
      </c>
      <c r="G464" t="s">
        <v>110</v>
      </c>
    </row>
    <row r="465" spans="1:7" x14ac:dyDescent="0.25">
      <c r="A465" s="17">
        <v>43294</v>
      </c>
      <c r="B465" t="s">
        <v>98</v>
      </c>
      <c r="C465" t="s">
        <v>99</v>
      </c>
      <c r="D465">
        <v>23</v>
      </c>
      <c r="E465">
        <v>40</v>
      </c>
      <c r="F465">
        <v>0.06</v>
      </c>
      <c r="G465" t="s">
        <v>112</v>
      </c>
    </row>
    <row r="466" spans="1:7" x14ac:dyDescent="0.25">
      <c r="A466" s="17">
        <v>43294</v>
      </c>
      <c r="B466" t="s">
        <v>108</v>
      </c>
      <c r="C466" t="s">
        <v>96</v>
      </c>
      <c r="D466">
        <v>12</v>
      </c>
      <c r="E466">
        <v>16</v>
      </c>
      <c r="F466">
        <v>0.11</v>
      </c>
      <c r="G466" t="s">
        <v>113</v>
      </c>
    </row>
    <row r="467" spans="1:7" x14ac:dyDescent="0.25">
      <c r="A467" s="17">
        <v>43294</v>
      </c>
      <c r="B467" t="s">
        <v>101</v>
      </c>
      <c r="C467" t="s">
        <v>106</v>
      </c>
      <c r="D467">
        <v>2</v>
      </c>
      <c r="E467">
        <v>230</v>
      </c>
      <c r="F467">
        <v>0.09</v>
      </c>
      <c r="G467" t="s">
        <v>114</v>
      </c>
    </row>
    <row r="468" spans="1:7" x14ac:dyDescent="0.25">
      <c r="A468" s="17">
        <v>43294</v>
      </c>
      <c r="B468" t="s">
        <v>111</v>
      </c>
      <c r="C468" t="s">
        <v>96</v>
      </c>
      <c r="D468">
        <v>4</v>
      </c>
      <c r="E468">
        <v>150</v>
      </c>
      <c r="F468">
        <v>0.06</v>
      </c>
      <c r="G468" t="s">
        <v>115</v>
      </c>
    </row>
    <row r="469" spans="1:7" x14ac:dyDescent="0.25">
      <c r="A469" s="17">
        <v>43294</v>
      </c>
      <c r="B469" t="s">
        <v>98</v>
      </c>
      <c r="C469" t="s">
        <v>96</v>
      </c>
      <c r="D469">
        <v>23</v>
      </c>
      <c r="E469">
        <v>40</v>
      </c>
      <c r="F469">
        <v>7.0000000000000007E-2</v>
      </c>
      <c r="G469" t="s">
        <v>116</v>
      </c>
    </row>
    <row r="470" spans="1:7" x14ac:dyDescent="0.25">
      <c r="A470" s="17">
        <v>43294</v>
      </c>
      <c r="B470" t="s">
        <v>108</v>
      </c>
      <c r="C470" t="s">
        <v>109</v>
      </c>
      <c r="D470">
        <v>2</v>
      </c>
      <c r="E470">
        <v>16</v>
      </c>
      <c r="F470">
        <v>0.04</v>
      </c>
      <c r="G470" t="s">
        <v>97</v>
      </c>
    </row>
    <row r="471" spans="1:7" x14ac:dyDescent="0.25">
      <c r="A471" s="17">
        <v>43294</v>
      </c>
      <c r="B471" t="s">
        <v>111</v>
      </c>
      <c r="C471" t="s">
        <v>106</v>
      </c>
      <c r="D471">
        <v>7</v>
      </c>
      <c r="E471">
        <v>150</v>
      </c>
      <c r="F471">
        <v>0.05</v>
      </c>
      <c r="G471" t="s">
        <v>100</v>
      </c>
    </row>
    <row r="472" spans="1:7" x14ac:dyDescent="0.25">
      <c r="A472" s="17">
        <v>43295</v>
      </c>
      <c r="B472" t="s">
        <v>98</v>
      </c>
      <c r="C472" t="s">
        <v>96</v>
      </c>
      <c r="D472">
        <v>15</v>
      </c>
      <c r="E472">
        <v>40</v>
      </c>
      <c r="F472">
        <v>0.06</v>
      </c>
      <c r="G472" t="s">
        <v>102</v>
      </c>
    </row>
    <row r="473" spans="1:7" x14ac:dyDescent="0.25">
      <c r="A473" s="17">
        <v>43295</v>
      </c>
      <c r="B473" t="s">
        <v>95</v>
      </c>
      <c r="C473" t="s">
        <v>106</v>
      </c>
      <c r="D473">
        <v>16</v>
      </c>
      <c r="E473">
        <v>80</v>
      </c>
      <c r="F473">
        <v>0.05</v>
      </c>
      <c r="G473" t="s">
        <v>103</v>
      </c>
    </row>
    <row r="474" spans="1:7" x14ac:dyDescent="0.25">
      <c r="A474" s="17">
        <v>43295</v>
      </c>
      <c r="B474" t="s">
        <v>98</v>
      </c>
      <c r="C474" t="s">
        <v>109</v>
      </c>
      <c r="D474">
        <v>16</v>
      </c>
      <c r="E474">
        <v>40</v>
      </c>
      <c r="F474">
        <v>0.11</v>
      </c>
      <c r="G474" t="s">
        <v>105</v>
      </c>
    </row>
    <row r="475" spans="1:7" x14ac:dyDescent="0.25">
      <c r="A475" s="17">
        <v>43295</v>
      </c>
      <c r="B475" t="s">
        <v>108</v>
      </c>
      <c r="C475" t="s">
        <v>109</v>
      </c>
      <c r="D475">
        <v>23</v>
      </c>
      <c r="E475">
        <v>16</v>
      </c>
      <c r="F475">
        <v>0.01</v>
      </c>
      <c r="G475" t="s">
        <v>107</v>
      </c>
    </row>
    <row r="476" spans="1:7" x14ac:dyDescent="0.25">
      <c r="A476" s="17">
        <v>43295</v>
      </c>
      <c r="B476" t="s">
        <v>101</v>
      </c>
      <c r="C476" t="s">
        <v>99</v>
      </c>
      <c r="D476">
        <v>12</v>
      </c>
      <c r="E476">
        <v>230</v>
      </c>
      <c r="F476">
        <v>0.03</v>
      </c>
      <c r="G476" t="s">
        <v>110</v>
      </c>
    </row>
    <row r="477" spans="1:7" x14ac:dyDescent="0.25">
      <c r="A477" s="17">
        <v>43295</v>
      </c>
      <c r="B477" t="s">
        <v>108</v>
      </c>
      <c r="C477" t="s">
        <v>96</v>
      </c>
      <c r="D477">
        <v>4</v>
      </c>
      <c r="E477">
        <v>16</v>
      </c>
      <c r="F477">
        <v>0.12</v>
      </c>
      <c r="G477" t="s">
        <v>112</v>
      </c>
    </row>
    <row r="478" spans="1:7" x14ac:dyDescent="0.25">
      <c r="A478" s="17">
        <v>43295</v>
      </c>
      <c r="B478" t="s">
        <v>111</v>
      </c>
      <c r="C478" t="s">
        <v>106</v>
      </c>
      <c r="D478">
        <v>3</v>
      </c>
      <c r="E478">
        <v>150</v>
      </c>
      <c r="F478">
        <v>0.01</v>
      </c>
      <c r="G478" t="s">
        <v>113</v>
      </c>
    </row>
    <row r="479" spans="1:7" x14ac:dyDescent="0.25">
      <c r="A479" s="17">
        <v>43295</v>
      </c>
      <c r="B479" t="s">
        <v>111</v>
      </c>
      <c r="C479" t="s">
        <v>99</v>
      </c>
      <c r="D479">
        <v>10</v>
      </c>
      <c r="E479">
        <v>150</v>
      </c>
      <c r="F479">
        <v>0.01</v>
      </c>
      <c r="G479" t="s">
        <v>114</v>
      </c>
    </row>
    <row r="480" spans="1:7" x14ac:dyDescent="0.25">
      <c r="A480" s="17">
        <v>43295</v>
      </c>
      <c r="B480" t="s">
        <v>95</v>
      </c>
      <c r="C480" t="s">
        <v>99</v>
      </c>
      <c r="D480">
        <v>13</v>
      </c>
      <c r="E480">
        <v>80</v>
      </c>
      <c r="F480">
        <v>0.06</v>
      </c>
      <c r="G480" t="s">
        <v>115</v>
      </c>
    </row>
    <row r="481" spans="1:7" x14ac:dyDescent="0.25">
      <c r="A481" s="17">
        <v>43295</v>
      </c>
      <c r="B481" t="s">
        <v>101</v>
      </c>
      <c r="C481" t="s">
        <v>104</v>
      </c>
      <c r="D481">
        <v>15</v>
      </c>
      <c r="E481">
        <v>230</v>
      </c>
      <c r="F481">
        <v>0.04</v>
      </c>
      <c r="G481" t="s">
        <v>116</v>
      </c>
    </row>
    <row r="482" spans="1:7" x14ac:dyDescent="0.25">
      <c r="A482" s="17">
        <v>43295</v>
      </c>
      <c r="B482" t="s">
        <v>111</v>
      </c>
      <c r="C482" t="s">
        <v>96</v>
      </c>
      <c r="D482">
        <v>23</v>
      </c>
      <c r="E482">
        <v>150</v>
      </c>
      <c r="F482">
        <v>0.1</v>
      </c>
      <c r="G482" t="s">
        <v>97</v>
      </c>
    </row>
    <row r="483" spans="1:7" x14ac:dyDescent="0.25">
      <c r="A483" s="17">
        <v>43295</v>
      </c>
      <c r="B483" t="s">
        <v>111</v>
      </c>
      <c r="C483" t="s">
        <v>99</v>
      </c>
      <c r="D483">
        <v>15</v>
      </c>
      <c r="E483">
        <v>150</v>
      </c>
      <c r="F483">
        <v>0.12</v>
      </c>
      <c r="G483" t="s">
        <v>100</v>
      </c>
    </row>
    <row r="484" spans="1:7" x14ac:dyDescent="0.25">
      <c r="A484" s="17">
        <v>43295</v>
      </c>
      <c r="B484" t="s">
        <v>111</v>
      </c>
      <c r="C484" t="s">
        <v>104</v>
      </c>
      <c r="D484">
        <v>20</v>
      </c>
      <c r="E484">
        <v>150</v>
      </c>
      <c r="F484">
        <v>0.12</v>
      </c>
      <c r="G484" t="s">
        <v>102</v>
      </c>
    </row>
    <row r="485" spans="1:7" x14ac:dyDescent="0.25">
      <c r="A485" s="17">
        <v>43295</v>
      </c>
      <c r="B485" t="s">
        <v>98</v>
      </c>
      <c r="C485" t="s">
        <v>106</v>
      </c>
      <c r="D485">
        <v>13</v>
      </c>
      <c r="E485">
        <v>40</v>
      </c>
      <c r="F485">
        <v>0.09</v>
      </c>
      <c r="G485" t="s">
        <v>103</v>
      </c>
    </row>
    <row r="486" spans="1:7" x14ac:dyDescent="0.25">
      <c r="A486" s="17">
        <v>43296</v>
      </c>
      <c r="B486" t="s">
        <v>108</v>
      </c>
      <c r="C486" t="s">
        <v>104</v>
      </c>
      <c r="D486">
        <v>11</v>
      </c>
      <c r="E486">
        <v>16</v>
      </c>
      <c r="F486">
        <v>0.04</v>
      </c>
      <c r="G486" t="s">
        <v>105</v>
      </c>
    </row>
    <row r="487" spans="1:7" x14ac:dyDescent="0.25">
      <c r="A487" s="17">
        <v>43296</v>
      </c>
      <c r="B487" t="s">
        <v>111</v>
      </c>
      <c r="C487" t="s">
        <v>104</v>
      </c>
      <c r="D487">
        <v>20</v>
      </c>
      <c r="E487">
        <v>150</v>
      </c>
      <c r="F487">
        <v>0.04</v>
      </c>
      <c r="G487" t="s">
        <v>107</v>
      </c>
    </row>
    <row r="488" spans="1:7" x14ac:dyDescent="0.25">
      <c r="A488" s="17">
        <v>43296</v>
      </c>
      <c r="B488" t="s">
        <v>98</v>
      </c>
      <c r="C488" t="s">
        <v>96</v>
      </c>
      <c r="D488">
        <v>18</v>
      </c>
      <c r="E488">
        <v>40</v>
      </c>
      <c r="F488">
        <v>0.11</v>
      </c>
      <c r="G488" t="s">
        <v>110</v>
      </c>
    </row>
    <row r="489" spans="1:7" x14ac:dyDescent="0.25">
      <c r="A489" s="17">
        <v>43296</v>
      </c>
      <c r="B489" t="s">
        <v>98</v>
      </c>
      <c r="C489" t="s">
        <v>104</v>
      </c>
      <c r="D489">
        <v>2</v>
      </c>
      <c r="E489">
        <v>40</v>
      </c>
      <c r="F489">
        <v>0.03</v>
      </c>
      <c r="G489" t="s">
        <v>112</v>
      </c>
    </row>
    <row r="490" spans="1:7" x14ac:dyDescent="0.25">
      <c r="A490" s="17">
        <v>43296</v>
      </c>
      <c r="B490" t="s">
        <v>108</v>
      </c>
      <c r="C490" t="s">
        <v>106</v>
      </c>
      <c r="D490">
        <v>15</v>
      </c>
      <c r="E490">
        <v>16</v>
      </c>
      <c r="F490">
        <v>0.12</v>
      </c>
      <c r="G490" t="s">
        <v>113</v>
      </c>
    </row>
    <row r="491" spans="1:7" x14ac:dyDescent="0.25">
      <c r="A491" s="17">
        <v>43296</v>
      </c>
      <c r="B491" t="s">
        <v>108</v>
      </c>
      <c r="C491" t="s">
        <v>104</v>
      </c>
      <c r="D491">
        <v>9</v>
      </c>
      <c r="E491">
        <v>16</v>
      </c>
      <c r="F491">
        <v>0.05</v>
      </c>
      <c r="G491" t="s">
        <v>114</v>
      </c>
    </row>
    <row r="492" spans="1:7" x14ac:dyDescent="0.25">
      <c r="A492" s="17">
        <v>43296</v>
      </c>
      <c r="B492" t="s">
        <v>98</v>
      </c>
      <c r="C492" t="s">
        <v>109</v>
      </c>
      <c r="D492">
        <v>7</v>
      </c>
      <c r="E492">
        <v>40</v>
      </c>
      <c r="F492">
        <v>0.05</v>
      </c>
      <c r="G492" t="s">
        <v>97</v>
      </c>
    </row>
    <row r="493" spans="1:7" x14ac:dyDescent="0.25">
      <c r="A493" s="17">
        <v>43296</v>
      </c>
      <c r="B493" t="s">
        <v>111</v>
      </c>
      <c r="C493" t="s">
        <v>109</v>
      </c>
      <c r="D493">
        <v>4</v>
      </c>
      <c r="E493">
        <v>150</v>
      </c>
      <c r="F493">
        <v>0.05</v>
      </c>
      <c r="G493" t="s">
        <v>100</v>
      </c>
    </row>
    <row r="494" spans="1:7" x14ac:dyDescent="0.25">
      <c r="A494" s="17">
        <v>43296</v>
      </c>
      <c r="B494" t="s">
        <v>101</v>
      </c>
      <c r="C494" t="s">
        <v>96</v>
      </c>
      <c r="D494">
        <v>15</v>
      </c>
      <c r="E494">
        <v>230</v>
      </c>
      <c r="F494">
        <v>0.05</v>
      </c>
      <c r="G494" t="s">
        <v>102</v>
      </c>
    </row>
    <row r="495" spans="1:7" x14ac:dyDescent="0.25">
      <c r="A495" s="17">
        <v>43297</v>
      </c>
      <c r="B495" t="s">
        <v>98</v>
      </c>
      <c r="C495" t="s">
        <v>99</v>
      </c>
      <c r="D495">
        <v>12</v>
      </c>
      <c r="E495">
        <v>40</v>
      </c>
      <c r="F495">
        <v>0.1</v>
      </c>
      <c r="G495" t="s">
        <v>103</v>
      </c>
    </row>
    <row r="496" spans="1:7" x14ac:dyDescent="0.25">
      <c r="A496" s="17">
        <v>43297</v>
      </c>
      <c r="B496" t="s">
        <v>101</v>
      </c>
      <c r="C496" t="s">
        <v>106</v>
      </c>
      <c r="D496">
        <v>23</v>
      </c>
      <c r="E496">
        <v>230</v>
      </c>
      <c r="F496">
        <v>0.06</v>
      </c>
      <c r="G496" t="s">
        <v>105</v>
      </c>
    </row>
    <row r="497" spans="1:7" x14ac:dyDescent="0.25">
      <c r="A497" s="17">
        <v>43297</v>
      </c>
      <c r="B497" t="s">
        <v>108</v>
      </c>
      <c r="C497" t="s">
        <v>96</v>
      </c>
      <c r="D497">
        <v>11</v>
      </c>
      <c r="E497">
        <v>16</v>
      </c>
      <c r="F497">
        <v>0.09</v>
      </c>
      <c r="G497" t="s">
        <v>107</v>
      </c>
    </row>
    <row r="498" spans="1:7" x14ac:dyDescent="0.25">
      <c r="A498" s="17">
        <v>43297</v>
      </c>
      <c r="B498" t="s">
        <v>111</v>
      </c>
      <c r="C498" t="s">
        <v>96</v>
      </c>
      <c r="D498">
        <v>9</v>
      </c>
      <c r="E498">
        <v>150</v>
      </c>
      <c r="F498">
        <v>0.1</v>
      </c>
      <c r="G498" t="s">
        <v>110</v>
      </c>
    </row>
    <row r="499" spans="1:7" x14ac:dyDescent="0.25">
      <c r="A499" s="17">
        <v>43297</v>
      </c>
      <c r="B499" t="s">
        <v>95</v>
      </c>
      <c r="C499" t="s">
        <v>96</v>
      </c>
      <c r="D499">
        <v>18</v>
      </c>
      <c r="E499">
        <v>80</v>
      </c>
      <c r="F499">
        <v>0.02</v>
      </c>
      <c r="G499" t="s">
        <v>112</v>
      </c>
    </row>
    <row r="500" spans="1:7" x14ac:dyDescent="0.25">
      <c r="A500" s="17">
        <v>43297</v>
      </c>
      <c r="B500" t="s">
        <v>98</v>
      </c>
      <c r="C500" t="s">
        <v>109</v>
      </c>
      <c r="D500">
        <v>23</v>
      </c>
      <c r="E500">
        <v>40</v>
      </c>
      <c r="F500">
        <v>0.04</v>
      </c>
      <c r="G500" t="s">
        <v>113</v>
      </c>
    </row>
    <row r="501" spans="1:7" x14ac:dyDescent="0.25">
      <c r="A501" s="17">
        <v>43297</v>
      </c>
      <c r="B501" t="s">
        <v>108</v>
      </c>
      <c r="C501" t="s">
        <v>109</v>
      </c>
      <c r="D501">
        <v>17</v>
      </c>
      <c r="E501">
        <v>16</v>
      </c>
      <c r="F501">
        <v>0.1</v>
      </c>
      <c r="G501" t="s">
        <v>114</v>
      </c>
    </row>
    <row r="502" spans="1:7" x14ac:dyDescent="0.25">
      <c r="A502" s="17">
        <v>43297</v>
      </c>
      <c r="B502" t="s">
        <v>111</v>
      </c>
      <c r="C502" t="s">
        <v>109</v>
      </c>
      <c r="D502">
        <v>17</v>
      </c>
      <c r="E502">
        <v>150</v>
      </c>
      <c r="F502">
        <v>0.02</v>
      </c>
      <c r="G502" t="s">
        <v>115</v>
      </c>
    </row>
    <row r="503" spans="1:7" x14ac:dyDescent="0.25">
      <c r="A503" s="17">
        <v>43297</v>
      </c>
      <c r="B503" t="s">
        <v>95</v>
      </c>
      <c r="C503" t="s">
        <v>106</v>
      </c>
      <c r="D503">
        <v>21</v>
      </c>
      <c r="E503">
        <v>80</v>
      </c>
      <c r="F503">
        <v>0.02</v>
      </c>
      <c r="G503" t="s">
        <v>116</v>
      </c>
    </row>
    <row r="504" spans="1:7" x14ac:dyDescent="0.25">
      <c r="A504" s="17">
        <v>43297</v>
      </c>
      <c r="B504" t="s">
        <v>98</v>
      </c>
      <c r="C504" t="s">
        <v>106</v>
      </c>
      <c r="D504">
        <v>11</v>
      </c>
      <c r="E504">
        <v>40</v>
      </c>
      <c r="F504">
        <v>0.06</v>
      </c>
      <c r="G504" t="s">
        <v>97</v>
      </c>
    </row>
    <row r="505" spans="1:7" x14ac:dyDescent="0.25">
      <c r="A505" s="17">
        <v>43297</v>
      </c>
      <c r="B505" t="s">
        <v>98</v>
      </c>
      <c r="C505" t="s">
        <v>96</v>
      </c>
      <c r="D505">
        <v>19</v>
      </c>
      <c r="E505">
        <v>40</v>
      </c>
      <c r="F505">
        <v>0.04</v>
      </c>
      <c r="G505" t="s">
        <v>100</v>
      </c>
    </row>
    <row r="506" spans="1:7" x14ac:dyDescent="0.25">
      <c r="A506" s="17">
        <v>43297</v>
      </c>
      <c r="B506" t="s">
        <v>98</v>
      </c>
      <c r="C506" t="s">
        <v>96</v>
      </c>
      <c r="D506">
        <v>23</v>
      </c>
      <c r="E506">
        <v>40</v>
      </c>
      <c r="F506">
        <v>0.03</v>
      </c>
      <c r="G506" t="s">
        <v>102</v>
      </c>
    </row>
    <row r="507" spans="1:7" x14ac:dyDescent="0.25">
      <c r="A507" s="17">
        <v>43297</v>
      </c>
      <c r="B507" t="s">
        <v>101</v>
      </c>
      <c r="C507" t="s">
        <v>99</v>
      </c>
      <c r="D507">
        <v>14</v>
      </c>
      <c r="E507">
        <v>230</v>
      </c>
      <c r="F507">
        <v>0.05</v>
      </c>
      <c r="G507" t="s">
        <v>103</v>
      </c>
    </row>
    <row r="508" spans="1:7" x14ac:dyDescent="0.25">
      <c r="A508" s="17">
        <v>43297</v>
      </c>
      <c r="B508" t="s">
        <v>98</v>
      </c>
      <c r="C508" t="s">
        <v>104</v>
      </c>
      <c r="D508">
        <v>18</v>
      </c>
      <c r="E508">
        <v>40</v>
      </c>
      <c r="F508">
        <v>0.03</v>
      </c>
      <c r="G508" t="s">
        <v>105</v>
      </c>
    </row>
    <row r="509" spans="1:7" x14ac:dyDescent="0.25">
      <c r="A509" s="17">
        <v>43297</v>
      </c>
      <c r="B509" t="s">
        <v>111</v>
      </c>
      <c r="C509" t="s">
        <v>99</v>
      </c>
      <c r="D509">
        <v>2</v>
      </c>
      <c r="E509">
        <v>150</v>
      </c>
      <c r="F509">
        <v>0.09</v>
      </c>
      <c r="G509" t="s">
        <v>107</v>
      </c>
    </row>
    <row r="510" spans="1:7" x14ac:dyDescent="0.25">
      <c r="A510" s="17">
        <v>43297</v>
      </c>
      <c r="B510" t="s">
        <v>101</v>
      </c>
      <c r="C510" t="s">
        <v>99</v>
      </c>
      <c r="D510">
        <v>7</v>
      </c>
      <c r="E510">
        <v>230</v>
      </c>
      <c r="F510">
        <v>0.05</v>
      </c>
      <c r="G510" t="s">
        <v>110</v>
      </c>
    </row>
    <row r="511" spans="1:7" x14ac:dyDescent="0.25">
      <c r="A511" s="17">
        <v>43298</v>
      </c>
      <c r="B511" t="s">
        <v>111</v>
      </c>
      <c r="C511" t="s">
        <v>104</v>
      </c>
      <c r="D511">
        <v>9</v>
      </c>
      <c r="E511">
        <v>150</v>
      </c>
      <c r="F511">
        <v>0.02</v>
      </c>
      <c r="G511" t="s">
        <v>112</v>
      </c>
    </row>
    <row r="512" spans="1:7" x14ac:dyDescent="0.25">
      <c r="A512" s="17">
        <v>43298</v>
      </c>
      <c r="B512" t="s">
        <v>98</v>
      </c>
      <c r="C512" t="s">
        <v>109</v>
      </c>
      <c r="D512">
        <v>3</v>
      </c>
      <c r="E512">
        <v>40</v>
      </c>
      <c r="F512">
        <v>0.03</v>
      </c>
      <c r="G512" t="s">
        <v>113</v>
      </c>
    </row>
    <row r="513" spans="1:7" x14ac:dyDescent="0.25">
      <c r="A513" s="17">
        <v>43298</v>
      </c>
      <c r="B513" t="s">
        <v>95</v>
      </c>
      <c r="C513" t="s">
        <v>106</v>
      </c>
      <c r="D513">
        <v>2</v>
      </c>
      <c r="E513">
        <v>80</v>
      </c>
      <c r="F513">
        <v>0.08</v>
      </c>
      <c r="G513" t="s">
        <v>114</v>
      </c>
    </row>
    <row r="514" spans="1:7" x14ac:dyDescent="0.25">
      <c r="A514" s="17">
        <v>43298</v>
      </c>
      <c r="B514" t="s">
        <v>108</v>
      </c>
      <c r="C514" t="s">
        <v>109</v>
      </c>
      <c r="D514">
        <v>19</v>
      </c>
      <c r="E514">
        <v>16</v>
      </c>
      <c r="F514">
        <v>0.02</v>
      </c>
      <c r="G514" t="s">
        <v>115</v>
      </c>
    </row>
    <row r="515" spans="1:7" x14ac:dyDescent="0.25">
      <c r="A515" s="17">
        <v>43298</v>
      </c>
      <c r="B515" t="s">
        <v>108</v>
      </c>
      <c r="C515" t="s">
        <v>99</v>
      </c>
      <c r="D515">
        <v>21</v>
      </c>
      <c r="E515">
        <v>16</v>
      </c>
      <c r="F515">
        <v>0.02</v>
      </c>
      <c r="G515" t="s">
        <v>116</v>
      </c>
    </row>
    <row r="516" spans="1:7" x14ac:dyDescent="0.25">
      <c r="A516" s="17">
        <v>43298</v>
      </c>
      <c r="B516" t="s">
        <v>95</v>
      </c>
      <c r="C516" t="s">
        <v>106</v>
      </c>
      <c r="D516">
        <v>21</v>
      </c>
      <c r="E516">
        <v>80</v>
      </c>
      <c r="F516">
        <v>0.05</v>
      </c>
      <c r="G516" t="s">
        <v>97</v>
      </c>
    </row>
    <row r="517" spans="1:7" x14ac:dyDescent="0.25">
      <c r="A517" s="17">
        <v>43298</v>
      </c>
      <c r="B517" t="s">
        <v>101</v>
      </c>
      <c r="C517" t="s">
        <v>109</v>
      </c>
      <c r="D517">
        <v>3</v>
      </c>
      <c r="E517">
        <v>230</v>
      </c>
      <c r="F517">
        <v>0.1</v>
      </c>
      <c r="G517" t="s">
        <v>100</v>
      </c>
    </row>
    <row r="518" spans="1:7" x14ac:dyDescent="0.25">
      <c r="A518" s="17">
        <v>43298</v>
      </c>
      <c r="B518" t="s">
        <v>98</v>
      </c>
      <c r="C518" t="s">
        <v>104</v>
      </c>
      <c r="D518">
        <v>4</v>
      </c>
      <c r="E518">
        <v>40</v>
      </c>
      <c r="F518">
        <v>0.11</v>
      </c>
      <c r="G518" t="s">
        <v>102</v>
      </c>
    </row>
    <row r="519" spans="1:7" x14ac:dyDescent="0.25">
      <c r="A519" s="17">
        <v>43298</v>
      </c>
      <c r="B519" t="s">
        <v>111</v>
      </c>
      <c r="C519" t="s">
        <v>109</v>
      </c>
      <c r="D519">
        <v>7</v>
      </c>
      <c r="E519">
        <v>150</v>
      </c>
      <c r="F519">
        <v>0.03</v>
      </c>
      <c r="G519" t="s">
        <v>103</v>
      </c>
    </row>
    <row r="520" spans="1:7" x14ac:dyDescent="0.25">
      <c r="A520" s="17">
        <v>43298</v>
      </c>
      <c r="B520" t="s">
        <v>108</v>
      </c>
      <c r="C520" t="s">
        <v>104</v>
      </c>
      <c r="D520">
        <v>11</v>
      </c>
      <c r="E520">
        <v>16</v>
      </c>
      <c r="F520">
        <v>0.12</v>
      </c>
      <c r="G520" t="s">
        <v>105</v>
      </c>
    </row>
    <row r="521" spans="1:7" x14ac:dyDescent="0.25">
      <c r="A521" s="17">
        <v>43298</v>
      </c>
      <c r="B521" t="s">
        <v>95</v>
      </c>
      <c r="C521" t="s">
        <v>96</v>
      </c>
      <c r="D521">
        <v>17</v>
      </c>
      <c r="E521">
        <v>80</v>
      </c>
      <c r="F521">
        <v>7.0000000000000007E-2</v>
      </c>
      <c r="G521" t="s">
        <v>107</v>
      </c>
    </row>
    <row r="522" spans="1:7" x14ac:dyDescent="0.25">
      <c r="A522" s="17">
        <v>43298</v>
      </c>
      <c r="B522" t="s">
        <v>108</v>
      </c>
      <c r="C522" t="s">
        <v>106</v>
      </c>
      <c r="D522">
        <v>5</v>
      </c>
      <c r="E522">
        <v>16</v>
      </c>
      <c r="F522">
        <v>0.09</v>
      </c>
      <c r="G522" t="s">
        <v>110</v>
      </c>
    </row>
    <row r="523" spans="1:7" x14ac:dyDescent="0.25">
      <c r="A523" s="17">
        <v>43298</v>
      </c>
      <c r="B523" t="s">
        <v>108</v>
      </c>
      <c r="C523" t="s">
        <v>109</v>
      </c>
      <c r="D523">
        <v>13</v>
      </c>
      <c r="E523">
        <v>16</v>
      </c>
      <c r="F523">
        <v>7.0000000000000007E-2</v>
      </c>
      <c r="G523" t="s">
        <v>112</v>
      </c>
    </row>
    <row r="524" spans="1:7" x14ac:dyDescent="0.25">
      <c r="A524" s="17">
        <v>43298</v>
      </c>
      <c r="B524" t="s">
        <v>95</v>
      </c>
      <c r="C524" t="s">
        <v>109</v>
      </c>
      <c r="D524">
        <v>9</v>
      </c>
      <c r="E524">
        <v>80</v>
      </c>
      <c r="F524">
        <v>0.02</v>
      </c>
      <c r="G524" t="s">
        <v>113</v>
      </c>
    </row>
    <row r="525" spans="1:7" x14ac:dyDescent="0.25">
      <c r="A525" s="17">
        <v>43299</v>
      </c>
      <c r="B525" t="s">
        <v>95</v>
      </c>
      <c r="C525" t="s">
        <v>109</v>
      </c>
      <c r="D525">
        <v>9</v>
      </c>
      <c r="E525">
        <v>80</v>
      </c>
      <c r="F525">
        <v>0.02</v>
      </c>
      <c r="G525" t="s">
        <v>114</v>
      </c>
    </row>
    <row r="526" spans="1:7" x14ac:dyDescent="0.25">
      <c r="A526" s="17">
        <v>43299</v>
      </c>
      <c r="B526" t="s">
        <v>95</v>
      </c>
      <c r="C526" t="s">
        <v>106</v>
      </c>
      <c r="D526">
        <v>22</v>
      </c>
      <c r="E526">
        <v>80</v>
      </c>
      <c r="F526">
        <v>0.03</v>
      </c>
      <c r="G526" t="s">
        <v>115</v>
      </c>
    </row>
    <row r="527" spans="1:7" x14ac:dyDescent="0.25">
      <c r="A527" s="17">
        <v>43299</v>
      </c>
      <c r="B527" t="s">
        <v>111</v>
      </c>
      <c r="C527" t="s">
        <v>96</v>
      </c>
      <c r="D527">
        <v>13</v>
      </c>
      <c r="E527">
        <v>150</v>
      </c>
      <c r="F527">
        <v>0.05</v>
      </c>
      <c r="G527" t="s">
        <v>116</v>
      </c>
    </row>
    <row r="528" spans="1:7" x14ac:dyDescent="0.25">
      <c r="A528" s="17">
        <v>43299</v>
      </c>
      <c r="B528" t="s">
        <v>95</v>
      </c>
      <c r="C528" t="s">
        <v>96</v>
      </c>
      <c r="D528">
        <v>14</v>
      </c>
      <c r="E528">
        <v>80</v>
      </c>
      <c r="F528">
        <v>0.08</v>
      </c>
      <c r="G528" t="s">
        <v>97</v>
      </c>
    </row>
    <row r="529" spans="1:7" x14ac:dyDescent="0.25">
      <c r="A529" s="17">
        <v>43299</v>
      </c>
      <c r="B529" t="s">
        <v>95</v>
      </c>
      <c r="C529" t="s">
        <v>96</v>
      </c>
      <c r="D529">
        <v>6</v>
      </c>
      <c r="E529">
        <v>80</v>
      </c>
      <c r="F529">
        <v>7.0000000000000007E-2</v>
      </c>
      <c r="G529" t="s">
        <v>100</v>
      </c>
    </row>
    <row r="530" spans="1:7" x14ac:dyDescent="0.25">
      <c r="A530" s="17">
        <v>43299</v>
      </c>
      <c r="B530" t="s">
        <v>95</v>
      </c>
      <c r="C530" t="s">
        <v>96</v>
      </c>
      <c r="D530">
        <v>16</v>
      </c>
      <c r="E530">
        <v>80</v>
      </c>
      <c r="F530">
        <v>0.03</v>
      </c>
      <c r="G530" t="s">
        <v>102</v>
      </c>
    </row>
    <row r="531" spans="1:7" x14ac:dyDescent="0.25">
      <c r="A531" s="17">
        <v>43299</v>
      </c>
      <c r="B531" t="s">
        <v>111</v>
      </c>
      <c r="C531" t="s">
        <v>104</v>
      </c>
      <c r="D531">
        <v>22</v>
      </c>
      <c r="E531">
        <v>150</v>
      </c>
      <c r="F531">
        <v>0.09</v>
      </c>
      <c r="G531" t="s">
        <v>103</v>
      </c>
    </row>
    <row r="532" spans="1:7" x14ac:dyDescent="0.25">
      <c r="A532" s="17">
        <v>43299</v>
      </c>
      <c r="B532" t="s">
        <v>111</v>
      </c>
      <c r="C532" t="s">
        <v>106</v>
      </c>
      <c r="D532">
        <v>4</v>
      </c>
      <c r="E532">
        <v>150</v>
      </c>
      <c r="F532">
        <v>0.12</v>
      </c>
      <c r="G532" t="s">
        <v>105</v>
      </c>
    </row>
    <row r="533" spans="1:7" x14ac:dyDescent="0.25">
      <c r="A533" s="17">
        <v>43299</v>
      </c>
      <c r="B533" t="s">
        <v>101</v>
      </c>
      <c r="C533" t="s">
        <v>109</v>
      </c>
      <c r="D533">
        <v>7</v>
      </c>
      <c r="E533">
        <v>230</v>
      </c>
      <c r="F533">
        <v>0.05</v>
      </c>
      <c r="G533" t="s">
        <v>107</v>
      </c>
    </row>
    <row r="534" spans="1:7" x14ac:dyDescent="0.25">
      <c r="A534" s="17">
        <v>43299</v>
      </c>
      <c r="B534" t="s">
        <v>111</v>
      </c>
      <c r="C534" t="s">
        <v>106</v>
      </c>
      <c r="D534">
        <v>20</v>
      </c>
      <c r="E534">
        <v>150</v>
      </c>
      <c r="F534">
        <v>0.1</v>
      </c>
      <c r="G534" t="s">
        <v>110</v>
      </c>
    </row>
    <row r="535" spans="1:7" x14ac:dyDescent="0.25">
      <c r="A535" s="17">
        <v>43299</v>
      </c>
      <c r="B535" t="s">
        <v>101</v>
      </c>
      <c r="C535" t="s">
        <v>106</v>
      </c>
      <c r="D535">
        <v>8</v>
      </c>
      <c r="E535">
        <v>230</v>
      </c>
      <c r="F535">
        <v>0.05</v>
      </c>
      <c r="G535" t="s">
        <v>112</v>
      </c>
    </row>
    <row r="536" spans="1:7" x14ac:dyDescent="0.25">
      <c r="A536" s="17">
        <v>43300</v>
      </c>
      <c r="B536" t="s">
        <v>98</v>
      </c>
      <c r="C536" t="s">
        <v>106</v>
      </c>
      <c r="D536">
        <v>9</v>
      </c>
      <c r="E536">
        <v>40</v>
      </c>
      <c r="F536">
        <v>0.06</v>
      </c>
      <c r="G536" t="s">
        <v>113</v>
      </c>
    </row>
    <row r="537" spans="1:7" x14ac:dyDescent="0.25">
      <c r="A537" s="17">
        <v>43300</v>
      </c>
      <c r="B537" t="s">
        <v>101</v>
      </c>
      <c r="C537" t="s">
        <v>106</v>
      </c>
      <c r="D537">
        <v>19</v>
      </c>
      <c r="E537">
        <v>230</v>
      </c>
      <c r="F537">
        <v>0.06</v>
      </c>
      <c r="G537" t="s">
        <v>114</v>
      </c>
    </row>
    <row r="538" spans="1:7" x14ac:dyDescent="0.25">
      <c r="A538" s="17">
        <v>43300</v>
      </c>
      <c r="B538" t="s">
        <v>98</v>
      </c>
      <c r="C538" t="s">
        <v>106</v>
      </c>
      <c r="D538">
        <v>22</v>
      </c>
      <c r="E538">
        <v>40</v>
      </c>
      <c r="F538">
        <v>0.01</v>
      </c>
      <c r="G538" t="s">
        <v>115</v>
      </c>
    </row>
    <row r="539" spans="1:7" x14ac:dyDescent="0.25">
      <c r="A539" s="17">
        <v>43300</v>
      </c>
      <c r="B539" t="s">
        <v>98</v>
      </c>
      <c r="C539" t="s">
        <v>96</v>
      </c>
      <c r="D539">
        <v>22</v>
      </c>
      <c r="E539">
        <v>40</v>
      </c>
      <c r="F539">
        <v>0.02</v>
      </c>
      <c r="G539" t="s">
        <v>116</v>
      </c>
    </row>
    <row r="540" spans="1:7" x14ac:dyDescent="0.25">
      <c r="A540" s="17">
        <v>43300</v>
      </c>
      <c r="B540" t="s">
        <v>95</v>
      </c>
      <c r="C540" t="s">
        <v>109</v>
      </c>
      <c r="D540">
        <v>10</v>
      </c>
      <c r="E540">
        <v>80</v>
      </c>
      <c r="F540">
        <v>0.06</v>
      </c>
      <c r="G540" t="s">
        <v>97</v>
      </c>
    </row>
    <row r="541" spans="1:7" x14ac:dyDescent="0.25">
      <c r="A541" s="17">
        <v>43300</v>
      </c>
      <c r="B541" t="s">
        <v>98</v>
      </c>
      <c r="C541" t="s">
        <v>106</v>
      </c>
      <c r="D541">
        <v>7</v>
      </c>
      <c r="E541">
        <v>40</v>
      </c>
      <c r="F541">
        <v>0.11</v>
      </c>
      <c r="G541" t="s">
        <v>100</v>
      </c>
    </row>
    <row r="542" spans="1:7" x14ac:dyDescent="0.25">
      <c r="A542" s="17">
        <v>43300</v>
      </c>
      <c r="B542" t="s">
        <v>101</v>
      </c>
      <c r="C542" t="s">
        <v>96</v>
      </c>
      <c r="D542">
        <v>7</v>
      </c>
      <c r="E542">
        <v>230</v>
      </c>
      <c r="F542">
        <v>0.08</v>
      </c>
      <c r="G542" t="s">
        <v>102</v>
      </c>
    </row>
    <row r="543" spans="1:7" x14ac:dyDescent="0.25">
      <c r="A543" s="17">
        <v>43300</v>
      </c>
      <c r="B543" t="s">
        <v>108</v>
      </c>
      <c r="C543" t="s">
        <v>96</v>
      </c>
      <c r="D543">
        <v>18</v>
      </c>
      <c r="E543">
        <v>16</v>
      </c>
      <c r="F543">
        <v>0.11</v>
      </c>
      <c r="G543" t="s">
        <v>103</v>
      </c>
    </row>
    <row r="544" spans="1:7" x14ac:dyDescent="0.25">
      <c r="A544" s="17">
        <v>43300</v>
      </c>
      <c r="B544" t="s">
        <v>101</v>
      </c>
      <c r="C544" t="s">
        <v>104</v>
      </c>
      <c r="D544">
        <v>14</v>
      </c>
      <c r="E544">
        <v>230</v>
      </c>
      <c r="F544">
        <v>0.12</v>
      </c>
      <c r="G544" t="s">
        <v>105</v>
      </c>
    </row>
    <row r="545" spans="1:7" x14ac:dyDescent="0.25">
      <c r="A545" s="17">
        <v>43300</v>
      </c>
      <c r="B545" t="s">
        <v>98</v>
      </c>
      <c r="C545" t="s">
        <v>99</v>
      </c>
      <c r="D545">
        <v>21</v>
      </c>
      <c r="E545">
        <v>40</v>
      </c>
      <c r="F545">
        <v>0.03</v>
      </c>
      <c r="G545" t="s">
        <v>107</v>
      </c>
    </row>
    <row r="546" spans="1:7" x14ac:dyDescent="0.25">
      <c r="A546" s="17">
        <v>43300</v>
      </c>
      <c r="B546" t="s">
        <v>111</v>
      </c>
      <c r="C546" t="s">
        <v>96</v>
      </c>
      <c r="D546">
        <v>3</v>
      </c>
      <c r="E546">
        <v>150</v>
      </c>
      <c r="F546">
        <v>0.03</v>
      </c>
      <c r="G546" t="s">
        <v>110</v>
      </c>
    </row>
    <row r="547" spans="1:7" x14ac:dyDescent="0.25">
      <c r="A547" s="17">
        <v>43300</v>
      </c>
      <c r="B547" t="s">
        <v>95</v>
      </c>
      <c r="C547" t="s">
        <v>96</v>
      </c>
      <c r="D547">
        <v>12</v>
      </c>
      <c r="E547">
        <v>80</v>
      </c>
      <c r="F547">
        <v>0.04</v>
      </c>
      <c r="G547" t="s">
        <v>112</v>
      </c>
    </row>
    <row r="548" spans="1:7" x14ac:dyDescent="0.25">
      <c r="A548" s="17">
        <v>43301</v>
      </c>
      <c r="B548" t="s">
        <v>111</v>
      </c>
      <c r="C548" t="s">
        <v>106</v>
      </c>
      <c r="D548">
        <v>6</v>
      </c>
      <c r="E548">
        <v>150</v>
      </c>
      <c r="F548">
        <v>0.03</v>
      </c>
      <c r="G548" t="s">
        <v>113</v>
      </c>
    </row>
    <row r="549" spans="1:7" x14ac:dyDescent="0.25">
      <c r="A549" s="17">
        <v>43301</v>
      </c>
      <c r="B549" t="s">
        <v>98</v>
      </c>
      <c r="C549" t="s">
        <v>104</v>
      </c>
      <c r="D549">
        <v>20</v>
      </c>
      <c r="E549">
        <v>40</v>
      </c>
      <c r="F549">
        <v>0.01</v>
      </c>
      <c r="G549" t="s">
        <v>114</v>
      </c>
    </row>
    <row r="550" spans="1:7" x14ac:dyDescent="0.25">
      <c r="A550" s="17">
        <v>43301</v>
      </c>
      <c r="B550" t="s">
        <v>101</v>
      </c>
      <c r="C550" t="s">
        <v>96</v>
      </c>
      <c r="D550">
        <v>3</v>
      </c>
      <c r="E550">
        <v>230</v>
      </c>
      <c r="F550">
        <v>0.06</v>
      </c>
      <c r="G550" t="s">
        <v>110</v>
      </c>
    </row>
    <row r="551" spans="1:7" x14ac:dyDescent="0.25">
      <c r="A551" s="17">
        <v>43301</v>
      </c>
      <c r="B551" t="s">
        <v>101</v>
      </c>
      <c r="C551" t="s">
        <v>106</v>
      </c>
      <c r="D551">
        <v>3</v>
      </c>
      <c r="E551">
        <v>230</v>
      </c>
      <c r="F551">
        <v>0.01</v>
      </c>
      <c r="G551" t="s">
        <v>112</v>
      </c>
    </row>
    <row r="552" spans="1:7" x14ac:dyDescent="0.25">
      <c r="A552" s="17">
        <v>43301</v>
      </c>
      <c r="B552" t="s">
        <v>98</v>
      </c>
      <c r="C552" t="s">
        <v>96</v>
      </c>
      <c r="D552">
        <v>20</v>
      </c>
      <c r="E552">
        <v>40</v>
      </c>
      <c r="F552">
        <v>0.04</v>
      </c>
      <c r="G552" t="s">
        <v>113</v>
      </c>
    </row>
    <row r="553" spans="1:7" x14ac:dyDescent="0.25">
      <c r="A553" s="17">
        <v>43301</v>
      </c>
      <c r="B553" t="s">
        <v>95</v>
      </c>
      <c r="C553" t="s">
        <v>104</v>
      </c>
      <c r="D553">
        <v>16</v>
      </c>
      <c r="E553">
        <v>80</v>
      </c>
      <c r="F553">
        <v>0.02</v>
      </c>
      <c r="G553" t="s">
        <v>114</v>
      </c>
    </row>
    <row r="554" spans="1:7" x14ac:dyDescent="0.25">
      <c r="A554" s="17">
        <v>43301</v>
      </c>
      <c r="B554" t="s">
        <v>111</v>
      </c>
      <c r="C554" t="s">
        <v>96</v>
      </c>
      <c r="D554">
        <v>8</v>
      </c>
      <c r="E554">
        <v>150</v>
      </c>
      <c r="F554">
        <v>0.09</v>
      </c>
      <c r="G554" t="s">
        <v>110</v>
      </c>
    </row>
    <row r="555" spans="1:7" x14ac:dyDescent="0.25">
      <c r="A555" s="17">
        <v>43302</v>
      </c>
      <c r="B555" t="s">
        <v>101</v>
      </c>
      <c r="C555" t="s">
        <v>99</v>
      </c>
      <c r="D555">
        <v>7</v>
      </c>
      <c r="E555">
        <v>230</v>
      </c>
      <c r="F555">
        <v>0.01</v>
      </c>
      <c r="G555" t="s">
        <v>112</v>
      </c>
    </row>
    <row r="556" spans="1:7" x14ac:dyDescent="0.25">
      <c r="A556" s="17">
        <v>43302</v>
      </c>
      <c r="B556" t="s">
        <v>111</v>
      </c>
      <c r="C556" t="s">
        <v>99</v>
      </c>
      <c r="D556">
        <v>23</v>
      </c>
      <c r="E556">
        <v>150</v>
      </c>
      <c r="F556">
        <v>0.11</v>
      </c>
      <c r="G556" t="s">
        <v>113</v>
      </c>
    </row>
    <row r="557" spans="1:7" x14ac:dyDescent="0.25">
      <c r="A557" s="17">
        <v>43302</v>
      </c>
      <c r="B557" t="s">
        <v>98</v>
      </c>
      <c r="C557" t="s">
        <v>109</v>
      </c>
      <c r="D557">
        <v>16</v>
      </c>
      <c r="E557">
        <v>40</v>
      </c>
      <c r="F557">
        <v>0.09</v>
      </c>
      <c r="G557" t="s">
        <v>114</v>
      </c>
    </row>
    <row r="558" spans="1:7" x14ac:dyDescent="0.25">
      <c r="A558" s="17">
        <v>43302</v>
      </c>
      <c r="B558" t="s">
        <v>98</v>
      </c>
      <c r="C558" t="s">
        <v>109</v>
      </c>
      <c r="D558">
        <v>20</v>
      </c>
      <c r="E558">
        <v>40</v>
      </c>
      <c r="F558">
        <v>0.1</v>
      </c>
      <c r="G558" t="s">
        <v>110</v>
      </c>
    </row>
    <row r="559" spans="1:7" x14ac:dyDescent="0.25">
      <c r="A559" s="17">
        <v>43302</v>
      </c>
      <c r="B559" t="s">
        <v>98</v>
      </c>
      <c r="C559" t="s">
        <v>99</v>
      </c>
      <c r="D559">
        <v>18</v>
      </c>
      <c r="E559">
        <v>40</v>
      </c>
      <c r="F559">
        <v>0.08</v>
      </c>
      <c r="G559" t="s">
        <v>112</v>
      </c>
    </row>
    <row r="560" spans="1:7" x14ac:dyDescent="0.25">
      <c r="A560" s="17">
        <v>43302</v>
      </c>
      <c r="B560" t="s">
        <v>95</v>
      </c>
      <c r="C560" t="s">
        <v>109</v>
      </c>
      <c r="D560">
        <v>22</v>
      </c>
      <c r="E560">
        <v>80</v>
      </c>
      <c r="F560">
        <v>0.09</v>
      </c>
      <c r="G560" t="s">
        <v>113</v>
      </c>
    </row>
    <row r="561" spans="1:7" x14ac:dyDescent="0.25">
      <c r="A561" s="17">
        <v>43302</v>
      </c>
      <c r="B561" t="s">
        <v>111</v>
      </c>
      <c r="C561" t="s">
        <v>99</v>
      </c>
      <c r="D561">
        <v>22</v>
      </c>
      <c r="E561">
        <v>150</v>
      </c>
      <c r="F561">
        <v>0.02</v>
      </c>
      <c r="G561" t="s">
        <v>114</v>
      </c>
    </row>
    <row r="562" spans="1:7" x14ac:dyDescent="0.25">
      <c r="A562" s="17">
        <v>43302</v>
      </c>
      <c r="B562" t="s">
        <v>111</v>
      </c>
      <c r="C562" t="s">
        <v>99</v>
      </c>
      <c r="D562">
        <v>20</v>
      </c>
      <c r="E562">
        <v>150</v>
      </c>
      <c r="F562">
        <v>0.09</v>
      </c>
      <c r="G562" t="s">
        <v>110</v>
      </c>
    </row>
    <row r="563" spans="1:7" x14ac:dyDescent="0.25">
      <c r="A563" s="17">
        <v>43302</v>
      </c>
      <c r="B563" t="s">
        <v>108</v>
      </c>
      <c r="C563" t="s">
        <v>96</v>
      </c>
      <c r="D563">
        <v>10</v>
      </c>
      <c r="E563">
        <v>16</v>
      </c>
      <c r="F563">
        <v>0.08</v>
      </c>
      <c r="G563" t="s">
        <v>112</v>
      </c>
    </row>
    <row r="564" spans="1:7" x14ac:dyDescent="0.25">
      <c r="A564" s="17">
        <v>43302</v>
      </c>
      <c r="B564" t="s">
        <v>98</v>
      </c>
      <c r="C564" t="s">
        <v>104</v>
      </c>
      <c r="D564">
        <v>12</v>
      </c>
      <c r="E564">
        <v>40</v>
      </c>
      <c r="F564">
        <v>0.02</v>
      </c>
      <c r="G564" t="s">
        <v>113</v>
      </c>
    </row>
    <row r="565" spans="1:7" x14ac:dyDescent="0.25">
      <c r="A565" s="17">
        <v>43302</v>
      </c>
      <c r="B565" t="s">
        <v>111</v>
      </c>
      <c r="C565" t="s">
        <v>96</v>
      </c>
      <c r="D565">
        <v>4</v>
      </c>
      <c r="E565">
        <v>150</v>
      </c>
      <c r="F565">
        <v>0.1</v>
      </c>
      <c r="G565" t="s">
        <v>114</v>
      </c>
    </row>
    <row r="566" spans="1:7" x14ac:dyDescent="0.25">
      <c r="A566" s="17">
        <v>43302</v>
      </c>
      <c r="B566" t="s">
        <v>95</v>
      </c>
      <c r="C566" t="s">
        <v>104</v>
      </c>
      <c r="D566">
        <v>5</v>
      </c>
      <c r="E566">
        <v>80</v>
      </c>
      <c r="F566">
        <v>0.09</v>
      </c>
      <c r="G566" t="s">
        <v>110</v>
      </c>
    </row>
    <row r="567" spans="1:7" x14ac:dyDescent="0.25">
      <c r="A567" s="17">
        <v>43302</v>
      </c>
      <c r="B567" t="s">
        <v>98</v>
      </c>
      <c r="C567" t="s">
        <v>96</v>
      </c>
      <c r="D567">
        <v>11</v>
      </c>
      <c r="E567">
        <v>40</v>
      </c>
      <c r="F567">
        <v>0.04</v>
      </c>
      <c r="G567" t="s">
        <v>112</v>
      </c>
    </row>
    <row r="568" spans="1:7" x14ac:dyDescent="0.25">
      <c r="A568" s="17">
        <v>43302</v>
      </c>
      <c r="B568" t="s">
        <v>111</v>
      </c>
      <c r="C568" t="s">
        <v>99</v>
      </c>
      <c r="D568">
        <v>13</v>
      </c>
      <c r="E568">
        <v>150</v>
      </c>
      <c r="F568">
        <v>0.08</v>
      </c>
      <c r="G568" t="s">
        <v>113</v>
      </c>
    </row>
    <row r="569" spans="1:7" x14ac:dyDescent="0.25">
      <c r="A569" s="17">
        <v>43302</v>
      </c>
      <c r="B569" t="s">
        <v>95</v>
      </c>
      <c r="C569" t="s">
        <v>106</v>
      </c>
      <c r="D569">
        <v>19</v>
      </c>
      <c r="E569">
        <v>80</v>
      </c>
      <c r="F569">
        <v>0.02</v>
      </c>
      <c r="G569" t="s">
        <v>114</v>
      </c>
    </row>
    <row r="570" spans="1:7" x14ac:dyDescent="0.25">
      <c r="A570" s="17">
        <v>43302</v>
      </c>
      <c r="B570" t="s">
        <v>101</v>
      </c>
      <c r="C570" t="s">
        <v>99</v>
      </c>
      <c r="D570">
        <v>7</v>
      </c>
      <c r="E570">
        <v>230</v>
      </c>
      <c r="F570">
        <v>0.01</v>
      </c>
      <c r="G570" t="s">
        <v>110</v>
      </c>
    </row>
    <row r="571" spans="1:7" x14ac:dyDescent="0.25">
      <c r="A571" s="17">
        <v>43303</v>
      </c>
      <c r="B571" t="s">
        <v>95</v>
      </c>
      <c r="C571" t="s">
        <v>109</v>
      </c>
      <c r="D571">
        <v>16</v>
      </c>
      <c r="E571">
        <v>80</v>
      </c>
      <c r="F571">
        <v>0.09</v>
      </c>
      <c r="G571" t="s">
        <v>112</v>
      </c>
    </row>
    <row r="572" spans="1:7" x14ac:dyDescent="0.25">
      <c r="A572" s="17">
        <v>43303</v>
      </c>
      <c r="B572" t="s">
        <v>101</v>
      </c>
      <c r="C572" t="s">
        <v>96</v>
      </c>
      <c r="D572">
        <v>7</v>
      </c>
      <c r="E572">
        <v>230</v>
      </c>
      <c r="F572">
        <v>0.02</v>
      </c>
      <c r="G572" t="s">
        <v>113</v>
      </c>
    </row>
    <row r="573" spans="1:7" x14ac:dyDescent="0.25">
      <c r="A573" s="17">
        <v>43303</v>
      </c>
      <c r="B573" t="s">
        <v>98</v>
      </c>
      <c r="C573" t="s">
        <v>96</v>
      </c>
      <c r="D573">
        <v>5</v>
      </c>
      <c r="E573">
        <v>40</v>
      </c>
      <c r="F573">
        <v>0.06</v>
      </c>
      <c r="G573" t="s">
        <v>114</v>
      </c>
    </row>
    <row r="574" spans="1:7" x14ac:dyDescent="0.25">
      <c r="A574" s="17">
        <v>43303</v>
      </c>
      <c r="B574" t="s">
        <v>111</v>
      </c>
      <c r="C574" t="s">
        <v>104</v>
      </c>
      <c r="D574">
        <v>9</v>
      </c>
      <c r="E574">
        <v>150</v>
      </c>
      <c r="F574">
        <v>0.06</v>
      </c>
      <c r="G574" t="s">
        <v>110</v>
      </c>
    </row>
    <row r="575" spans="1:7" x14ac:dyDescent="0.25">
      <c r="A575" s="17">
        <v>43303</v>
      </c>
      <c r="B575" t="s">
        <v>98</v>
      </c>
      <c r="C575" t="s">
        <v>109</v>
      </c>
      <c r="D575">
        <v>20</v>
      </c>
      <c r="E575">
        <v>40</v>
      </c>
      <c r="F575">
        <v>7.0000000000000007E-2</v>
      </c>
      <c r="G575" t="s">
        <v>112</v>
      </c>
    </row>
    <row r="576" spans="1:7" x14ac:dyDescent="0.25">
      <c r="A576" s="17">
        <v>43303</v>
      </c>
      <c r="B576" t="s">
        <v>108</v>
      </c>
      <c r="C576" t="s">
        <v>99</v>
      </c>
      <c r="D576">
        <v>20</v>
      </c>
      <c r="E576">
        <v>16</v>
      </c>
      <c r="F576">
        <v>0.06</v>
      </c>
      <c r="G576" t="s">
        <v>113</v>
      </c>
    </row>
    <row r="577" spans="1:7" x14ac:dyDescent="0.25">
      <c r="A577" s="17">
        <v>43303</v>
      </c>
      <c r="B577" t="s">
        <v>98</v>
      </c>
      <c r="C577" t="s">
        <v>109</v>
      </c>
      <c r="D577">
        <v>5</v>
      </c>
      <c r="E577">
        <v>40</v>
      </c>
      <c r="F577">
        <v>0.03</v>
      </c>
      <c r="G577" t="s">
        <v>114</v>
      </c>
    </row>
    <row r="578" spans="1:7" x14ac:dyDescent="0.25">
      <c r="A578" s="17">
        <v>43304</v>
      </c>
      <c r="B578" t="s">
        <v>95</v>
      </c>
      <c r="C578" t="s">
        <v>106</v>
      </c>
      <c r="D578">
        <v>7</v>
      </c>
      <c r="E578">
        <v>80</v>
      </c>
      <c r="F578">
        <v>7.0000000000000007E-2</v>
      </c>
      <c r="G578" t="s">
        <v>110</v>
      </c>
    </row>
    <row r="579" spans="1:7" x14ac:dyDescent="0.25">
      <c r="A579" s="17">
        <v>43304</v>
      </c>
      <c r="B579" t="s">
        <v>108</v>
      </c>
      <c r="C579" t="s">
        <v>109</v>
      </c>
      <c r="D579">
        <v>22</v>
      </c>
      <c r="E579">
        <v>16</v>
      </c>
      <c r="F579">
        <v>0.12</v>
      </c>
      <c r="G579" t="s">
        <v>112</v>
      </c>
    </row>
    <row r="580" spans="1:7" x14ac:dyDescent="0.25">
      <c r="A580" s="17">
        <v>43304</v>
      </c>
      <c r="B580" t="s">
        <v>108</v>
      </c>
      <c r="C580" t="s">
        <v>109</v>
      </c>
      <c r="D580">
        <v>11</v>
      </c>
      <c r="E580">
        <v>16</v>
      </c>
      <c r="F580">
        <v>0.12</v>
      </c>
      <c r="G580" t="s">
        <v>113</v>
      </c>
    </row>
    <row r="581" spans="1:7" x14ac:dyDescent="0.25">
      <c r="A581" s="17">
        <v>43304</v>
      </c>
      <c r="B581" t="s">
        <v>101</v>
      </c>
      <c r="C581" t="s">
        <v>106</v>
      </c>
      <c r="D581">
        <v>17</v>
      </c>
      <c r="E581">
        <v>230</v>
      </c>
      <c r="F581">
        <v>0.12</v>
      </c>
      <c r="G581" t="s">
        <v>114</v>
      </c>
    </row>
    <row r="582" spans="1:7" x14ac:dyDescent="0.25">
      <c r="A582" s="17">
        <v>43304</v>
      </c>
      <c r="B582" t="s">
        <v>95</v>
      </c>
      <c r="C582" t="s">
        <v>96</v>
      </c>
      <c r="D582">
        <v>7</v>
      </c>
      <c r="E582">
        <v>80</v>
      </c>
      <c r="F582">
        <v>0.02</v>
      </c>
      <c r="G582" t="s">
        <v>110</v>
      </c>
    </row>
    <row r="583" spans="1:7" x14ac:dyDescent="0.25">
      <c r="A583" s="17">
        <v>43304</v>
      </c>
      <c r="B583" t="s">
        <v>108</v>
      </c>
      <c r="C583" t="s">
        <v>99</v>
      </c>
      <c r="D583">
        <v>5</v>
      </c>
      <c r="E583">
        <v>16</v>
      </c>
      <c r="F583">
        <v>0.11</v>
      </c>
      <c r="G583" t="s">
        <v>112</v>
      </c>
    </row>
    <row r="584" spans="1:7" x14ac:dyDescent="0.25">
      <c r="A584" s="17">
        <v>43304</v>
      </c>
      <c r="B584" t="s">
        <v>111</v>
      </c>
      <c r="C584" t="s">
        <v>109</v>
      </c>
      <c r="D584">
        <v>18</v>
      </c>
      <c r="E584">
        <v>150</v>
      </c>
      <c r="F584">
        <v>0.12</v>
      </c>
      <c r="G584" t="s">
        <v>113</v>
      </c>
    </row>
    <row r="585" spans="1:7" x14ac:dyDescent="0.25">
      <c r="A585" s="17">
        <v>43304</v>
      </c>
      <c r="B585" t="s">
        <v>98</v>
      </c>
      <c r="C585" t="s">
        <v>109</v>
      </c>
      <c r="D585">
        <v>10</v>
      </c>
      <c r="E585">
        <v>40</v>
      </c>
      <c r="F585">
        <v>0.03</v>
      </c>
      <c r="G585" t="s">
        <v>114</v>
      </c>
    </row>
    <row r="586" spans="1:7" x14ac:dyDescent="0.25">
      <c r="A586" s="17">
        <v>43304</v>
      </c>
      <c r="B586" t="s">
        <v>98</v>
      </c>
      <c r="C586" t="s">
        <v>109</v>
      </c>
      <c r="D586">
        <v>14</v>
      </c>
      <c r="E586">
        <v>40</v>
      </c>
      <c r="F586">
        <v>0.11</v>
      </c>
      <c r="G586" t="s">
        <v>110</v>
      </c>
    </row>
    <row r="587" spans="1:7" x14ac:dyDescent="0.25">
      <c r="A587" s="17">
        <v>43304</v>
      </c>
      <c r="B587" t="s">
        <v>98</v>
      </c>
      <c r="C587" t="s">
        <v>109</v>
      </c>
      <c r="D587">
        <v>16</v>
      </c>
      <c r="E587">
        <v>40</v>
      </c>
      <c r="F587">
        <v>0.09</v>
      </c>
      <c r="G587" t="s">
        <v>112</v>
      </c>
    </row>
    <row r="588" spans="1:7" x14ac:dyDescent="0.25">
      <c r="A588" s="17">
        <v>43305</v>
      </c>
      <c r="B588" t="s">
        <v>98</v>
      </c>
      <c r="C588" t="s">
        <v>106</v>
      </c>
      <c r="D588">
        <v>23</v>
      </c>
      <c r="E588">
        <v>40</v>
      </c>
      <c r="F588">
        <v>0.06</v>
      </c>
      <c r="G588" t="s">
        <v>113</v>
      </c>
    </row>
    <row r="589" spans="1:7" x14ac:dyDescent="0.25">
      <c r="A589" s="17">
        <v>43305</v>
      </c>
      <c r="B589" t="s">
        <v>101</v>
      </c>
      <c r="C589" t="s">
        <v>106</v>
      </c>
      <c r="D589">
        <v>8</v>
      </c>
      <c r="E589">
        <v>230</v>
      </c>
      <c r="F589">
        <v>0.05</v>
      </c>
      <c r="G589" t="s">
        <v>114</v>
      </c>
    </row>
    <row r="590" spans="1:7" x14ac:dyDescent="0.25">
      <c r="A590" s="17">
        <v>43305</v>
      </c>
      <c r="B590" t="s">
        <v>108</v>
      </c>
      <c r="C590" t="s">
        <v>106</v>
      </c>
      <c r="D590">
        <v>14</v>
      </c>
      <c r="E590">
        <v>16</v>
      </c>
      <c r="F590">
        <v>0.12</v>
      </c>
      <c r="G590" t="s">
        <v>110</v>
      </c>
    </row>
    <row r="591" spans="1:7" x14ac:dyDescent="0.25">
      <c r="A591" s="17">
        <v>43305</v>
      </c>
      <c r="B591" t="s">
        <v>95</v>
      </c>
      <c r="C591" t="s">
        <v>96</v>
      </c>
      <c r="D591">
        <v>17</v>
      </c>
      <c r="E591">
        <v>80</v>
      </c>
      <c r="F591">
        <v>0.09</v>
      </c>
      <c r="G591" t="s">
        <v>112</v>
      </c>
    </row>
    <row r="592" spans="1:7" x14ac:dyDescent="0.25">
      <c r="A592" s="17">
        <v>43305</v>
      </c>
      <c r="B592" t="s">
        <v>111</v>
      </c>
      <c r="C592" t="s">
        <v>104</v>
      </c>
      <c r="D592">
        <v>11</v>
      </c>
      <c r="E592">
        <v>150</v>
      </c>
      <c r="F592">
        <v>0.11</v>
      </c>
      <c r="G592" t="s">
        <v>113</v>
      </c>
    </row>
    <row r="593" spans="1:7" x14ac:dyDescent="0.25">
      <c r="A593" s="17">
        <v>43305</v>
      </c>
      <c r="B593" t="s">
        <v>98</v>
      </c>
      <c r="C593" t="s">
        <v>106</v>
      </c>
      <c r="D593">
        <v>15</v>
      </c>
      <c r="E593">
        <v>40</v>
      </c>
      <c r="F593">
        <v>0.03</v>
      </c>
      <c r="G593" t="s">
        <v>114</v>
      </c>
    </row>
    <row r="594" spans="1:7" x14ac:dyDescent="0.25">
      <c r="A594" s="17">
        <v>43305</v>
      </c>
      <c r="B594" t="s">
        <v>95</v>
      </c>
      <c r="C594" t="s">
        <v>109</v>
      </c>
      <c r="D594">
        <v>9</v>
      </c>
      <c r="E594">
        <v>80</v>
      </c>
      <c r="F594">
        <v>7.0000000000000007E-2</v>
      </c>
      <c r="G594" t="s">
        <v>110</v>
      </c>
    </row>
    <row r="595" spans="1:7" x14ac:dyDescent="0.25">
      <c r="A595" s="17">
        <v>43305</v>
      </c>
      <c r="B595" t="s">
        <v>101</v>
      </c>
      <c r="C595" t="s">
        <v>99</v>
      </c>
      <c r="D595">
        <v>22</v>
      </c>
      <c r="E595">
        <v>230</v>
      </c>
      <c r="F595">
        <v>0.04</v>
      </c>
      <c r="G595" t="s">
        <v>112</v>
      </c>
    </row>
    <row r="596" spans="1:7" x14ac:dyDescent="0.25">
      <c r="A596" s="17">
        <v>43305</v>
      </c>
      <c r="B596" t="s">
        <v>101</v>
      </c>
      <c r="C596" t="s">
        <v>99</v>
      </c>
      <c r="D596">
        <v>11</v>
      </c>
      <c r="E596">
        <v>230</v>
      </c>
      <c r="F596">
        <v>0.1</v>
      </c>
      <c r="G596" t="s">
        <v>113</v>
      </c>
    </row>
    <row r="597" spans="1:7" x14ac:dyDescent="0.25">
      <c r="A597" s="17">
        <v>43305</v>
      </c>
      <c r="B597" t="s">
        <v>98</v>
      </c>
      <c r="C597" t="s">
        <v>104</v>
      </c>
      <c r="D597">
        <v>11</v>
      </c>
      <c r="E597">
        <v>40</v>
      </c>
      <c r="F597">
        <v>0.12</v>
      </c>
      <c r="G597" t="s">
        <v>114</v>
      </c>
    </row>
    <row r="598" spans="1:7" x14ac:dyDescent="0.25">
      <c r="A598" s="17">
        <v>43305</v>
      </c>
      <c r="B598" t="s">
        <v>98</v>
      </c>
      <c r="C598" t="s">
        <v>106</v>
      </c>
      <c r="D598">
        <v>9</v>
      </c>
      <c r="E598">
        <v>40</v>
      </c>
      <c r="F598">
        <v>0.06</v>
      </c>
      <c r="G598" t="s">
        <v>110</v>
      </c>
    </row>
    <row r="599" spans="1:7" x14ac:dyDescent="0.25">
      <c r="A599" s="17">
        <v>43306</v>
      </c>
      <c r="B599" t="s">
        <v>98</v>
      </c>
      <c r="C599" t="s">
        <v>106</v>
      </c>
      <c r="D599">
        <v>13</v>
      </c>
      <c r="E599">
        <v>40</v>
      </c>
      <c r="F599">
        <v>0.09</v>
      </c>
      <c r="G599" t="s">
        <v>112</v>
      </c>
    </row>
    <row r="600" spans="1:7" x14ac:dyDescent="0.25">
      <c r="A600" s="17">
        <v>43306</v>
      </c>
      <c r="B600" t="s">
        <v>98</v>
      </c>
      <c r="C600" t="s">
        <v>99</v>
      </c>
      <c r="D600">
        <v>4</v>
      </c>
      <c r="E600">
        <v>40</v>
      </c>
      <c r="F600">
        <v>0.12</v>
      </c>
      <c r="G600" t="s">
        <v>113</v>
      </c>
    </row>
    <row r="601" spans="1:7" x14ac:dyDescent="0.25">
      <c r="A601" s="17">
        <v>43306</v>
      </c>
      <c r="B601" t="s">
        <v>111</v>
      </c>
      <c r="C601" t="s">
        <v>96</v>
      </c>
      <c r="D601">
        <v>22</v>
      </c>
      <c r="E601">
        <v>150</v>
      </c>
      <c r="F601">
        <v>0.05</v>
      </c>
      <c r="G601" t="s">
        <v>114</v>
      </c>
    </row>
    <row r="602" spans="1:7" x14ac:dyDescent="0.25">
      <c r="A602" s="17">
        <v>43306</v>
      </c>
      <c r="B602" t="s">
        <v>98</v>
      </c>
      <c r="C602" t="s">
        <v>109</v>
      </c>
      <c r="D602">
        <v>21</v>
      </c>
      <c r="E602">
        <v>40</v>
      </c>
      <c r="F602">
        <v>0.01</v>
      </c>
      <c r="G602" t="s">
        <v>110</v>
      </c>
    </row>
    <row r="603" spans="1:7" x14ac:dyDescent="0.25">
      <c r="A603" s="17">
        <v>43306</v>
      </c>
      <c r="B603" t="s">
        <v>108</v>
      </c>
      <c r="C603" t="s">
        <v>96</v>
      </c>
      <c r="D603">
        <v>16</v>
      </c>
      <c r="E603">
        <v>16</v>
      </c>
      <c r="F603">
        <v>0.03</v>
      </c>
      <c r="G603" t="s">
        <v>112</v>
      </c>
    </row>
    <row r="604" spans="1:7" x14ac:dyDescent="0.25">
      <c r="A604" s="17">
        <v>43306</v>
      </c>
      <c r="B604" t="s">
        <v>95</v>
      </c>
      <c r="C604" t="s">
        <v>106</v>
      </c>
      <c r="D604">
        <v>16</v>
      </c>
      <c r="E604">
        <v>80</v>
      </c>
      <c r="F604">
        <v>7.0000000000000007E-2</v>
      </c>
      <c r="G604" t="s">
        <v>113</v>
      </c>
    </row>
    <row r="605" spans="1:7" x14ac:dyDescent="0.25">
      <c r="A605" s="17">
        <v>43306</v>
      </c>
      <c r="B605" t="s">
        <v>95</v>
      </c>
      <c r="C605" t="s">
        <v>99</v>
      </c>
      <c r="D605">
        <v>15</v>
      </c>
      <c r="E605">
        <v>80</v>
      </c>
      <c r="F605">
        <v>0.12</v>
      </c>
      <c r="G605" t="s">
        <v>114</v>
      </c>
    </row>
    <row r="606" spans="1:7" x14ac:dyDescent="0.25">
      <c r="A606" s="17">
        <v>43306</v>
      </c>
      <c r="B606" t="s">
        <v>111</v>
      </c>
      <c r="C606" t="s">
        <v>96</v>
      </c>
      <c r="D606">
        <v>20</v>
      </c>
      <c r="E606">
        <v>150</v>
      </c>
      <c r="F606">
        <v>0.03</v>
      </c>
      <c r="G606" t="s">
        <v>110</v>
      </c>
    </row>
    <row r="607" spans="1:7" x14ac:dyDescent="0.25">
      <c r="A607" s="17">
        <v>43306</v>
      </c>
      <c r="B607" t="s">
        <v>98</v>
      </c>
      <c r="C607" t="s">
        <v>106</v>
      </c>
      <c r="D607">
        <v>13</v>
      </c>
      <c r="E607">
        <v>40</v>
      </c>
      <c r="F607">
        <v>0.06</v>
      </c>
      <c r="G607" t="s">
        <v>112</v>
      </c>
    </row>
    <row r="608" spans="1:7" x14ac:dyDescent="0.25">
      <c r="A608" s="17">
        <v>43306</v>
      </c>
      <c r="B608" t="s">
        <v>108</v>
      </c>
      <c r="C608" t="s">
        <v>109</v>
      </c>
      <c r="D608">
        <v>3</v>
      </c>
      <c r="E608">
        <v>16</v>
      </c>
      <c r="F608">
        <v>0.06</v>
      </c>
      <c r="G608" t="s">
        <v>113</v>
      </c>
    </row>
    <row r="609" spans="1:7" x14ac:dyDescent="0.25">
      <c r="A609" s="17">
        <v>43306</v>
      </c>
      <c r="B609" t="s">
        <v>108</v>
      </c>
      <c r="C609" t="s">
        <v>104</v>
      </c>
      <c r="D609">
        <v>11</v>
      </c>
      <c r="E609">
        <v>16</v>
      </c>
      <c r="F609">
        <v>0.04</v>
      </c>
      <c r="G609" t="s">
        <v>114</v>
      </c>
    </row>
    <row r="610" spans="1:7" x14ac:dyDescent="0.25">
      <c r="A610" s="17">
        <v>43307</v>
      </c>
      <c r="B610" t="s">
        <v>98</v>
      </c>
      <c r="C610" t="s">
        <v>109</v>
      </c>
      <c r="D610">
        <v>16</v>
      </c>
      <c r="E610">
        <v>40</v>
      </c>
      <c r="F610">
        <v>0.09</v>
      </c>
      <c r="G610" t="s">
        <v>110</v>
      </c>
    </row>
    <row r="611" spans="1:7" x14ac:dyDescent="0.25">
      <c r="A611" s="17">
        <v>43307</v>
      </c>
      <c r="B611" t="s">
        <v>98</v>
      </c>
      <c r="C611" t="s">
        <v>104</v>
      </c>
      <c r="D611">
        <v>4</v>
      </c>
      <c r="E611">
        <v>40</v>
      </c>
      <c r="F611">
        <v>0.06</v>
      </c>
      <c r="G611" t="s">
        <v>112</v>
      </c>
    </row>
    <row r="612" spans="1:7" x14ac:dyDescent="0.25">
      <c r="A612" s="17">
        <v>43307</v>
      </c>
      <c r="B612" t="s">
        <v>98</v>
      </c>
      <c r="C612" t="s">
        <v>104</v>
      </c>
      <c r="D612">
        <v>20</v>
      </c>
      <c r="E612">
        <v>40</v>
      </c>
      <c r="F612">
        <v>0.01</v>
      </c>
      <c r="G612" t="s">
        <v>113</v>
      </c>
    </row>
    <row r="613" spans="1:7" x14ac:dyDescent="0.25">
      <c r="A613" s="17">
        <v>43307</v>
      </c>
      <c r="B613" t="s">
        <v>98</v>
      </c>
      <c r="C613" t="s">
        <v>104</v>
      </c>
      <c r="D613">
        <v>4</v>
      </c>
      <c r="E613">
        <v>40</v>
      </c>
      <c r="F613">
        <v>0.1</v>
      </c>
      <c r="G613" t="s">
        <v>114</v>
      </c>
    </row>
    <row r="614" spans="1:7" x14ac:dyDescent="0.25">
      <c r="A614" s="17">
        <v>43307</v>
      </c>
      <c r="B614" t="s">
        <v>95</v>
      </c>
      <c r="C614" t="s">
        <v>99</v>
      </c>
      <c r="D614">
        <v>14</v>
      </c>
      <c r="E614">
        <v>80</v>
      </c>
      <c r="F614">
        <v>0.06</v>
      </c>
      <c r="G614" t="s">
        <v>110</v>
      </c>
    </row>
    <row r="615" spans="1:7" x14ac:dyDescent="0.25">
      <c r="A615" s="17">
        <v>43307</v>
      </c>
      <c r="B615" t="s">
        <v>111</v>
      </c>
      <c r="C615" t="s">
        <v>99</v>
      </c>
      <c r="D615">
        <v>15</v>
      </c>
      <c r="E615">
        <v>150</v>
      </c>
      <c r="F615">
        <v>0.02</v>
      </c>
      <c r="G615" t="s">
        <v>112</v>
      </c>
    </row>
    <row r="616" spans="1:7" x14ac:dyDescent="0.25">
      <c r="A616" s="17">
        <v>43307</v>
      </c>
      <c r="B616" t="s">
        <v>95</v>
      </c>
      <c r="C616" t="s">
        <v>104</v>
      </c>
      <c r="D616">
        <v>14</v>
      </c>
      <c r="E616">
        <v>80</v>
      </c>
      <c r="F616">
        <v>0.1</v>
      </c>
      <c r="G616" t="s">
        <v>113</v>
      </c>
    </row>
    <row r="617" spans="1:7" x14ac:dyDescent="0.25">
      <c r="A617" s="17">
        <v>43307</v>
      </c>
      <c r="B617" t="s">
        <v>111</v>
      </c>
      <c r="C617" t="s">
        <v>96</v>
      </c>
      <c r="D617">
        <v>20</v>
      </c>
      <c r="E617">
        <v>150</v>
      </c>
      <c r="F617">
        <v>0.04</v>
      </c>
      <c r="G617" t="s">
        <v>114</v>
      </c>
    </row>
    <row r="618" spans="1:7" x14ac:dyDescent="0.25">
      <c r="A618" s="17">
        <v>43307</v>
      </c>
      <c r="B618" t="s">
        <v>95</v>
      </c>
      <c r="C618" t="s">
        <v>109</v>
      </c>
      <c r="D618">
        <v>22</v>
      </c>
      <c r="E618">
        <v>80</v>
      </c>
      <c r="F618">
        <v>0.1</v>
      </c>
      <c r="G618" t="s">
        <v>110</v>
      </c>
    </row>
    <row r="619" spans="1:7" x14ac:dyDescent="0.25">
      <c r="A619" s="17">
        <v>43307</v>
      </c>
      <c r="B619" t="s">
        <v>101</v>
      </c>
      <c r="C619" t="s">
        <v>109</v>
      </c>
      <c r="D619">
        <v>20</v>
      </c>
      <c r="E619">
        <v>230</v>
      </c>
      <c r="F619">
        <v>0.09</v>
      </c>
      <c r="G619" t="s">
        <v>112</v>
      </c>
    </row>
    <row r="620" spans="1:7" x14ac:dyDescent="0.25">
      <c r="A620" s="17">
        <v>43307</v>
      </c>
      <c r="B620" t="s">
        <v>101</v>
      </c>
      <c r="C620" t="s">
        <v>104</v>
      </c>
      <c r="D620">
        <v>12</v>
      </c>
      <c r="E620">
        <v>230</v>
      </c>
      <c r="F620">
        <v>0.03</v>
      </c>
      <c r="G620" t="s">
        <v>113</v>
      </c>
    </row>
    <row r="621" spans="1:7" x14ac:dyDescent="0.25">
      <c r="A621" s="17">
        <v>43308</v>
      </c>
      <c r="B621" t="s">
        <v>95</v>
      </c>
      <c r="C621" t="s">
        <v>96</v>
      </c>
      <c r="D621">
        <v>21</v>
      </c>
      <c r="E621">
        <v>80</v>
      </c>
      <c r="F621">
        <v>0.04</v>
      </c>
      <c r="G621" t="s">
        <v>114</v>
      </c>
    </row>
    <row r="622" spans="1:7" x14ac:dyDescent="0.25">
      <c r="A622" s="17">
        <v>43308</v>
      </c>
      <c r="B622" t="s">
        <v>98</v>
      </c>
      <c r="C622" t="s">
        <v>99</v>
      </c>
      <c r="D622">
        <v>15</v>
      </c>
      <c r="E622">
        <v>40</v>
      </c>
      <c r="F622">
        <v>0.04</v>
      </c>
      <c r="G622" t="s">
        <v>110</v>
      </c>
    </row>
    <row r="623" spans="1:7" x14ac:dyDescent="0.25">
      <c r="A623" s="17">
        <v>43308</v>
      </c>
      <c r="B623" t="s">
        <v>95</v>
      </c>
      <c r="C623" t="s">
        <v>106</v>
      </c>
      <c r="D623">
        <v>16</v>
      </c>
      <c r="E623">
        <v>80</v>
      </c>
      <c r="F623">
        <v>0.1</v>
      </c>
      <c r="G623" t="s">
        <v>112</v>
      </c>
    </row>
    <row r="624" spans="1:7" x14ac:dyDescent="0.25">
      <c r="A624" s="17">
        <v>43308</v>
      </c>
      <c r="B624" t="s">
        <v>101</v>
      </c>
      <c r="C624" t="s">
        <v>109</v>
      </c>
      <c r="D624">
        <v>17</v>
      </c>
      <c r="E624">
        <v>230</v>
      </c>
      <c r="F624">
        <v>0.11</v>
      </c>
      <c r="G624" t="s">
        <v>113</v>
      </c>
    </row>
    <row r="625" spans="1:7" x14ac:dyDescent="0.25">
      <c r="A625" s="17">
        <v>43308</v>
      </c>
      <c r="B625" t="s">
        <v>101</v>
      </c>
      <c r="C625" t="s">
        <v>109</v>
      </c>
      <c r="D625">
        <v>5</v>
      </c>
      <c r="E625">
        <v>230</v>
      </c>
      <c r="F625">
        <v>0.12</v>
      </c>
      <c r="G625" t="s">
        <v>114</v>
      </c>
    </row>
    <row r="626" spans="1:7" x14ac:dyDescent="0.25">
      <c r="A626" s="17">
        <v>43308</v>
      </c>
      <c r="B626" t="s">
        <v>108</v>
      </c>
      <c r="C626" t="s">
        <v>96</v>
      </c>
      <c r="D626">
        <v>20</v>
      </c>
      <c r="E626">
        <v>16</v>
      </c>
      <c r="F626">
        <v>0.01</v>
      </c>
      <c r="G626" t="s">
        <v>110</v>
      </c>
    </row>
    <row r="627" spans="1:7" x14ac:dyDescent="0.25">
      <c r="A627" s="17">
        <v>43308</v>
      </c>
      <c r="B627" t="s">
        <v>101</v>
      </c>
      <c r="C627" t="s">
        <v>96</v>
      </c>
      <c r="D627">
        <v>5</v>
      </c>
      <c r="E627">
        <v>230</v>
      </c>
      <c r="F627">
        <v>0.1</v>
      </c>
      <c r="G627" t="s">
        <v>112</v>
      </c>
    </row>
    <row r="628" spans="1:7" x14ac:dyDescent="0.25">
      <c r="A628" s="17">
        <v>43308</v>
      </c>
      <c r="B628" t="s">
        <v>98</v>
      </c>
      <c r="C628" t="s">
        <v>99</v>
      </c>
      <c r="D628">
        <v>8</v>
      </c>
      <c r="E628">
        <v>40</v>
      </c>
      <c r="F628">
        <v>0.09</v>
      </c>
      <c r="G628" t="s">
        <v>113</v>
      </c>
    </row>
    <row r="629" spans="1:7" x14ac:dyDescent="0.25">
      <c r="A629" s="17">
        <v>43308</v>
      </c>
      <c r="B629" t="s">
        <v>108</v>
      </c>
      <c r="C629" t="s">
        <v>96</v>
      </c>
      <c r="D629">
        <v>7</v>
      </c>
      <c r="E629">
        <v>16</v>
      </c>
      <c r="F629">
        <v>0.02</v>
      </c>
      <c r="G629" t="s">
        <v>114</v>
      </c>
    </row>
    <row r="630" spans="1:7" x14ac:dyDescent="0.25">
      <c r="A630" s="17">
        <v>43308</v>
      </c>
      <c r="B630" t="s">
        <v>111</v>
      </c>
      <c r="C630" t="s">
        <v>106</v>
      </c>
      <c r="D630">
        <v>15</v>
      </c>
      <c r="E630">
        <v>150</v>
      </c>
      <c r="F630">
        <v>0.08</v>
      </c>
      <c r="G630" t="s">
        <v>110</v>
      </c>
    </row>
    <row r="631" spans="1:7" x14ac:dyDescent="0.25">
      <c r="A631" s="17">
        <v>43308</v>
      </c>
      <c r="B631" t="s">
        <v>101</v>
      </c>
      <c r="C631" t="s">
        <v>109</v>
      </c>
      <c r="D631">
        <v>20</v>
      </c>
      <c r="E631">
        <v>230</v>
      </c>
      <c r="F631">
        <v>0.11</v>
      </c>
      <c r="G631" t="s">
        <v>112</v>
      </c>
    </row>
    <row r="632" spans="1:7" x14ac:dyDescent="0.25">
      <c r="A632" s="17">
        <v>43308</v>
      </c>
      <c r="B632" t="s">
        <v>108</v>
      </c>
      <c r="C632" t="s">
        <v>99</v>
      </c>
      <c r="D632">
        <v>4</v>
      </c>
      <c r="E632">
        <v>16</v>
      </c>
      <c r="F632">
        <v>0.09</v>
      </c>
      <c r="G632" t="s">
        <v>113</v>
      </c>
    </row>
    <row r="633" spans="1:7" x14ac:dyDescent="0.25">
      <c r="A633" s="17">
        <v>43308</v>
      </c>
      <c r="B633" t="s">
        <v>98</v>
      </c>
      <c r="C633" t="s">
        <v>106</v>
      </c>
      <c r="D633">
        <v>11</v>
      </c>
      <c r="E633">
        <v>40</v>
      </c>
      <c r="F633">
        <v>0.09</v>
      </c>
      <c r="G633" t="s">
        <v>114</v>
      </c>
    </row>
    <row r="634" spans="1:7" x14ac:dyDescent="0.25">
      <c r="A634" s="17">
        <v>43308</v>
      </c>
      <c r="B634" t="s">
        <v>111</v>
      </c>
      <c r="C634" t="s">
        <v>104</v>
      </c>
      <c r="D634">
        <v>15</v>
      </c>
      <c r="E634">
        <v>150</v>
      </c>
      <c r="F634">
        <v>0.05</v>
      </c>
      <c r="G634" t="s">
        <v>110</v>
      </c>
    </row>
    <row r="635" spans="1:7" x14ac:dyDescent="0.25">
      <c r="A635" s="17">
        <v>43308</v>
      </c>
      <c r="B635" t="s">
        <v>101</v>
      </c>
      <c r="C635" t="s">
        <v>104</v>
      </c>
      <c r="D635">
        <v>5</v>
      </c>
      <c r="E635">
        <v>230</v>
      </c>
      <c r="F635">
        <v>0.01</v>
      </c>
      <c r="G635" t="s">
        <v>112</v>
      </c>
    </row>
    <row r="636" spans="1:7" x14ac:dyDescent="0.25">
      <c r="A636" s="17">
        <v>43308</v>
      </c>
      <c r="B636" t="s">
        <v>101</v>
      </c>
      <c r="C636" t="s">
        <v>104</v>
      </c>
      <c r="D636">
        <v>14</v>
      </c>
      <c r="E636">
        <v>230</v>
      </c>
      <c r="F636">
        <v>0.03</v>
      </c>
      <c r="G636" t="s">
        <v>113</v>
      </c>
    </row>
    <row r="637" spans="1:7" x14ac:dyDescent="0.25">
      <c r="A637" s="17">
        <v>43308</v>
      </c>
      <c r="B637" t="s">
        <v>98</v>
      </c>
      <c r="C637" t="s">
        <v>109</v>
      </c>
      <c r="D637">
        <v>23</v>
      </c>
      <c r="E637">
        <v>40</v>
      </c>
      <c r="F637">
        <v>0.05</v>
      </c>
      <c r="G637" t="s">
        <v>114</v>
      </c>
    </row>
    <row r="638" spans="1:7" x14ac:dyDescent="0.25">
      <c r="A638" s="17">
        <v>43308</v>
      </c>
      <c r="B638" t="s">
        <v>95</v>
      </c>
      <c r="C638" t="s">
        <v>106</v>
      </c>
      <c r="D638">
        <v>22</v>
      </c>
      <c r="E638">
        <v>80</v>
      </c>
      <c r="F638">
        <v>0.03</v>
      </c>
      <c r="G638" t="s">
        <v>110</v>
      </c>
    </row>
    <row r="639" spans="1:7" x14ac:dyDescent="0.25">
      <c r="A639" s="17">
        <v>43309</v>
      </c>
      <c r="B639" t="s">
        <v>101</v>
      </c>
      <c r="C639" t="s">
        <v>104</v>
      </c>
      <c r="D639">
        <v>20</v>
      </c>
      <c r="E639">
        <v>230</v>
      </c>
      <c r="F639">
        <v>0.06</v>
      </c>
      <c r="G639" t="s">
        <v>112</v>
      </c>
    </row>
    <row r="640" spans="1:7" x14ac:dyDescent="0.25">
      <c r="A640" s="17">
        <v>43309</v>
      </c>
      <c r="B640" t="s">
        <v>101</v>
      </c>
      <c r="C640" t="s">
        <v>99</v>
      </c>
      <c r="D640">
        <v>15</v>
      </c>
      <c r="E640">
        <v>230</v>
      </c>
      <c r="F640">
        <v>0.09</v>
      </c>
      <c r="G640" t="s">
        <v>113</v>
      </c>
    </row>
    <row r="641" spans="1:7" x14ac:dyDescent="0.25">
      <c r="A641" s="17">
        <v>43309</v>
      </c>
      <c r="B641" t="s">
        <v>111</v>
      </c>
      <c r="C641" t="s">
        <v>104</v>
      </c>
      <c r="D641">
        <v>18</v>
      </c>
      <c r="E641">
        <v>150</v>
      </c>
      <c r="F641">
        <v>0.06</v>
      </c>
      <c r="G641" t="s">
        <v>114</v>
      </c>
    </row>
    <row r="642" spans="1:7" x14ac:dyDescent="0.25">
      <c r="A642" s="17">
        <v>43309</v>
      </c>
      <c r="B642" t="s">
        <v>101</v>
      </c>
      <c r="C642" t="s">
        <v>96</v>
      </c>
      <c r="D642">
        <v>3</v>
      </c>
      <c r="E642">
        <v>230</v>
      </c>
      <c r="F642">
        <v>0.11</v>
      </c>
      <c r="G642" t="s">
        <v>110</v>
      </c>
    </row>
    <row r="643" spans="1:7" x14ac:dyDescent="0.25">
      <c r="A643" s="17">
        <v>43309</v>
      </c>
      <c r="B643" t="s">
        <v>111</v>
      </c>
      <c r="C643" t="s">
        <v>109</v>
      </c>
      <c r="D643">
        <v>11</v>
      </c>
      <c r="E643">
        <v>150</v>
      </c>
      <c r="F643">
        <v>0.09</v>
      </c>
      <c r="G643" t="s">
        <v>112</v>
      </c>
    </row>
    <row r="644" spans="1:7" x14ac:dyDescent="0.25">
      <c r="A644" s="17">
        <v>43309</v>
      </c>
      <c r="B644" t="s">
        <v>101</v>
      </c>
      <c r="C644" t="s">
        <v>96</v>
      </c>
      <c r="D644">
        <v>11</v>
      </c>
      <c r="E644">
        <v>230</v>
      </c>
      <c r="F644">
        <v>0.02</v>
      </c>
      <c r="G644" t="s">
        <v>113</v>
      </c>
    </row>
    <row r="645" spans="1:7" x14ac:dyDescent="0.25">
      <c r="A645" s="17">
        <v>43309</v>
      </c>
      <c r="B645" t="s">
        <v>101</v>
      </c>
      <c r="C645" t="s">
        <v>109</v>
      </c>
      <c r="D645">
        <v>13</v>
      </c>
      <c r="E645">
        <v>230</v>
      </c>
      <c r="F645">
        <v>0.06</v>
      </c>
      <c r="G645" t="s">
        <v>114</v>
      </c>
    </row>
    <row r="646" spans="1:7" x14ac:dyDescent="0.25">
      <c r="A646" s="17">
        <v>43310</v>
      </c>
      <c r="B646" t="s">
        <v>95</v>
      </c>
      <c r="C646" t="s">
        <v>106</v>
      </c>
      <c r="D646">
        <v>11</v>
      </c>
      <c r="E646">
        <v>80</v>
      </c>
      <c r="F646">
        <v>0.01</v>
      </c>
      <c r="G646" t="s">
        <v>110</v>
      </c>
    </row>
    <row r="647" spans="1:7" x14ac:dyDescent="0.25">
      <c r="A647" s="17">
        <v>43310</v>
      </c>
      <c r="B647" t="s">
        <v>95</v>
      </c>
      <c r="C647" t="s">
        <v>109</v>
      </c>
      <c r="D647">
        <v>17</v>
      </c>
      <c r="E647">
        <v>80</v>
      </c>
      <c r="F647">
        <v>7.0000000000000007E-2</v>
      </c>
      <c r="G647" t="s">
        <v>112</v>
      </c>
    </row>
    <row r="648" spans="1:7" x14ac:dyDescent="0.25">
      <c r="A648" s="17">
        <v>43310</v>
      </c>
      <c r="B648" t="s">
        <v>111</v>
      </c>
      <c r="C648" t="s">
        <v>109</v>
      </c>
      <c r="D648">
        <v>15</v>
      </c>
      <c r="E648">
        <v>150</v>
      </c>
      <c r="F648">
        <v>7.0000000000000007E-2</v>
      </c>
      <c r="G648" t="s">
        <v>113</v>
      </c>
    </row>
    <row r="649" spans="1:7" x14ac:dyDescent="0.25">
      <c r="A649" s="17">
        <v>43310</v>
      </c>
      <c r="B649" t="s">
        <v>108</v>
      </c>
      <c r="C649" t="s">
        <v>109</v>
      </c>
      <c r="D649">
        <v>14</v>
      </c>
      <c r="E649">
        <v>16</v>
      </c>
      <c r="F649">
        <v>0.06</v>
      </c>
      <c r="G649" t="s">
        <v>114</v>
      </c>
    </row>
    <row r="650" spans="1:7" x14ac:dyDescent="0.25">
      <c r="A650" s="17">
        <v>43310</v>
      </c>
      <c r="B650" t="s">
        <v>108</v>
      </c>
      <c r="C650" t="s">
        <v>99</v>
      </c>
      <c r="D650">
        <v>4</v>
      </c>
      <c r="E650">
        <v>16</v>
      </c>
      <c r="F650">
        <v>7.0000000000000007E-2</v>
      </c>
      <c r="G650" t="s">
        <v>110</v>
      </c>
    </row>
    <row r="651" spans="1:7" x14ac:dyDescent="0.25">
      <c r="A651" s="17">
        <v>43310</v>
      </c>
      <c r="B651" t="s">
        <v>111</v>
      </c>
      <c r="C651" t="s">
        <v>109</v>
      </c>
      <c r="D651">
        <v>23</v>
      </c>
      <c r="E651">
        <v>150</v>
      </c>
      <c r="F651">
        <v>0.08</v>
      </c>
      <c r="G651" t="s">
        <v>112</v>
      </c>
    </row>
    <row r="652" spans="1:7" x14ac:dyDescent="0.25">
      <c r="A652" s="17">
        <v>43310</v>
      </c>
      <c r="B652" t="s">
        <v>95</v>
      </c>
      <c r="C652" t="s">
        <v>104</v>
      </c>
      <c r="D652">
        <v>10</v>
      </c>
      <c r="E652">
        <v>80</v>
      </c>
      <c r="F652">
        <v>0.11</v>
      </c>
      <c r="G652" t="s">
        <v>113</v>
      </c>
    </row>
    <row r="653" spans="1:7" x14ac:dyDescent="0.25">
      <c r="A653" s="17">
        <v>43310</v>
      </c>
      <c r="B653" t="s">
        <v>101</v>
      </c>
      <c r="C653" t="s">
        <v>104</v>
      </c>
      <c r="D653">
        <v>7</v>
      </c>
      <c r="E653">
        <v>230</v>
      </c>
      <c r="F653">
        <v>0.01</v>
      </c>
      <c r="G653" t="s">
        <v>114</v>
      </c>
    </row>
    <row r="654" spans="1:7" x14ac:dyDescent="0.25">
      <c r="A654" s="17">
        <v>43310</v>
      </c>
      <c r="B654" t="s">
        <v>101</v>
      </c>
      <c r="C654" t="s">
        <v>96</v>
      </c>
      <c r="D654">
        <v>16</v>
      </c>
      <c r="E654">
        <v>230</v>
      </c>
      <c r="F654">
        <v>7.0000000000000007E-2</v>
      </c>
      <c r="G654" t="s">
        <v>110</v>
      </c>
    </row>
    <row r="655" spans="1:7" x14ac:dyDescent="0.25">
      <c r="A655" s="17">
        <v>43310</v>
      </c>
      <c r="B655" t="s">
        <v>108</v>
      </c>
      <c r="C655" t="s">
        <v>109</v>
      </c>
      <c r="D655">
        <v>17</v>
      </c>
      <c r="E655">
        <v>16</v>
      </c>
      <c r="F655">
        <v>0.08</v>
      </c>
      <c r="G655" t="s">
        <v>112</v>
      </c>
    </row>
    <row r="656" spans="1:7" x14ac:dyDescent="0.25">
      <c r="A656" s="17">
        <v>43311</v>
      </c>
      <c r="B656" t="s">
        <v>95</v>
      </c>
      <c r="C656" t="s">
        <v>109</v>
      </c>
      <c r="D656">
        <v>6</v>
      </c>
      <c r="E656">
        <v>80</v>
      </c>
      <c r="F656">
        <v>0.09</v>
      </c>
      <c r="G656" t="s">
        <v>113</v>
      </c>
    </row>
    <row r="657" spans="1:7" x14ac:dyDescent="0.25">
      <c r="A657" s="17">
        <v>43311</v>
      </c>
      <c r="B657" t="s">
        <v>111</v>
      </c>
      <c r="C657" t="s">
        <v>104</v>
      </c>
      <c r="D657">
        <v>22</v>
      </c>
      <c r="E657">
        <v>150</v>
      </c>
      <c r="F657">
        <v>0.04</v>
      </c>
      <c r="G657" t="s">
        <v>114</v>
      </c>
    </row>
    <row r="658" spans="1:7" x14ac:dyDescent="0.25">
      <c r="A658" s="17">
        <v>43311</v>
      </c>
      <c r="B658" t="s">
        <v>98</v>
      </c>
      <c r="C658" t="s">
        <v>109</v>
      </c>
      <c r="D658">
        <v>20</v>
      </c>
      <c r="E658">
        <v>40</v>
      </c>
      <c r="F658">
        <v>0.03</v>
      </c>
      <c r="G658" t="s">
        <v>110</v>
      </c>
    </row>
    <row r="659" spans="1:7" x14ac:dyDescent="0.25">
      <c r="A659" s="17">
        <v>43311</v>
      </c>
      <c r="B659" t="s">
        <v>111</v>
      </c>
      <c r="C659" t="s">
        <v>99</v>
      </c>
      <c r="D659">
        <v>16</v>
      </c>
      <c r="E659">
        <v>150</v>
      </c>
      <c r="F659">
        <v>0.08</v>
      </c>
      <c r="G659" t="s">
        <v>112</v>
      </c>
    </row>
    <row r="660" spans="1:7" x14ac:dyDescent="0.25">
      <c r="A660" s="17">
        <v>43311</v>
      </c>
      <c r="B660" t="s">
        <v>95</v>
      </c>
      <c r="C660" t="s">
        <v>99</v>
      </c>
      <c r="D660">
        <v>5</v>
      </c>
      <c r="E660">
        <v>80</v>
      </c>
      <c r="F660">
        <v>7.0000000000000007E-2</v>
      </c>
      <c r="G660" t="s">
        <v>113</v>
      </c>
    </row>
    <row r="661" spans="1:7" x14ac:dyDescent="0.25">
      <c r="A661" s="17">
        <v>43311</v>
      </c>
      <c r="B661" t="s">
        <v>111</v>
      </c>
      <c r="C661" t="s">
        <v>106</v>
      </c>
      <c r="D661">
        <v>6</v>
      </c>
      <c r="E661">
        <v>150</v>
      </c>
      <c r="F661">
        <v>0.03</v>
      </c>
      <c r="G661" t="s">
        <v>114</v>
      </c>
    </row>
    <row r="662" spans="1:7" x14ac:dyDescent="0.25">
      <c r="A662" s="17">
        <v>43312</v>
      </c>
      <c r="B662" t="s">
        <v>95</v>
      </c>
      <c r="C662" t="s">
        <v>99</v>
      </c>
      <c r="D662">
        <v>9</v>
      </c>
      <c r="E662">
        <v>80</v>
      </c>
      <c r="F662">
        <v>0.03</v>
      </c>
      <c r="G662" t="s">
        <v>110</v>
      </c>
    </row>
    <row r="663" spans="1:7" x14ac:dyDescent="0.25">
      <c r="A663" s="17">
        <v>43312</v>
      </c>
      <c r="B663" t="s">
        <v>95</v>
      </c>
      <c r="C663" t="s">
        <v>96</v>
      </c>
      <c r="D663">
        <v>8</v>
      </c>
      <c r="E663">
        <v>80</v>
      </c>
      <c r="F663">
        <v>0.08</v>
      </c>
      <c r="G663" t="s">
        <v>112</v>
      </c>
    </row>
    <row r="664" spans="1:7" x14ac:dyDescent="0.25">
      <c r="A664" s="17">
        <v>43312</v>
      </c>
      <c r="B664" t="s">
        <v>101</v>
      </c>
      <c r="C664" t="s">
        <v>106</v>
      </c>
      <c r="D664">
        <v>8</v>
      </c>
      <c r="E664">
        <v>230</v>
      </c>
      <c r="F664">
        <v>0.01</v>
      </c>
      <c r="G664" t="s">
        <v>113</v>
      </c>
    </row>
    <row r="665" spans="1:7" x14ac:dyDescent="0.25">
      <c r="A665" s="17">
        <v>43312</v>
      </c>
      <c r="B665" t="s">
        <v>108</v>
      </c>
      <c r="C665" t="s">
        <v>109</v>
      </c>
      <c r="D665">
        <v>12</v>
      </c>
      <c r="E665">
        <v>16</v>
      </c>
      <c r="F665">
        <v>0.04</v>
      </c>
      <c r="G665" t="s">
        <v>114</v>
      </c>
    </row>
    <row r="666" spans="1:7" x14ac:dyDescent="0.25">
      <c r="A666" s="17">
        <v>43312</v>
      </c>
      <c r="B666" t="s">
        <v>108</v>
      </c>
      <c r="C666" t="s">
        <v>106</v>
      </c>
      <c r="D666">
        <v>18</v>
      </c>
      <c r="E666">
        <v>16</v>
      </c>
      <c r="F666">
        <v>0.04</v>
      </c>
      <c r="G666" t="s">
        <v>110</v>
      </c>
    </row>
    <row r="667" spans="1:7" x14ac:dyDescent="0.25">
      <c r="A667" s="17">
        <v>43282</v>
      </c>
      <c r="B667" t="s">
        <v>108</v>
      </c>
      <c r="C667" t="s">
        <v>106</v>
      </c>
      <c r="D667">
        <v>10</v>
      </c>
      <c r="E667">
        <v>16</v>
      </c>
      <c r="F667">
        <v>0.01</v>
      </c>
      <c r="G667" t="s">
        <v>112</v>
      </c>
    </row>
    <row r="668" spans="1:7" x14ac:dyDescent="0.25">
      <c r="A668" s="17">
        <v>43282</v>
      </c>
      <c r="B668" t="s">
        <v>108</v>
      </c>
      <c r="C668" t="s">
        <v>106</v>
      </c>
      <c r="D668">
        <v>14</v>
      </c>
      <c r="E668">
        <v>16</v>
      </c>
      <c r="F668">
        <v>0.12</v>
      </c>
      <c r="G668" t="s">
        <v>113</v>
      </c>
    </row>
    <row r="669" spans="1:7" x14ac:dyDescent="0.25">
      <c r="A669" s="17">
        <v>43282</v>
      </c>
      <c r="B669" t="s">
        <v>98</v>
      </c>
      <c r="C669" t="s">
        <v>104</v>
      </c>
      <c r="D669">
        <v>6</v>
      </c>
      <c r="E669">
        <v>40</v>
      </c>
      <c r="F669">
        <v>0.06</v>
      </c>
      <c r="G669" t="s">
        <v>114</v>
      </c>
    </row>
    <row r="670" spans="1:7" x14ac:dyDescent="0.25">
      <c r="A670" s="17">
        <v>43282</v>
      </c>
      <c r="B670" t="s">
        <v>98</v>
      </c>
      <c r="C670" t="s">
        <v>106</v>
      </c>
      <c r="D670">
        <v>13</v>
      </c>
      <c r="E670">
        <v>40</v>
      </c>
      <c r="F670">
        <v>0.09</v>
      </c>
      <c r="G670" t="s">
        <v>110</v>
      </c>
    </row>
    <row r="671" spans="1:7" x14ac:dyDescent="0.25">
      <c r="A671" s="17">
        <v>43282</v>
      </c>
      <c r="B671" t="s">
        <v>108</v>
      </c>
      <c r="C671" t="s">
        <v>106</v>
      </c>
      <c r="D671">
        <v>10</v>
      </c>
      <c r="E671">
        <v>16</v>
      </c>
      <c r="F671">
        <v>0.04</v>
      </c>
      <c r="G671" t="s">
        <v>112</v>
      </c>
    </row>
    <row r="672" spans="1:7" x14ac:dyDescent="0.25">
      <c r="A672" s="17">
        <v>43282</v>
      </c>
      <c r="B672" t="s">
        <v>95</v>
      </c>
      <c r="C672" t="s">
        <v>99</v>
      </c>
      <c r="D672">
        <v>14</v>
      </c>
      <c r="E672">
        <v>80</v>
      </c>
      <c r="F672">
        <v>0.11</v>
      </c>
      <c r="G672" t="s">
        <v>113</v>
      </c>
    </row>
    <row r="673" spans="1:7" x14ac:dyDescent="0.25">
      <c r="A673" s="17">
        <v>43282</v>
      </c>
      <c r="B673" t="s">
        <v>98</v>
      </c>
      <c r="C673" t="s">
        <v>99</v>
      </c>
      <c r="D673">
        <v>4</v>
      </c>
      <c r="E673">
        <v>40</v>
      </c>
      <c r="F673">
        <v>0.06</v>
      </c>
      <c r="G673" t="s">
        <v>114</v>
      </c>
    </row>
    <row r="674" spans="1:7" x14ac:dyDescent="0.25">
      <c r="A674" s="17">
        <v>43282</v>
      </c>
      <c r="B674" t="s">
        <v>98</v>
      </c>
      <c r="C674" t="s">
        <v>104</v>
      </c>
      <c r="D674">
        <v>11</v>
      </c>
      <c r="E674">
        <v>40</v>
      </c>
      <c r="F674">
        <v>0.05</v>
      </c>
      <c r="G674" t="s">
        <v>110</v>
      </c>
    </row>
    <row r="675" spans="1:7" x14ac:dyDescent="0.25">
      <c r="A675" s="17">
        <v>43282</v>
      </c>
      <c r="B675" t="s">
        <v>108</v>
      </c>
      <c r="C675" t="s">
        <v>104</v>
      </c>
      <c r="D675">
        <v>14</v>
      </c>
      <c r="E675">
        <v>16</v>
      </c>
      <c r="F675">
        <v>0.01</v>
      </c>
      <c r="G675" t="s">
        <v>112</v>
      </c>
    </row>
    <row r="676" spans="1:7" x14ac:dyDescent="0.25">
      <c r="A676" s="17">
        <v>43282</v>
      </c>
      <c r="B676" t="s">
        <v>111</v>
      </c>
      <c r="C676" t="s">
        <v>96</v>
      </c>
      <c r="D676">
        <v>20</v>
      </c>
      <c r="E676">
        <v>150</v>
      </c>
      <c r="F676">
        <v>0.04</v>
      </c>
      <c r="G676" t="s">
        <v>113</v>
      </c>
    </row>
    <row r="677" spans="1:7" x14ac:dyDescent="0.25">
      <c r="A677" s="17">
        <v>43282</v>
      </c>
      <c r="B677" t="s">
        <v>98</v>
      </c>
      <c r="C677" t="s">
        <v>106</v>
      </c>
      <c r="D677">
        <v>9</v>
      </c>
      <c r="E677">
        <v>40</v>
      </c>
      <c r="F677">
        <v>0.06</v>
      </c>
      <c r="G677" t="s">
        <v>114</v>
      </c>
    </row>
    <row r="678" spans="1:7" x14ac:dyDescent="0.25">
      <c r="A678" s="17">
        <v>43282</v>
      </c>
      <c r="B678" t="s">
        <v>111</v>
      </c>
      <c r="C678" t="s">
        <v>104</v>
      </c>
      <c r="D678">
        <v>18</v>
      </c>
      <c r="E678">
        <v>150</v>
      </c>
      <c r="F678">
        <v>0.06</v>
      </c>
      <c r="G678" t="s">
        <v>110</v>
      </c>
    </row>
    <row r="679" spans="1:7" x14ac:dyDescent="0.25">
      <c r="A679" s="17">
        <v>43282</v>
      </c>
      <c r="B679" t="s">
        <v>101</v>
      </c>
      <c r="C679" t="s">
        <v>109</v>
      </c>
      <c r="D679">
        <v>17</v>
      </c>
      <c r="E679">
        <v>230</v>
      </c>
      <c r="F679">
        <v>0.11</v>
      </c>
      <c r="G679" t="s">
        <v>112</v>
      </c>
    </row>
    <row r="680" spans="1:7" x14ac:dyDescent="0.25">
      <c r="A680" s="17">
        <v>43283</v>
      </c>
      <c r="B680" t="s">
        <v>98</v>
      </c>
      <c r="C680" t="s">
        <v>96</v>
      </c>
      <c r="D680">
        <v>20</v>
      </c>
      <c r="E680">
        <v>40</v>
      </c>
      <c r="F680">
        <v>0.04</v>
      </c>
      <c r="G680" t="s">
        <v>113</v>
      </c>
    </row>
    <row r="681" spans="1:7" x14ac:dyDescent="0.25">
      <c r="A681" s="17">
        <v>43283</v>
      </c>
      <c r="B681" t="s">
        <v>98</v>
      </c>
      <c r="C681" t="s">
        <v>96</v>
      </c>
      <c r="D681">
        <v>23</v>
      </c>
      <c r="E681">
        <v>40</v>
      </c>
      <c r="F681">
        <v>0.03</v>
      </c>
      <c r="G681" t="s">
        <v>114</v>
      </c>
    </row>
    <row r="682" spans="1:7" x14ac:dyDescent="0.25">
      <c r="A682" s="17">
        <v>43283</v>
      </c>
      <c r="B682" t="s">
        <v>101</v>
      </c>
      <c r="C682" t="s">
        <v>109</v>
      </c>
      <c r="D682">
        <v>21</v>
      </c>
      <c r="E682">
        <v>230</v>
      </c>
      <c r="F682">
        <v>0.05</v>
      </c>
      <c r="G682" t="s">
        <v>110</v>
      </c>
    </row>
    <row r="683" spans="1:7" x14ac:dyDescent="0.25">
      <c r="A683" s="17">
        <v>43283</v>
      </c>
      <c r="B683" t="s">
        <v>95</v>
      </c>
      <c r="C683" t="s">
        <v>104</v>
      </c>
      <c r="D683">
        <v>6</v>
      </c>
      <c r="E683">
        <v>80</v>
      </c>
      <c r="F683">
        <v>0.09</v>
      </c>
      <c r="G683" t="s">
        <v>112</v>
      </c>
    </row>
    <row r="684" spans="1:7" x14ac:dyDescent="0.25">
      <c r="A684" s="17">
        <v>43283</v>
      </c>
      <c r="B684" t="s">
        <v>108</v>
      </c>
      <c r="C684" t="s">
        <v>96</v>
      </c>
      <c r="D684">
        <v>20</v>
      </c>
      <c r="E684">
        <v>16</v>
      </c>
      <c r="F684">
        <v>0.01</v>
      </c>
      <c r="G684" t="s">
        <v>113</v>
      </c>
    </row>
    <row r="685" spans="1:7" x14ac:dyDescent="0.25">
      <c r="A685" s="17">
        <v>43283</v>
      </c>
      <c r="B685" t="s">
        <v>98</v>
      </c>
      <c r="C685" t="s">
        <v>99</v>
      </c>
      <c r="D685">
        <v>8</v>
      </c>
      <c r="E685">
        <v>40</v>
      </c>
      <c r="F685">
        <v>0.09</v>
      </c>
      <c r="G685" t="s">
        <v>114</v>
      </c>
    </row>
    <row r="686" spans="1:7" x14ac:dyDescent="0.25">
      <c r="A686" s="17">
        <v>43283</v>
      </c>
      <c r="B686" t="s">
        <v>101</v>
      </c>
      <c r="C686" t="s">
        <v>99</v>
      </c>
      <c r="D686">
        <v>15</v>
      </c>
      <c r="E686">
        <v>230</v>
      </c>
      <c r="F686">
        <v>0.09</v>
      </c>
      <c r="G686" t="s">
        <v>110</v>
      </c>
    </row>
    <row r="687" spans="1:7" x14ac:dyDescent="0.25">
      <c r="A687" s="17">
        <v>43284</v>
      </c>
      <c r="B687" t="s">
        <v>95</v>
      </c>
      <c r="C687" t="s">
        <v>106</v>
      </c>
      <c r="D687">
        <v>21</v>
      </c>
      <c r="E687">
        <v>80</v>
      </c>
      <c r="F687">
        <v>0.02</v>
      </c>
      <c r="G687" t="s">
        <v>112</v>
      </c>
    </row>
    <row r="688" spans="1:7" x14ac:dyDescent="0.25">
      <c r="A688" s="17">
        <v>43284</v>
      </c>
      <c r="B688" t="s">
        <v>95</v>
      </c>
      <c r="C688" t="s">
        <v>106</v>
      </c>
      <c r="D688">
        <v>19</v>
      </c>
      <c r="E688">
        <v>80</v>
      </c>
      <c r="F688">
        <v>0.02</v>
      </c>
      <c r="G688" t="s">
        <v>113</v>
      </c>
    </row>
    <row r="689" spans="1:7" x14ac:dyDescent="0.25">
      <c r="A689" s="17">
        <v>43284</v>
      </c>
      <c r="B689" t="s">
        <v>108</v>
      </c>
      <c r="C689" t="s">
        <v>96</v>
      </c>
      <c r="D689">
        <v>7</v>
      </c>
      <c r="E689">
        <v>16</v>
      </c>
      <c r="F689">
        <v>0.08</v>
      </c>
      <c r="G689" t="s">
        <v>114</v>
      </c>
    </row>
    <row r="690" spans="1:7" x14ac:dyDescent="0.25">
      <c r="A690" s="17">
        <v>43284</v>
      </c>
      <c r="B690" t="s">
        <v>98</v>
      </c>
      <c r="C690" t="s">
        <v>109</v>
      </c>
      <c r="D690">
        <v>11</v>
      </c>
      <c r="E690">
        <v>40</v>
      </c>
      <c r="F690">
        <v>0.05</v>
      </c>
      <c r="G690" t="s">
        <v>110</v>
      </c>
    </row>
    <row r="691" spans="1:7" x14ac:dyDescent="0.25">
      <c r="A691" s="17">
        <v>43284</v>
      </c>
      <c r="B691" t="s">
        <v>101</v>
      </c>
      <c r="C691" t="s">
        <v>106</v>
      </c>
      <c r="D691">
        <v>8</v>
      </c>
      <c r="E691">
        <v>230</v>
      </c>
      <c r="F691">
        <v>0.05</v>
      </c>
      <c r="G691" t="s">
        <v>112</v>
      </c>
    </row>
    <row r="692" spans="1:7" x14ac:dyDescent="0.25">
      <c r="A692" s="17">
        <v>43284</v>
      </c>
      <c r="B692" t="s">
        <v>95</v>
      </c>
      <c r="C692" t="s">
        <v>96</v>
      </c>
      <c r="D692">
        <v>18</v>
      </c>
      <c r="E692">
        <v>80</v>
      </c>
      <c r="F692">
        <v>0.02</v>
      </c>
      <c r="G692" t="s">
        <v>113</v>
      </c>
    </row>
    <row r="693" spans="1:7" x14ac:dyDescent="0.25">
      <c r="A693" s="17">
        <v>43284</v>
      </c>
      <c r="B693" t="s">
        <v>98</v>
      </c>
      <c r="C693" t="s">
        <v>96</v>
      </c>
      <c r="D693">
        <v>7</v>
      </c>
      <c r="E693">
        <v>40</v>
      </c>
      <c r="F693">
        <v>0.1</v>
      </c>
      <c r="G693" t="s">
        <v>114</v>
      </c>
    </row>
    <row r="694" spans="1:7" x14ac:dyDescent="0.25">
      <c r="A694" s="17">
        <v>43285</v>
      </c>
      <c r="B694" t="s">
        <v>108</v>
      </c>
      <c r="C694" t="s">
        <v>96</v>
      </c>
      <c r="D694">
        <v>16</v>
      </c>
      <c r="E694">
        <v>16</v>
      </c>
      <c r="F694">
        <v>0.03</v>
      </c>
      <c r="G694" t="s">
        <v>110</v>
      </c>
    </row>
    <row r="695" spans="1:7" x14ac:dyDescent="0.25">
      <c r="A695" s="17">
        <v>43285</v>
      </c>
      <c r="B695" t="s">
        <v>95</v>
      </c>
      <c r="C695" t="s">
        <v>96</v>
      </c>
      <c r="D695">
        <v>8</v>
      </c>
      <c r="E695">
        <v>80</v>
      </c>
      <c r="F695">
        <v>0.08</v>
      </c>
      <c r="G695" t="s">
        <v>112</v>
      </c>
    </row>
    <row r="696" spans="1:7" x14ac:dyDescent="0.25">
      <c r="A696" s="17">
        <v>43285</v>
      </c>
      <c r="B696" t="s">
        <v>101</v>
      </c>
      <c r="C696" t="s">
        <v>109</v>
      </c>
      <c r="D696">
        <v>22</v>
      </c>
      <c r="E696">
        <v>230</v>
      </c>
      <c r="F696">
        <v>0.1</v>
      </c>
      <c r="G696" t="s">
        <v>113</v>
      </c>
    </row>
    <row r="697" spans="1:7" x14ac:dyDescent="0.25">
      <c r="A697" s="17">
        <v>43285</v>
      </c>
      <c r="B697" t="s">
        <v>101</v>
      </c>
      <c r="C697" t="s">
        <v>109</v>
      </c>
      <c r="D697">
        <v>3</v>
      </c>
      <c r="E697">
        <v>230</v>
      </c>
      <c r="F697">
        <v>0.1</v>
      </c>
      <c r="G697" t="s">
        <v>114</v>
      </c>
    </row>
    <row r="698" spans="1:7" x14ac:dyDescent="0.25">
      <c r="A698" s="17">
        <v>43285</v>
      </c>
      <c r="B698" t="s">
        <v>101</v>
      </c>
      <c r="C698" t="s">
        <v>109</v>
      </c>
      <c r="D698">
        <v>20</v>
      </c>
      <c r="E698">
        <v>230</v>
      </c>
      <c r="F698">
        <v>0.11</v>
      </c>
      <c r="G698" t="s">
        <v>110</v>
      </c>
    </row>
    <row r="699" spans="1:7" x14ac:dyDescent="0.25">
      <c r="A699" s="17">
        <v>43285</v>
      </c>
      <c r="B699" t="s">
        <v>108</v>
      </c>
      <c r="C699" t="s">
        <v>104</v>
      </c>
      <c r="D699">
        <v>12</v>
      </c>
      <c r="E699">
        <v>16</v>
      </c>
      <c r="F699">
        <v>0.03</v>
      </c>
      <c r="G699" t="s">
        <v>112</v>
      </c>
    </row>
    <row r="700" spans="1:7" x14ac:dyDescent="0.25">
      <c r="A700" s="17">
        <v>43285</v>
      </c>
      <c r="B700" t="s">
        <v>98</v>
      </c>
      <c r="C700" t="s">
        <v>109</v>
      </c>
      <c r="D700">
        <v>20</v>
      </c>
      <c r="E700">
        <v>40</v>
      </c>
      <c r="F700">
        <v>7.0000000000000007E-2</v>
      </c>
      <c r="G700" t="s">
        <v>113</v>
      </c>
    </row>
    <row r="701" spans="1:7" x14ac:dyDescent="0.25">
      <c r="A701" s="17">
        <v>43285</v>
      </c>
      <c r="B701" t="s">
        <v>101</v>
      </c>
      <c r="C701" t="s">
        <v>96</v>
      </c>
      <c r="D701">
        <v>3</v>
      </c>
      <c r="E701">
        <v>230</v>
      </c>
      <c r="F701">
        <v>0.06</v>
      </c>
      <c r="G701" t="s">
        <v>114</v>
      </c>
    </row>
    <row r="702" spans="1:7" x14ac:dyDescent="0.25">
      <c r="A702" s="17">
        <v>43285</v>
      </c>
      <c r="B702" t="s">
        <v>95</v>
      </c>
      <c r="C702" t="s">
        <v>106</v>
      </c>
      <c r="D702">
        <v>16</v>
      </c>
      <c r="E702">
        <v>80</v>
      </c>
      <c r="F702">
        <v>7.0000000000000007E-2</v>
      </c>
      <c r="G702" t="s">
        <v>110</v>
      </c>
    </row>
    <row r="703" spans="1:7" x14ac:dyDescent="0.25">
      <c r="A703" s="17">
        <v>43286</v>
      </c>
      <c r="B703" t="s">
        <v>98</v>
      </c>
      <c r="C703" t="s">
        <v>109</v>
      </c>
      <c r="D703">
        <v>3</v>
      </c>
      <c r="E703">
        <v>40</v>
      </c>
      <c r="F703">
        <v>0.03</v>
      </c>
      <c r="G703" t="s">
        <v>112</v>
      </c>
    </row>
    <row r="704" spans="1:7" x14ac:dyDescent="0.25">
      <c r="A704" s="17">
        <v>43286</v>
      </c>
      <c r="B704" t="s">
        <v>101</v>
      </c>
      <c r="C704" t="s">
        <v>104</v>
      </c>
      <c r="D704">
        <v>12</v>
      </c>
      <c r="E704">
        <v>230</v>
      </c>
      <c r="F704">
        <v>0.03</v>
      </c>
      <c r="G704" t="s">
        <v>113</v>
      </c>
    </row>
    <row r="705" spans="1:7" x14ac:dyDescent="0.25">
      <c r="A705" s="17">
        <v>43286</v>
      </c>
      <c r="B705" t="s">
        <v>98</v>
      </c>
      <c r="C705" t="s">
        <v>106</v>
      </c>
      <c r="D705">
        <v>22</v>
      </c>
      <c r="E705">
        <v>40</v>
      </c>
      <c r="F705">
        <v>0.01</v>
      </c>
      <c r="G705" t="s">
        <v>114</v>
      </c>
    </row>
    <row r="706" spans="1:7" x14ac:dyDescent="0.25">
      <c r="A706" s="17">
        <v>43286</v>
      </c>
      <c r="B706" t="s">
        <v>98</v>
      </c>
      <c r="C706" t="s">
        <v>99</v>
      </c>
      <c r="D706">
        <v>19</v>
      </c>
      <c r="E706">
        <v>40</v>
      </c>
      <c r="F706">
        <v>0.1</v>
      </c>
      <c r="G706" t="s">
        <v>110</v>
      </c>
    </row>
    <row r="707" spans="1:7" x14ac:dyDescent="0.25">
      <c r="A707" s="17">
        <v>43286</v>
      </c>
      <c r="B707" t="s">
        <v>95</v>
      </c>
      <c r="C707" t="s">
        <v>99</v>
      </c>
      <c r="D707">
        <v>21</v>
      </c>
      <c r="E707">
        <v>80</v>
      </c>
      <c r="F707">
        <v>0.04</v>
      </c>
      <c r="G707" t="s">
        <v>112</v>
      </c>
    </row>
    <row r="708" spans="1:7" x14ac:dyDescent="0.25">
      <c r="A708" s="17">
        <v>43286</v>
      </c>
      <c r="B708" t="s">
        <v>95</v>
      </c>
      <c r="C708" t="s">
        <v>99</v>
      </c>
      <c r="D708">
        <v>2</v>
      </c>
      <c r="E708">
        <v>80</v>
      </c>
      <c r="F708">
        <v>0.04</v>
      </c>
      <c r="G708" t="s">
        <v>113</v>
      </c>
    </row>
    <row r="709" spans="1:7" x14ac:dyDescent="0.25">
      <c r="A709" s="17">
        <v>43286</v>
      </c>
      <c r="B709" t="s">
        <v>111</v>
      </c>
      <c r="C709" t="s">
        <v>99</v>
      </c>
      <c r="D709">
        <v>15</v>
      </c>
      <c r="E709">
        <v>150</v>
      </c>
      <c r="F709">
        <v>0.02</v>
      </c>
      <c r="G709" t="s">
        <v>114</v>
      </c>
    </row>
    <row r="710" spans="1:7" x14ac:dyDescent="0.25">
      <c r="A710" s="17">
        <v>43287</v>
      </c>
      <c r="B710" t="s">
        <v>98</v>
      </c>
      <c r="C710" t="s">
        <v>99</v>
      </c>
      <c r="D710">
        <v>14</v>
      </c>
      <c r="E710">
        <v>40</v>
      </c>
      <c r="F710">
        <v>0.06</v>
      </c>
      <c r="G710" t="s">
        <v>110</v>
      </c>
    </row>
    <row r="711" spans="1:7" x14ac:dyDescent="0.25">
      <c r="A711" s="17">
        <v>43287</v>
      </c>
      <c r="B711" t="s">
        <v>95</v>
      </c>
      <c r="C711" t="s">
        <v>106</v>
      </c>
      <c r="D711">
        <v>7</v>
      </c>
      <c r="E711">
        <v>80</v>
      </c>
      <c r="F711">
        <v>7.0000000000000007E-2</v>
      </c>
      <c r="G711" t="s">
        <v>112</v>
      </c>
    </row>
    <row r="712" spans="1:7" x14ac:dyDescent="0.25">
      <c r="A712" s="17">
        <v>43287</v>
      </c>
      <c r="B712" t="s">
        <v>95</v>
      </c>
      <c r="C712" t="s">
        <v>104</v>
      </c>
      <c r="D712">
        <v>7</v>
      </c>
      <c r="E712">
        <v>80</v>
      </c>
      <c r="F712">
        <v>0.05</v>
      </c>
      <c r="G712" t="s">
        <v>113</v>
      </c>
    </row>
    <row r="713" spans="1:7" x14ac:dyDescent="0.25">
      <c r="A713" s="17">
        <v>43287</v>
      </c>
      <c r="B713" t="s">
        <v>111</v>
      </c>
      <c r="C713" t="s">
        <v>99</v>
      </c>
      <c r="D713">
        <v>10</v>
      </c>
      <c r="E713">
        <v>150</v>
      </c>
      <c r="F713">
        <v>0.01</v>
      </c>
      <c r="G713" t="s">
        <v>114</v>
      </c>
    </row>
    <row r="714" spans="1:7" x14ac:dyDescent="0.25">
      <c r="A714" s="17">
        <v>43287</v>
      </c>
      <c r="B714" t="s">
        <v>95</v>
      </c>
      <c r="C714" t="s">
        <v>104</v>
      </c>
      <c r="D714">
        <v>10</v>
      </c>
      <c r="E714">
        <v>80</v>
      </c>
      <c r="F714">
        <v>0.08</v>
      </c>
      <c r="G714" t="s">
        <v>110</v>
      </c>
    </row>
    <row r="715" spans="1:7" x14ac:dyDescent="0.25">
      <c r="A715" s="17">
        <v>43287</v>
      </c>
      <c r="B715" t="s">
        <v>95</v>
      </c>
      <c r="C715" t="s">
        <v>106</v>
      </c>
      <c r="D715">
        <v>15</v>
      </c>
      <c r="E715">
        <v>80</v>
      </c>
      <c r="F715">
        <v>0.08</v>
      </c>
      <c r="G715" t="s">
        <v>112</v>
      </c>
    </row>
    <row r="716" spans="1:7" x14ac:dyDescent="0.25">
      <c r="A716" s="17">
        <v>43287</v>
      </c>
      <c r="B716" t="s">
        <v>101</v>
      </c>
      <c r="C716" t="s">
        <v>106</v>
      </c>
      <c r="D716">
        <v>18</v>
      </c>
      <c r="E716">
        <v>230</v>
      </c>
      <c r="F716">
        <v>0.01</v>
      </c>
      <c r="G716" t="s">
        <v>113</v>
      </c>
    </row>
    <row r="717" spans="1:7" x14ac:dyDescent="0.25">
      <c r="A717" s="17">
        <v>43287</v>
      </c>
      <c r="B717" t="s">
        <v>95</v>
      </c>
      <c r="C717" t="s">
        <v>96</v>
      </c>
      <c r="D717">
        <v>8</v>
      </c>
      <c r="E717">
        <v>80</v>
      </c>
      <c r="F717">
        <v>0.09</v>
      </c>
      <c r="G717" t="s">
        <v>114</v>
      </c>
    </row>
    <row r="718" spans="1:7" x14ac:dyDescent="0.25">
      <c r="A718" s="17">
        <v>43287</v>
      </c>
      <c r="B718" t="s">
        <v>108</v>
      </c>
      <c r="C718" t="s">
        <v>104</v>
      </c>
      <c r="D718">
        <v>6</v>
      </c>
      <c r="E718">
        <v>16</v>
      </c>
      <c r="F718">
        <v>0.01</v>
      </c>
      <c r="G718" t="s">
        <v>110</v>
      </c>
    </row>
    <row r="719" spans="1:7" x14ac:dyDescent="0.25">
      <c r="A719" s="17">
        <v>43287</v>
      </c>
      <c r="B719" t="s">
        <v>101</v>
      </c>
      <c r="C719" t="s">
        <v>99</v>
      </c>
      <c r="D719">
        <v>9</v>
      </c>
      <c r="E719">
        <v>230</v>
      </c>
      <c r="F719">
        <v>0.03</v>
      </c>
      <c r="G719" t="s">
        <v>112</v>
      </c>
    </row>
    <row r="720" spans="1:7" x14ac:dyDescent="0.25">
      <c r="A720" s="17">
        <v>43288</v>
      </c>
      <c r="B720" t="s">
        <v>98</v>
      </c>
      <c r="C720" t="s">
        <v>106</v>
      </c>
      <c r="D720">
        <v>15</v>
      </c>
      <c r="E720">
        <v>40</v>
      </c>
      <c r="F720">
        <v>0.03</v>
      </c>
      <c r="G720" t="s">
        <v>113</v>
      </c>
    </row>
    <row r="721" spans="1:7" x14ac:dyDescent="0.25">
      <c r="A721" s="17">
        <v>43288</v>
      </c>
      <c r="B721" t="s">
        <v>98</v>
      </c>
      <c r="C721" t="s">
        <v>99</v>
      </c>
      <c r="D721">
        <v>15</v>
      </c>
      <c r="E721">
        <v>40</v>
      </c>
      <c r="F721">
        <v>0.04</v>
      </c>
      <c r="G721" t="s">
        <v>114</v>
      </c>
    </row>
    <row r="722" spans="1:7" x14ac:dyDescent="0.25">
      <c r="A722" s="17">
        <v>43288</v>
      </c>
      <c r="B722" t="s">
        <v>108</v>
      </c>
      <c r="C722" t="s">
        <v>109</v>
      </c>
      <c r="D722">
        <v>11</v>
      </c>
      <c r="E722">
        <v>16</v>
      </c>
      <c r="F722">
        <v>0.12</v>
      </c>
      <c r="G722" t="s">
        <v>110</v>
      </c>
    </row>
    <row r="723" spans="1:7" x14ac:dyDescent="0.25">
      <c r="A723" s="17">
        <v>43288</v>
      </c>
      <c r="B723" t="s">
        <v>108</v>
      </c>
      <c r="C723" t="s">
        <v>96</v>
      </c>
      <c r="D723">
        <v>12</v>
      </c>
      <c r="E723">
        <v>16</v>
      </c>
      <c r="F723">
        <v>0.11</v>
      </c>
      <c r="G723" t="s">
        <v>102</v>
      </c>
    </row>
    <row r="724" spans="1:7" x14ac:dyDescent="0.25">
      <c r="A724" s="17">
        <v>43288</v>
      </c>
      <c r="B724" t="s">
        <v>108</v>
      </c>
      <c r="C724" t="s">
        <v>106</v>
      </c>
      <c r="D724">
        <v>18</v>
      </c>
      <c r="E724">
        <v>16</v>
      </c>
      <c r="F724">
        <v>0.04</v>
      </c>
      <c r="G724" t="s">
        <v>113</v>
      </c>
    </row>
    <row r="725" spans="1:7" x14ac:dyDescent="0.25">
      <c r="A725" s="17">
        <v>43288</v>
      </c>
      <c r="B725" t="s">
        <v>98</v>
      </c>
      <c r="C725" t="s">
        <v>104</v>
      </c>
      <c r="D725">
        <v>20</v>
      </c>
      <c r="E725">
        <v>40</v>
      </c>
      <c r="F725">
        <v>0.01</v>
      </c>
      <c r="G725" t="s">
        <v>102</v>
      </c>
    </row>
    <row r="726" spans="1:7" x14ac:dyDescent="0.25">
      <c r="A726" s="17">
        <v>43288</v>
      </c>
      <c r="B726" t="s">
        <v>111</v>
      </c>
      <c r="C726" t="s">
        <v>109</v>
      </c>
      <c r="D726">
        <v>7</v>
      </c>
      <c r="E726">
        <v>150</v>
      </c>
      <c r="F726">
        <v>0.03</v>
      </c>
      <c r="G726" t="s">
        <v>113</v>
      </c>
    </row>
    <row r="727" spans="1:7" x14ac:dyDescent="0.25">
      <c r="A727" s="17">
        <v>43288</v>
      </c>
      <c r="B727" t="s">
        <v>98</v>
      </c>
      <c r="C727" t="s">
        <v>106</v>
      </c>
      <c r="D727">
        <v>23</v>
      </c>
      <c r="E727">
        <v>40</v>
      </c>
      <c r="F727">
        <v>0.06</v>
      </c>
      <c r="G727" t="s">
        <v>102</v>
      </c>
    </row>
    <row r="728" spans="1:7" x14ac:dyDescent="0.25">
      <c r="A728" s="17">
        <v>43288</v>
      </c>
      <c r="B728" t="s">
        <v>95</v>
      </c>
      <c r="C728" t="s">
        <v>96</v>
      </c>
      <c r="D728">
        <v>7</v>
      </c>
      <c r="E728">
        <v>80</v>
      </c>
      <c r="F728">
        <v>0.02</v>
      </c>
      <c r="G728" t="s">
        <v>113</v>
      </c>
    </row>
    <row r="729" spans="1:7" x14ac:dyDescent="0.25">
      <c r="A729" s="17">
        <v>43288</v>
      </c>
      <c r="B729" t="s">
        <v>111</v>
      </c>
      <c r="C729" t="s">
        <v>99</v>
      </c>
      <c r="D729">
        <v>16</v>
      </c>
      <c r="E729">
        <v>150</v>
      </c>
      <c r="F729">
        <v>0.05</v>
      </c>
      <c r="G729" t="s">
        <v>102</v>
      </c>
    </row>
    <row r="730" spans="1:7" x14ac:dyDescent="0.25">
      <c r="A730" s="17">
        <v>43288</v>
      </c>
      <c r="B730" t="s">
        <v>101</v>
      </c>
      <c r="C730" t="s">
        <v>99</v>
      </c>
      <c r="D730">
        <v>6</v>
      </c>
      <c r="E730">
        <v>230</v>
      </c>
      <c r="F730">
        <v>0.1</v>
      </c>
      <c r="G730" t="s">
        <v>113</v>
      </c>
    </row>
    <row r="731" spans="1:7" x14ac:dyDescent="0.25">
      <c r="A731" s="17">
        <v>43289</v>
      </c>
      <c r="B731" t="s">
        <v>98</v>
      </c>
      <c r="C731" t="s">
        <v>109</v>
      </c>
      <c r="D731">
        <v>7</v>
      </c>
      <c r="E731">
        <v>40</v>
      </c>
      <c r="F731">
        <v>0.12</v>
      </c>
      <c r="G731" t="s">
        <v>102</v>
      </c>
    </row>
    <row r="732" spans="1:7" x14ac:dyDescent="0.25">
      <c r="A732" s="17">
        <v>43289</v>
      </c>
      <c r="B732" t="s">
        <v>95</v>
      </c>
      <c r="C732" t="s">
        <v>104</v>
      </c>
      <c r="D732">
        <v>23</v>
      </c>
      <c r="E732">
        <v>80</v>
      </c>
      <c r="F732">
        <v>0.05</v>
      </c>
      <c r="G732" t="s">
        <v>113</v>
      </c>
    </row>
    <row r="733" spans="1:7" x14ac:dyDescent="0.25">
      <c r="A733" s="17">
        <v>43289</v>
      </c>
      <c r="B733" t="s">
        <v>95</v>
      </c>
      <c r="C733" t="s">
        <v>106</v>
      </c>
      <c r="D733">
        <v>16</v>
      </c>
      <c r="E733">
        <v>80</v>
      </c>
      <c r="F733">
        <v>0.1</v>
      </c>
      <c r="G733" t="s">
        <v>102</v>
      </c>
    </row>
    <row r="734" spans="1:7" x14ac:dyDescent="0.25">
      <c r="A734" s="17">
        <v>43289</v>
      </c>
      <c r="B734" t="s">
        <v>95</v>
      </c>
      <c r="C734" t="s">
        <v>96</v>
      </c>
      <c r="D734">
        <v>16</v>
      </c>
      <c r="E734">
        <v>80</v>
      </c>
      <c r="F734">
        <v>0.03</v>
      </c>
      <c r="G734" t="s">
        <v>113</v>
      </c>
    </row>
    <row r="735" spans="1:7" x14ac:dyDescent="0.25">
      <c r="A735" s="17">
        <v>43289</v>
      </c>
      <c r="B735" t="s">
        <v>95</v>
      </c>
      <c r="C735" t="s">
        <v>109</v>
      </c>
      <c r="D735">
        <v>22</v>
      </c>
      <c r="E735">
        <v>80</v>
      </c>
      <c r="F735">
        <v>0.09</v>
      </c>
      <c r="G735" t="s">
        <v>102</v>
      </c>
    </row>
    <row r="736" spans="1:7" x14ac:dyDescent="0.25">
      <c r="A736" s="17">
        <v>43289</v>
      </c>
      <c r="B736" t="s">
        <v>108</v>
      </c>
      <c r="C736" t="s">
        <v>96</v>
      </c>
      <c r="D736">
        <v>18</v>
      </c>
      <c r="E736">
        <v>16</v>
      </c>
      <c r="F736">
        <v>0.05</v>
      </c>
      <c r="G736" t="s">
        <v>113</v>
      </c>
    </row>
    <row r="737" spans="1:7" x14ac:dyDescent="0.25">
      <c r="A737" s="17">
        <v>43289</v>
      </c>
      <c r="B737" t="s">
        <v>101</v>
      </c>
      <c r="C737" t="s">
        <v>109</v>
      </c>
      <c r="D737">
        <v>5</v>
      </c>
      <c r="E737">
        <v>230</v>
      </c>
      <c r="F737">
        <v>0.12</v>
      </c>
      <c r="G737" t="s">
        <v>102</v>
      </c>
    </row>
    <row r="738" spans="1:7" x14ac:dyDescent="0.25">
      <c r="A738" s="17">
        <v>43289</v>
      </c>
      <c r="B738" t="s">
        <v>111</v>
      </c>
      <c r="C738" t="s">
        <v>109</v>
      </c>
      <c r="D738">
        <v>7</v>
      </c>
      <c r="E738">
        <v>150</v>
      </c>
      <c r="F738">
        <v>0.02</v>
      </c>
      <c r="G738" t="s">
        <v>113</v>
      </c>
    </row>
    <row r="739" spans="1:7" x14ac:dyDescent="0.25">
      <c r="A739" s="17">
        <v>43289</v>
      </c>
      <c r="B739" t="s">
        <v>98</v>
      </c>
      <c r="C739" t="s">
        <v>104</v>
      </c>
      <c r="D739">
        <v>2</v>
      </c>
      <c r="E739">
        <v>40</v>
      </c>
      <c r="F739">
        <v>0.03</v>
      </c>
      <c r="G739" t="s">
        <v>102</v>
      </c>
    </row>
    <row r="740" spans="1:7" x14ac:dyDescent="0.25">
      <c r="A740" s="17">
        <v>43289</v>
      </c>
      <c r="B740" t="s">
        <v>98</v>
      </c>
      <c r="C740" t="s">
        <v>106</v>
      </c>
      <c r="D740">
        <v>11</v>
      </c>
      <c r="E740">
        <v>40</v>
      </c>
      <c r="F740">
        <v>0.06</v>
      </c>
      <c r="G740" t="s">
        <v>113</v>
      </c>
    </row>
    <row r="741" spans="1:7" x14ac:dyDescent="0.25">
      <c r="A741" s="17">
        <v>43289</v>
      </c>
      <c r="B741" t="s">
        <v>95</v>
      </c>
      <c r="C741" t="s">
        <v>106</v>
      </c>
      <c r="D741">
        <v>7</v>
      </c>
      <c r="E741">
        <v>80</v>
      </c>
      <c r="F741">
        <v>0.02</v>
      </c>
      <c r="G741" t="s">
        <v>102</v>
      </c>
    </row>
    <row r="742" spans="1:7" x14ac:dyDescent="0.25">
      <c r="A742" s="17">
        <v>43290</v>
      </c>
      <c r="B742" t="s">
        <v>98</v>
      </c>
      <c r="C742" t="s">
        <v>104</v>
      </c>
      <c r="D742">
        <v>4</v>
      </c>
      <c r="E742">
        <v>40</v>
      </c>
      <c r="F742">
        <v>0.11</v>
      </c>
      <c r="G742" t="s">
        <v>113</v>
      </c>
    </row>
    <row r="743" spans="1:7" x14ac:dyDescent="0.25">
      <c r="A743" s="17">
        <v>43290</v>
      </c>
      <c r="B743" t="s">
        <v>98</v>
      </c>
      <c r="C743" t="s">
        <v>104</v>
      </c>
      <c r="D743">
        <v>2</v>
      </c>
      <c r="E743">
        <v>40</v>
      </c>
      <c r="F743">
        <v>0.02</v>
      </c>
      <c r="G743" t="s">
        <v>102</v>
      </c>
    </row>
    <row r="744" spans="1:7" x14ac:dyDescent="0.25">
      <c r="A744" s="17">
        <v>43290</v>
      </c>
      <c r="B744" t="s">
        <v>101</v>
      </c>
      <c r="C744" t="s">
        <v>106</v>
      </c>
      <c r="D744">
        <v>23</v>
      </c>
      <c r="E744">
        <v>230</v>
      </c>
      <c r="F744">
        <v>0.06</v>
      </c>
      <c r="G744" t="s">
        <v>113</v>
      </c>
    </row>
    <row r="745" spans="1:7" x14ac:dyDescent="0.25">
      <c r="A745" s="17">
        <v>43290</v>
      </c>
      <c r="B745" t="s">
        <v>95</v>
      </c>
      <c r="C745" t="s">
        <v>109</v>
      </c>
      <c r="D745">
        <v>21</v>
      </c>
      <c r="E745">
        <v>80</v>
      </c>
      <c r="F745">
        <v>0.09</v>
      </c>
      <c r="G745" t="s">
        <v>102</v>
      </c>
    </row>
    <row r="746" spans="1:7" x14ac:dyDescent="0.25">
      <c r="A746" s="17">
        <v>43290</v>
      </c>
      <c r="B746" t="s">
        <v>95</v>
      </c>
      <c r="C746" t="s">
        <v>109</v>
      </c>
      <c r="D746">
        <v>9</v>
      </c>
      <c r="E746">
        <v>80</v>
      </c>
      <c r="F746">
        <v>0.06</v>
      </c>
      <c r="G746" t="s">
        <v>113</v>
      </c>
    </row>
    <row r="747" spans="1:7" x14ac:dyDescent="0.25">
      <c r="A747" s="17">
        <v>43290</v>
      </c>
      <c r="B747" t="s">
        <v>95</v>
      </c>
      <c r="C747" t="s">
        <v>109</v>
      </c>
      <c r="D747">
        <v>22</v>
      </c>
      <c r="E747">
        <v>80</v>
      </c>
      <c r="F747">
        <v>0.11</v>
      </c>
      <c r="G747" t="s">
        <v>102</v>
      </c>
    </row>
    <row r="748" spans="1:7" x14ac:dyDescent="0.25">
      <c r="A748" s="17">
        <v>43291</v>
      </c>
      <c r="B748" t="s">
        <v>101</v>
      </c>
      <c r="C748" t="s">
        <v>104</v>
      </c>
      <c r="D748">
        <v>15</v>
      </c>
      <c r="E748">
        <v>230</v>
      </c>
      <c r="F748">
        <v>0.11</v>
      </c>
      <c r="G748" t="s">
        <v>113</v>
      </c>
    </row>
    <row r="749" spans="1:7" x14ac:dyDescent="0.25">
      <c r="A749" s="17">
        <v>43291</v>
      </c>
      <c r="B749" t="s">
        <v>98</v>
      </c>
      <c r="C749" t="s">
        <v>99</v>
      </c>
      <c r="D749">
        <v>7</v>
      </c>
      <c r="E749">
        <v>40</v>
      </c>
      <c r="F749">
        <v>0.01</v>
      </c>
      <c r="G749" t="s">
        <v>102</v>
      </c>
    </row>
    <row r="750" spans="1:7" x14ac:dyDescent="0.25">
      <c r="A750" s="17">
        <v>43291</v>
      </c>
      <c r="B750" t="s">
        <v>111</v>
      </c>
      <c r="C750" t="s">
        <v>109</v>
      </c>
      <c r="D750">
        <v>17</v>
      </c>
      <c r="E750">
        <v>150</v>
      </c>
      <c r="F750">
        <v>0.02</v>
      </c>
      <c r="G750" t="s">
        <v>113</v>
      </c>
    </row>
    <row r="751" spans="1:7" x14ac:dyDescent="0.25">
      <c r="A751" s="17">
        <v>43291</v>
      </c>
      <c r="B751" t="s">
        <v>111</v>
      </c>
      <c r="C751" t="s">
        <v>99</v>
      </c>
      <c r="D751">
        <v>22</v>
      </c>
      <c r="E751">
        <v>150</v>
      </c>
      <c r="F751">
        <v>0.02</v>
      </c>
      <c r="G751" t="s">
        <v>102</v>
      </c>
    </row>
    <row r="752" spans="1:7" x14ac:dyDescent="0.25">
      <c r="A752" s="17">
        <v>43291</v>
      </c>
      <c r="B752" t="s">
        <v>101</v>
      </c>
      <c r="C752" t="s">
        <v>104</v>
      </c>
      <c r="D752">
        <v>10</v>
      </c>
      <c r="E752">
        <v>230</v>
      </c>
      <c r="F752">
        <v>0.02</v>
      </c>
      <c r="G752" t="s">
        <v>113</v>
      </c>
    </row>
    <row r="753" spans="1:7" x14ac:dyDescent="0.25">
      <c r="A753" s="17">
        <v>43291</v>
      </c>
      <c r="B753" t="s">
        <v>98</v>
      </c>
      <c r="C753" t="s">
        <v>109</v>
      </c>
      <c r="D753">
        <v>21</v>
      </c>
      <c r="E753">
        <v>40</v>
      </c>
      <c r="F753">
        <v>0.01</v>
      </c>
      <c r="G753" t="s">
        <v>102</v>
      </c>
    </row>
    <row r="754" spans="1:7" x14ac:dyDescent="0.25">
      <c r="A754" s="17">
        <v>43291</v>
      </c>
      <c r="B754" t="s">
        <v>101</v>
      </c>
      <c r="C754" t="s">
        <v>104</v>
      </c>
      <c r="D754">
        <v>5</v>
      </c>
      <c r="E754">
        <v>230</v>
      </c>
      <c r="F754">
        <v>0.1</v>
      </c>
      <c r="G754" t="s">
        <v>113</v>
      </c>
    </row>
    <row r="755" spans="1:7" x14ac:dyDescent="0.25">
      <c r="A755" s="17">
        <v>43291</v>
      </c>
      <c r="B755" t="s">
        <v>101</v>
      </c>
      <c r="C755" t="s">
        <v>109</v>
      </c>
      <c r="D755">
        <v>13</v>
      </c>
      <c r="E755">
        <v>230</v>
      </c>
      <c r="F755">
        <v>0.06</v>
      </c>
      <c r="G755" t="s">
        <v>102</v>
      </c>
    </row>
    <row r="756" spans="1:7" x14ac:dyDescent="0.25">
      <c r="A756" s="17">
        <v>43291</v>
      </c>
      <c r="B756" t="s">
        <v>111</v>
      </c>
      <c r="C756" t="s">
        <v>96</v>
      </c>
      <c r="D756">
        <v>23</v>
      </c>
      <c r="E756">
        <v>150</v>
      </c>
      <c r="F756">
        <v>0.1</v>
      </c>
      <c r="G756" t="s">
        <v>113</v>
      </c>
    </row>
    <row r="757" spans="1:7" x14ac:dyDescent="0.25">
      <c r="A757" s="17">
        <v>43291</v>
      </c>
      <c r="B757" t="s">
        <v>111</v>
      </c>
      <c r="C757" t="s">
        <v>96</v>
      </c>
      <c r="D757">
        <v>20</v>
      </c>
      <c r="E757">
        <v>150</v>
      </c>
      <c r="F757">
        <v>0.03</v>
      </c>
      <c r="G757" t="s">
        <v>102</v>
      </c>
    </row>
    <row r="758" spans="1:7" x14ac:dyDescent="0.25">
      <c r="A758" s="17">
        <v>43292</v>
      </c>
      <c r="B758" t="s">
        <v>101</v>
      </c>
      <c r="C758" t="s">
        <v>96</v>
      </c>
      <c r="D758">
        <v>3</v>
      </c>
      <c r="E758">
        <v>230</v>
      </c>
      <c r="F758">
        <v>0.11</v>
      </c>
      <c r="G758" t="s">
        <v>113</v>
      </c>
    </row>
    <row r="759" spans="1:7" x14ac:dyDescent="0.25">
      <c r="A759" s="17">
        <v>43292</v>
      </c>
      <c r="B759" t="s">
        <v>111</v>
      </c>
      <c r="C759" t="s">
        <v>99</v>
      </c>
      <c r="D759">
        <v>16</v>
      </c>
      <c r="E759">
        <v>150</v>
      </c>
      <c r="F759">
        <v>0.08</v>
      </c>
      <c r="G759" t="s">
        <v>102</v>
      </c>
    </row>
    <row r="760" spans="1:7" x14ac:dyDescent="0.25">
      <c r="A760" s="17">
        <v>43292</v>
      </c>
      <c r="B760" t="s">
        <v>108</v>
      </c>
      <c r="C760" t="s">
        <v>109</v>
      </c>
      <c r="D760">
        <v>14</v>
      </c>
      <c r="E760">
        <v>16</v>
      </c>
      <c r="F760">
        <v>0.06</v>
      </c>
      <c r="G760" t="s">
        <v>113</v>
      </c>
    </row>
    <row r="761" spans="1:7" x14ac:dyDescent="0.25">
      <c r="A761" s="17">
        <v>43292</v>
      </c>
      <c r="B761" t="s">
        <v>111</v>
      </c>
      <c r="C761" t="s">
        <v>99</v>
      </c>
      <c r="D761">
        <v>16</v>
      </c>
      <c r="E761">
        <v>150</v>
      </c>
      <c r="F761">
        <v>0.03</v>
      </c>
      <c r="G761" t="s">
        <v>102</v>
      </c>
    </row>
    <row r="762" spans="1:7" x14ac:dyDescent="0.25">
      <c r="A762" s="17">
        <v>43292</v>
      </c>
      <c r="B762" t="s">
        <v>108</v>
      </c>
      <c r="C762" t="s">
        <v>109</v>
      </c>
      <c r="D762">
        <v>19</v>
      </c>
      <c r="E762">
        <v>16</v>
      </c>
      <c r="F762">
        <v>0.02</v>
      </c>
      <c r="G762" t="s">
        <v>113</v>
      </c>
    </row>
    <row r="763" spans="1:7" x14ac:dyDescent="0.25">
      <c r="A763" s="17">
        <v>43292</v>
      </c>
      <c r="B763" t="s">
        <v>95</v>
      </c>
      <c r="C763" t="s">
        <v>109</v>
      </c>
      <c r="D763">
        <v>6</v>
      </c>
      <c r="E763">
        <v>80</v>
      </c>
      <c r="F763">
        <v>0.09</v>
      </c>
      <c r="G763" t="s">
        <v>102</v>
      </c>
    </row>
    <row r="764" spans="1:7" x14ac:dyDescent="0.25">
      <c r="A764" s="17">
        <v>43292</v>
      </c>
      <c r="B764" t="s">
        <v>95</v>
      </c>
      <c r="C764" t="s">
        <v>109</v>
      </c>
      <c r="D764">
        <v>9</v>
      </c>
      <c r="E764">
        <v>80</v>
      </c>
      <c r="F764">
        <v>7.0000000000000007E-2</v>
      </c>
      <c r="G764" t="s">
        <v>113</v>
      </c>
    </row>
    <row r="765" spans="1:7" x14ac:dyDescent="0.25">
      <c r="A765" s="17">
        <v>43292</v>
      </c>
      <c r="B765" t="s">
        <v>111</v>
      </c>
      <c r="C765" t="s">
        <v>99</v>
      </c>
      <c r="D765">
        <v>20</v>
      </c>
      <c r="E765">
        <v>150</v>
      </c>
      <c r="F765">
        <v>0.09</v>
      </c>
      <c r="G765" t="s">
        <v>102</v>
      </c>
    </row>
    <row r="766" spans="1:7" x14ac:dyDescent="0.25">
      <c r="A766" s="17">
        <v>43292</v>
      </c>
      <c r="B766" t="s">
        <v>95</v>
      </c>
      <c r="C766" t="s">
        <v>104</v>
      </c>
      <c r="D766">
        <v>10</v>
      </c>
      <c r="E766">
        <v>80</v>
      </c>
      <c r="F766">
        <v>0.11</v>
      </c>
      <c r="G766" t="s">
        <v>113</v>
      </c>
    </row>
    <row r="767" spans="1:7" x14ac:dyDescent="0.25">
      <c r="A767" s="17">
        <v>43292</v>
      </c>
      <c r="B767" t="s">
        <v>108</v>
      </c>
      <c r="C767" t="s">
        <v>96</v>
      </c>
      <c r="D767">
        <v>4</v>
      </c>
      <c r="E767">
        <v>16</v>
      </c>
      <c r="F767">
        <v>0.12</v>
      </c>
      <c r="G767" t="s">
        <v>102</v>
      </c>
    </row>
    <row r="768" spans="1:7" x14ac:dyDescent="0.25">
      <c r="A768" s="17">
        <v>43292</v>
      </c>
      <c r="B768" t="s">
        <v>98</v>
      </c>
      <c r="C768" t="s">
        <v>109</v>
      </c>
      <c r="D768">
        <v>16</v>
      </c>
      <c r="E768">
        <v>40</v>
      </c>
      <c r="F768">
        <v>0.11</v>
      </c>
      <c r="G768" t="s">
        <v>113</v>
      </c>
    </row>
    <row r="769" spans="1:7" x14ac:dyDescent="0.25">
      <c r="A769" s="17">
        <v>43293</v>
      </c>
      <c r="B769" t="s">
        <v>95</v>
      </c>
      <c r="C769" t="s">
        <v>99</v>
      </c>
      <c r="D769">
        <v>5</v>
      </c>
      <c r="E769">
        <v>80</v>
      </c>
      <c r="F769">
        <v>0.04</v>
      </c>
      <c r="G769" t="s">
        <v>102</v>
      </c>
    </row>
    <row r="770" spans="1:7" x14ac:dyDescent="0.25">
      <c r="A770" s="17">
        <v>43293</v>
      </c>
      <c r="B770" t="s">
        <v>108</v>
      </c>
      <c r="C770" t="s">
        <v>104</v>
      </c>
      <c r="D770">
        <v>11</v>
      </c>
      <c r="E770">
        <v>16</v>
      </c>
      <c r="F770">
        <v>0.04</v>
      </c>
      <c r="G770" t="s">
        <v>113</v>
      </c>
    </row>
    <row r="771" spans="1:7" x14ac:dyDescent="0.25">
      <c r="A771" s="17">
        <v>43293</v>
      </c>
      <c r="B771" t="s">
        <v>111</v>
      </c>
      <c r="C771" t="s">
        <v>96</v>
      </c>
      <c r="D771">
        <v>17</v>
      </c>
      <c r="E771">
        <v>150</v>
      </c>
      <c r="F771">
        <v>0.12</v>
      </c>
      <c r="G771" t="s">
        <v>102</v>
      </c>
    </row>
    <row r="772" spans="1:7" x14ac:dyDescent="0.25">
      <c r="A772" s="17">
        <v>43293</v>
      </c>
      <c r="B772" t="s">
        <v>101</v>
      </c>
      <c r="C772" t="s">
        <v>99</v>
      </c>
      <c r="D772">
        <v>19</v>
      </c>
      <c r="E772">
        <v>230</v>
      </c>
      <c r="F772">
        <v>0.11</v>
      </c>
      <c r="G772" t="s">
        <v>113</v>
      </c>
    </row>
    <row r="773" spans="1:7" x14ac:dyDescent="0.25">
      <c r="A773" s="17">
        <v>43293</v>
      </c>
      <c r="B773" t="s">
        <v>95</v>
      </c>
      <c r="C773" t="s">
        <v>96</v>
      </c>
      <c r="D773">
        <v>21</v>
      </c>
      <c r="E773">
        <v>80</v>
      </c>
      <c r="F773">
        <v>0.04</v>
      </c>
      <c r="G773" t="s">
        <v>102</v>
      </c>
    </row>
    <row r="774" spans="1:7" x14ac:dyDescent="0.25">
      <c r="A774" s="17">
        <v>43293</v>
      </c>
      <c r="B774" t="s">
        <v>101</v>
      </c>
      <c r="C774" t="s">
        <v>99</v>
      </c>
      <c r="D774">
        <v>7</v>
      </c>
      <c r="E774">
        <v>230</v>
      </c>
      <c r="F774">
        <v>0.01</v>
      </c>
      <c r="G774" t="s">
        <v>113</v>
      </c>
    </row>
    <row r="775" spans="1:7" x14ac:dyDescent="0.25">
      <c r="A775" s="17">
        <v>43293</v>
      </c>
      <c r="B775" t="s">
        <v>98</v>
      </c>
      <c r="C775" t="s">
        <v>104</v>
      </c>
      <c r="D775">
        <v>2</v>
      </c>
      <c r="E775">
        <v>40</v>
      </c>
      <c r="F775">
        <v>0.03</v>
      </c>
      <c r="G775" t="s">
        <v>102</v>
      </c>
    </row>
    <row r="776" spans="1:7" x14ac:dyDescent="0.25">
      <c r="A776" s="17">
        <v>43293</v>
      </c>
      <c r="B776" t="s">
        <v>111</v>
      </c>
      <c r="C776" t="s">
        <v>96</v>
      </c>
      <c r="D776">
        <v>7</v>
      </c>
      <c r="E776">
        <v>150</v>
      </c>
      <c r="F776">
        <v>0.02</v>
      </c>
      <c r="G776" t="s">
        <v>113</v>
      </c>
    </row>
    <row r="777" spans="1:7" x14ac:dyDescent="0.25">
      <c r="A777" s="17">
        <v>43294</v>
      </c>
      <c r="B777" t="s">
        <v>95</v>
      </c>
      <c r="C777" t="s">
        <v>104</v>
      </c>
      <c r="D777">
        <v>16</v>
      </c>
      <c r="E777">
        <v>80</v>
      </c>
      <c r="F777">
        <v>0.04</v>
      </c>
      <c r="G777" t="s">
        <v>102</v>
      </c>
    </row>
    <row r="778" spans="1:7" x14ac:dyDescent="0.25">
      <c r="A778" s="17">
        <v>43294</v>
      </c>
      <c r="B778" t="s">
        <v>98</v>
      </c>
      <c r="C778" t="s">
        <v>99</v>
      </c>
      <c r="D778">
        <v>4</v>
      </c>
      <c r="E778">
        <v>40</v>
      </c>
      <c r="F778">
        <v>0.12</v>
      </c>
      <c r="G778" t="s">
        <v>113</v>
      </c>
    </row>
    <row r="779" spans="1:7" x14ac:dyDescent="0.25">
      <c r="A779" s="17">
        <v>43294</v>
      </c>
      <c r="B779" t="s">
        <v>108</v>
      </c>
      <c r="C779" t="s">
        <v>96</v>
      </c>
      <c r="D779">
        <v>22</v>
      </c>
      <c r="E779">
        <v>16</v>
      </c>
      <c r="F779">
        <v>0.01</v>
      </c>
      <c r="G779" t="s">
        <v>102</v>
      </c>
    </row>
    <row r="780" spans="1:7" x14ac:dyDescent="0.25">
      <c r="A780" s="17">
        <v>43294</v>
      </c>
      <c r="B780" t="s">
        <v>98</v>
      </c>
      <c r="C780" t="s">
        <v>106</v>
      </c>
      <c r="D780">
        <v>18</v>
      </c>
      <c r="E780">
        <v>40</v>
      </c>
      <c r="F780">
        <v>0.06</v>
      </c>
      <c r="G780" t="s">
        <v>113</v>
      </c>
    </row>
    <row r="781" spans="1:7" x14ac:dyDescent="0.25">
      <c r="A781" s="17">
        <v>43294</v>
      </c>
      <c r="B781" t="s">
        <v>95</v>
      </c>
      <c r="C781" t="s">
        <v>104</v>
      </c>
      <c r="D781">
        <v>6</v>
      </c>
      <c r="E781">
        <v>80</v>
      </c>
      <c r="F781">
        <v>0.01</v>
      </c>
      <c r="G781" t="s">
        <v>102</v>
      </c>
    </row>
    <row r="782" spans="1:7" x14ac:dyDescent="0.25">
      <c r="A782" s="17">
        <v>43294</v>
      </c>
      <c r="B782" t="s">
        <v>101</v>
      </c>
      <c r="C782" t="s">
        <v>104</v>
      </c>
      <c r="D782">
        <v>2</v>
      </c>
      <c r="E782">
        <v>230</v>
      </c>
      <c r="F782">
        <v>0.09</v>
      </c>
      <c r="G782" t="s">
        <v>113</v>
      </c>
    </row>
    <row r="783" spans="1:7" x14ac:dyDescent="0.25">
      <c r="A783" s="17">
        <v>43295</v>
      </c>
      <c r="B783" t="s">
        <v>111</v>
      </c>
      <c r="C783" t="s">
        <v>109</v>
      </c>
      <c r="D783">
        <v>11</v>
      </c>
      <c r="E783">
        <v>150</v>
      </c>
      <c r="F783">
        <v>0.09</v>
      </c>
      <c r="G783" t="s">
        <v>102</v>
      </c>
    </row>
    <row r="784" spans="1:7" x14ac:dyDescent="0.25">
      <c r="A784" s="17">
        <v>43295</v>
      </c>
      <c r="B784" t="s">
        <v>111</v>
      </c>
      <c r="C784" t="s">
        <v>106</v>
      </c>
      <c r="D784">
        <v>15</v>
      </c>
      <c r="E784">
        <v>150</v>
      </c>
      <c r="F784">
        <v>0.08</v>
      </c>
      <c r="G784" t="s">
        <v>113</v>
      </c>
    </row>
    <row r="785" spans="1:7" x14ac:dyDescent="0.25">
      <c r="A785" s="17">
        <v>43295</v>
      </c>
      <c r="B785" t="s">
        <v>95</v>
      </c>
      <c r="C785" t="s">
        <v>96</v>
      </c>
      <c r="D785">
        <v>17</v>
      </c>
      <c r="E785">
        <v>80</v>
      </c>
      <c r="F785">
        <v>0.09</v>
      </c>
      <c r="G785" t="s">
        <v>102</v>
      </c>
    </row>
    <row r="786" spans="1:7" x14ac:dyDescent="0.25">
      <c r="A786" s="17">
        <v>43295</v>
      </c>
      <c r="B786" t="s">
        <v>111</v>
      </c>
      <c r="C786" t="s">
        <v>109</v>
      </c>
      <c r="D786">
        <v>13</v>
      </c>
      <c r="E786">
        <v>150</v>
      </c>
      <c r="F786">
        <v>0.11</v>
      </c>
      <c r="G786" t="s">
        <v>113</v>
      </c>
    </row>
    <row r="787" spans="1:7" x14ac:dyDescent="0.25">
      <c r="A787" s="17">
        <v>43295</v>
      </c>
      <c r="B787" t="s">
        <v>98</v>
      </c>
      <c r="C787" t="s">
        <v>106</v>
      </c>
      <c r="D787">
        <v>7</v>
      </c>
      <c r="E787">
        <v>40</v>
      </c>
      <c r="F787">
        <v>7.0000000000000007E-2</v>
      </c>
      <c r="G787" t="s">
        <v>102</v>
      </c>
    </row>
    <row r="788" spans="1:7" x14ac:dyDescent="0.25">
      <c r="A788" s="17">
        <v>43295</v>
      </c>
      <c r="B788" t="s">
        <v>101</v>
      </c>
      <c r="C788" t="s">
        <v>106</v>
      </c>
      <c r="D788">
        <v>3</v>
      </c>
      <c r="E788">
        <v>230</v>
      </c>
      <c r="F788">
        <v>0.01</v>
      </c>
      <c r="G788" t="s">
        <v>113</v>
      </c>
    </row>
    <row r="789" spans="1:7" x14ac:dyDescent="0.25">
      <c r="A789" s="17">
        <v>43295</v>
      </c>
      <c r="B789" t="s">
        <v>98</v>
      </c>
      <c r="C789" t="s">
        <v>104</v>
      </c>
      <c r="D789">
        <v>12</v>
      </c>
      <c r="E789">
        <v>40</v>
      </c>
      <c r="F789">
        <v>0.02</v>
      </c>
      <c r="G789" t="s">
        <v>102</v>
      </c>
    </row>
    <row r="790" spans="1:7" x14ac:dyDescent="0.25">
      <c r="A790" s="17">
        <v>43295</v>
      </c>
      <c r="B790" t="s">
        <v>111</v>
      </c>
      <c r="C790" t="s">
        <v>104</v>
      </c>
      <c r="D790">
        <v>11</v>
      </c>
      <c r="E790">
        <v>150</v>
      </c>
      <c r="F790">
        <v>0.11</v>
      </c>
      <c r="G790" t="s">
        <v>113</v>
      </c>
    </row>
    <row r="791" spans="1:7" x14ac:dyDescent="0.25">
      <c r="A791" s="17">
        <v>43295</v>
      </c>
      <c r="B791" t="s">
        <v>98</v>
      </c>
      <c r="C791" t="s">
        <v>99</v>
      </c>
      <c r="D791">
        <v>21</v>
      </c>
      <c r="E791">
        <v>40</v>
      </c>
      <c r="F791">
        <v>0.03</v>
      </c>
      <c r="G791" t="s">
        <v>102</v>
      </c>
    </row>
    <row r="792" spans="1:7" x14ac:dyDescent="0.25">
      <c r="A792" s="17">
        <v>43295</v>
      </c>
      <c r="B792" t="s">
        <v>111</v>
      </c>
      <c r="C792" t="s">
        <v>96</v>
      </c>
      <c r="D792">
        <v>22</v>
      </c>
      <c r="E792">
        <v>150</v>
      </c>
      <c r="F792">
        <v>7.0000000000000007E-2</v>
      </c>
      <c r="G792" t="s">
        <v>113</v>
      </c>
    </row>
    <row r="793" spans="1:7" x14ac:dyDescent="0.25">
      <c r="A793" s="17">
        <v>43295</v>
      </c>
      <c r="B793" t="s">
        <v>98</v>
      </c>
      <c r="C793" t="s">
        <v>104</v>
      </c>
      <c r="D793">
        <v>20</v>
      </c>
      <c r="E793">
        <v>40</v>
      </c>
      <c r="F793">
        <v>0.01</v>
      </c>
      <c r="G793" t="s">
        <v>102</v>
      </c>
    </row>
    <row r="794" spans="1:7" x14ac:dyDescent="0.25">
      <c r="A794" s="17">
        <v>43296</v>
      </c>
      <c r="B794" t="s">
        <v>108</v>
      </c>
      <c r="C794" t="s">
        <v>109</v>
      </c>
      <c r="D794">
        <v>22</v>
      </c>
      <c r="E794">
        <v>16</v>
      </c>
      <c r="F794">
        <v>0.12</v>
      </c>
      <c r="G794" t="s">
        <v>113</v>
      </c>
    </row>
    <row r="795" spans="1:7" x14ac:dyDescent="0.25">
      <c r="A795" s="17">
        <v>43296</v>
      </c>
      <c r="B795" t="s">
        <v>98</v>
      </c>
      <c r="C795" t="s">
        <v>104</v>
      </c>
      <c r="D795">
        <v>4</v>
      </c>
      <c r="E795">
        <v>40</v>
      </c>
      <c r="F795">
        <v>0.1</v>
      </c>
      <c r="G795" t="s">
        <v>102</v>
      </c>
    </row>
    <row r="796" spans="1:7" x14ac:dyDescent="0.25">
      <c r="A796" s="17">
        <v>43296</v>
      </c>
      <c r="B796" t="s">
        <v>101</v>
      </c>
      <c r="C796" t="s">
        <v>106</v>
      </c>
      <c r="D796">
        <v>2</v>
      </c>
      <c r="E796">
        <v>230</v>
      </c>
      <c r="F796">
        <v>0.09</v>
      </c>
      <c r="G796" t="s">
        <v>113</v>
      </c>
    </row>
    <row r="797" spans="1:7" x14ac:dyDescent="0.25">
      <c r="A797" s="17">
        <v>43296</v>
      </c>
      <c r="B797" t="s">
        <v>98</v>
      </c>
      <c r="C797" t="s">
        <v>96</v>
      </c>
      <c r="D797">
        <v>22</v>
      </c>
      <c r="E797">
        <v>40</v>
      </c>
      <c r="F797">
        <v>0.02</v>
      </c>
      <c r="G797" t="s">
        <v>102</v>
      </c>
    </row>
    <row r="798" spans="1:7" x14ac:dyDescent="0.25">
      <c r="A798" s="17">
        <v>43296</v>
      </c>
      <c r="B798" t="s">
        <v>98</v>
      </c>
      <c r="C798" t="s">
        <v>99</v>
      </c>
      <c r="D798">
        <v>4</v>
      </c>
      <c r="E798">
        <v>40</v>
      </c>
      <c r="F798">
        <v>0.03</v>
      </c>
      <c r="G798" t="s">
        <v>113</v>
      </c>
    </row>
    <row r="799" spans="1:7" x14ac:dyDescent="0.25">
      <c r="A799" s="17">
        <v>43296</v>
      </c>
      <c r="B799" t="s">
        <v>108</v>
      </c>
      <c r="C799" t="s">
        <v>99</v>
      </c>
      <c r="D799">
        <v>5</v>
      </c>
      <c r="E799">
        <v>16</v>
      </c>
      <c r="F799">
        <v>0.11</v>
      </c>
      <c r="G799" t="s">
        <v>102</v>
      </c>
    </row>
    <row r="800" spans="1:7" x14ac:dyDescent="0.25">
      <c r="A800" s="17">
        <v>43296</v>
      </c>
      <c r="B800" t="s">
        <v>95</v>
      </c>
      <c r="C800" t="s">
        <v>106</v>
      </c>
      <c r="D800">
        <v>2</v>
      </c>
      <c r="E800">
        <v>80</v>
      </c>
      <c r="F800">
        <v>0.08</v>
      </c>
      <c r="G800" t="s">
        <v>113</v>
      </c>
    </row>
    <row r="801" spans="1:7" x14ac:dyDescent="0.25">
      <c r="A801" s="17">
        <v>43296</v>
      </c>
      <c r="B801" t="s">
        <v>108</v>
      </c>
      <c r="C801" t="s">
        <v>104</v>
      </c>
      <c r="D801">
        <v>9</v>
      </c>
      <c r="E801">
        <v>16</v>
      </c>
      <c r="F801">
        <v>0.05</v>
      </c>
      <c r="G801" t="s">
        <v>102</v>
      </c>
    </row>
    <row r="802" spans="1:7" x14ac:dyDescent="0.25">
      <c r="A802" s="17">
        <v>43296</v>
      </c>
      <c r="B802" t="s">
        <v>101</v>
      </c>
      <c r="C802" t="s">
        <v>104</v>
      </c>
      <c r="D802">
        <v>6</v>
      </c>
      <c r="E802">
        <v>230</v>
      </c>
      <c r="F802">
        <v>0.05</v>
      </c>
      <c r="G802" t="s">
        <v>113</v>
      </c>
    </row>
    <row r="803" spans="1:7" x14ac:dyDescent="0.25">
      <c r="A803" s="17">
        <v>43296</v>
      </c>
      <c r="B803" t="s">
        <v>111</v>
      </c>
      <c r="C803" t="s">
        <v>106</v>
      </c>
      <c r="D803">
        <v>22</v>
      </c>
      <c r="E803">
        <v>150</v>
      </c>
      <c r="F803">
        <v>0.05</v>
      </c>
      <c r="G803" t="s">
        <v>102</v>
      </c>
    </row>
    <row r="804" spans="1:7" x14ac:dyDescent="0.25">
      <c r="A804" s="17">
        <v>43297</v>
      </c>
      <c r="B804" t="s">
        <v>101</v>
      </c>
      <c r="C804" t="s">
        <v>106</v>
      </c>
      <c r="D804">
        <v>8</v>
      </c>
      <c r="E804">
        <v>230</v>
      </c>
      <c r="F804">
        <v>0.01</v>
      </c>
      <c r="G804" t="s">
        <v>113</v>
      </c>
    </row>
    <row r="805" spans="1:7" x14ac:dyDescent="0.25">
      <c r="A805" s="17">
        <v>43297</v>
      </c>
      <c r="B805" t="s">
        <v>111</v>
      </c>
      <c r="C805" t="s">
        <v>96</v>
      </c>
      <c r="D805">
        <v>22</v>
      </c>
      <c r="E805">
        <v>150</v>
      </c>
      <c r="F805">
        <v>0.05</v>
      </c>
      <c r="G805" t="s">
        <v>102</v>
      </c>
    </row>
    <row r="806" spans="1:7" x14ac:dyDescent="0.25">
      <c r="A806" s="17">
        <v>43297</v>
      </c>
      <c r="B806" t="s">
        <v>98</v>
      </c>
      <c r="C806" t="s">
        <v>96</v>
      </c>
      <c r="D806">
        <v>5</v>
      </c>
      <c r="E806">
        <v>40</v>
      </c>
      <c r="F806">
        <v>0.06</v>
      </c>
      <c r="G806" t="s">
        <v>113</v>
      </c>
    </row>
    <row r="807" spans="1:7" x14ac:dyDescent="0.25">
      <c r="A807" s="17">
        <v>43297</v>
      </c>
      <c r="B807" t="s">
        <v>111</v>
      </c>
      <c r="C807" t="s">
        <v>106</v>
      </c>
      <c r="D807">
        <v>20</v>
      </c>
      <c r="E807">
        <v>150</v>
      </c>
      <c r="F807">
        <v>0.1</v>
      </c>
      <c r="G807" t="s">
        <v>102</v>
      </c>
    </row>
    <row r="808" spans="1:7" x14ac:dyDescent="0.25">
      <c r="A808" s="17">
        <v>43297</v>
      </c>
      <c r="B808" t="s">
        <v>95</v>
      </c>
      <c r="C808" t="s">
        <v>106</v>
      </c>
      <c r="D808">
        <v>22</v>
      </c>
      <c r="E808">
        <v>80</v>
      </c>
      <c r="F808">
        <v>0.03</v>
      </c>
      <c r="G808" t="s">
        <v>113</v>
      </c>
    </row>
    <row r="809" spans="1:7" x14ac:dyDescent="0.25">
      <c r="A809" s="17">
        <v>43297</v>
      </c>
      <c r="B809" t="s">
        <v>108</v>
      </c>
      <c r="C809" t="s">
        <v>96</v>
      </c>
      <c r="D809">
        <v>11</v>
      </c>
      <c r="E809">
        <v>16</v>
      </c>
      <c r="F809">
        <v>0.09</v>
      </c>
      <c r="G809" t="s">
        <v>102</v>
      </c>
    </row>
    <row r="810" spans="1:7" x14ac:dyDescent="0.25">
      <c r="A810" s="17">
        <v>43297</v>
      </c>
      <c r="B810" t="s">
        <v>108</v>
      </c>
      <c r="C810" t="s">
        <v>99</v>
      </c>
      <c r="D810">
        <v>22</v>
      </c>
      <c r="E810">
        <v>16</v>
      </c>
      <c r="F810">
        <v>0.01</v>
      </c>
      <c r="G810" t="s">
        <v>113</v>
      </c>
    </row>
    <row r="811" spans="1:7" x14ac:dyDescent="0.25">
      <c r="A811" s="17">
        <v>43297</v>
      </c>
      <c r="B811" t="s">
        <v>98</v>
      </c>
      <c r="C811" t="s">
        <v>99</v>
      </c>
      <c r="D811">
        <v>23</v>
      </c>
      <c r="E811">
        <v>40</v>
      </c>
      <c r="F811">
        <v>0.06</v>
      </c>
      <c r="G811" t="s">
        <v>102</v>
      </c>
    </row>
    <row r="812" spans="1:7" x14ac:dyDescent="0.25">
      <c r="A812" s="17">
        <v>43297</v>
      </c>
      <c r="B812" t="s">
        <v>95</v>
      </c>
      <c r="C812" t="s">
        <v>104</v>
      </c>
      <c r="D812">
        <v>14</v>
      </c>
      <c r="E812">
        <v>80</v>
      </c>
      <c r="F812">
        <v>0.1</v>
      </c>
      <c r="G812" t="s">
        <v>113</v>
      </c>
    </row>
    <row r="813" spans="1:7" x14ac:dyDescent="0.25">
      <c r="A813" s="17">
        <v>43297</v>
      </c>
      <c r="B813" t="s">
        <v>98</v>
      </c>
      <c r="C813" t="s">
        <v>96</v>
      </c>
      <c r="D813">
        <v>18</v>
      </c>
      <c r="E813">
        <v>40</v>
      </c>
      <c r="F813">
        <v>0.06</v>
      </c>
      <c r="G813" t="s">
        <v>102</v>
      </c>
    </row>
    <row r="814" spans="1:7" x14ac:dyDescent="0.25">
      <c r="A814" s="17">
        <v>43298</v>
      </c>
      <c r="B814" t="s">
        <v>111</v>
      </c>
      <c r="C814" t="s">
        <v>106</v>
      </c>
      <c r="D814">
        <v>7</v>
      </c>
      <c r="E814">
        <v>150</v>
      </c>
      <c r="F814">
        <v>0.05</v>
      </c>
      <c r="G814" t="s">
        <v>100</v>
      </c>
    </row>
    <row r="815" spans="1:7" x14ac:dyDescent="0.25">
      <c r="A815" s="17">
        <v>43298</v>
      </c>
      <c r="B815" t="s">
        <v>98</v>
      </c>
      <c r="C815" t="s">
        <v>106</v>
      </c>
      <c r="D815">
        <v>15</v>
      </c>
      <c r="E815">
        <v>40</v>
      </c>
      <c r="F815">
        <v>0.03</v>
      </c>
      <c r="G815" t="s">
        <v>102</v>
      </c>
    </row>
    <row r="816" spans="1:7" x14ac:dyDescent="0.25">
      <c r="A816" s="17">
        <v>43298</v>
      </c>
      <c r="B816" t="s">
        <v>108</v>
      </c>
      <c r="C816" t="s">
        <v>96</v>
      </c>
      <c r="D816">
        <v>7</v>
      </c>
      <c r="E816">
        <v>16</v>
      </c>
      <c r="F816">
        <v>0.02</v>
      </c>
      <c r="G816" t="s">
        <v>103</v>
      </c>
    </row>
    <row r="817" spans="1:7" x14ac:dyDescent="0.25">
      <c r="A817" s="17">
        <v>43298</v>
      </c>
      <c r="B817" t="s">
        <v>108</v>
      </c>
      <c r="C817" t="s">
        <v>106</v>
      </c>
      <c r="D817">
        <v>15</v>
      </c>
      <c r="E817">
        <v>16</v>
      </c>
      <c r="F817">
        <v>0.12</v>
      </c>
      <c r="G817" t="s">
        <v>105</v>
      </c>
    </row>
    <row r="818" spans="1:7" x14ac:dyDescent="0.25">
      <c r="A818" s="17">
        <v>43298</v>
      </c>
      <c r="B818" t="s">
        <v>98</v>
      </c>
      <c r="C818" t="s">
        <v>96</v>
      </c>
      <c r="D818">
        <v>5</v>
      </c>
      <c r="E818">
        <v>40</v>
      </c>
      <c r="F818">
        <v>0.09</v>
      </c>
      <c r="G818" t="s">
        <v>107</v>
      </c>
    </row>
    <row r="819" spans="1:7" x14ac:dyDescent="0.25">
      <c r="A819" s="17">
        <v>43298</v>
      </c>
      <c r="B819" t="s">
        <v>98</v>
      </c>
      <c r="C819" t="s">
        <v>109</v>
      </c>
      <c r="D819">
        <v>20</v>
      </c>
      <c r="E819">
        <v>40</v>
      </c>
      <c r="F819">
        <v>0.03</v>
      </c>
      <c r="G819" t="s">
        <v>110</v>
      </c>
    </row>
    <row r="820" spans="1:7" x14ac:dyDescent="0.25">
      <c r="A820" s="17">
        <v>43298</v>
      </c>
      <c r="B820" t="s">
        <v>101</v>
      </c>
      <c r="C820" t="s">
        <v>106</v>
      </c>
      <c r="D820">
        <v>11</v>
      </c>
      <c r="E820">
        <v>230</v>
      </c>
      <c r="F820">
        <v>0.12</v>
      </c>
      <c r="G820" t="s">
        <v>112</v>
      </c>
    </row>
    <row r="821" spans="1:7" x14ac:dyDescent="0.25">
      <c r="A821" s="17">
        <v>43298</v>
      </c>
      <c r="B821" t="s">
        <v>108</v>
      </c>
      <c r="C821" t="s">
        <v>109</v>
      </c>
      <c r="D821">
        <v>17</v>
      </c>
      <c r="E821">
        <v>16</v>
      </c>
      <c r="F821">
        <v>0.08</v>
      </c>
      <c r="G821" t="s">
        <v>113</v>
      </c>
    </row>
    <row r="822" spans="1:7" x14ac:dyDescent="0.25">
      <c r="A822" s="17">
        <v>43299</v>
      </c>
      <c r="B822" t="s">
        <v>108</v>
      </c>
      <c r="C822" t="s">
        <v>96</v>
      </c>
      <c r="D822">
        <v>18</v>
      </c>
      <c r="E822">
        <v>16</v>
      </c>
      <c r="F822">
        <v>0.11</v>
      </c>
      <c r="G822" t="s">
        <v>114</v>
      </c>
    </row>
    <row r="823" spans="1:7" x14ac:dyDescent="0.25">
      <c r="A823" s="17">
        <v>43299</v>
      </c>
      <c r="B823" t="s">
        <v>101</v>
      </c>
      <c r="C823" t="s">
        <v>106</v>
      </c>
      <c r="D823">
        <v>2</v>
      </c>
      <c r="E823">
        <v>230</v>
      </c>
      <c r="F823">
        <v>0.08</v>
      </c>
      <c r="G823" t="s">
        <v>115</v>
      </c>
    </row>
    <row r="824" spans="1:7" x14ac:dyDescent="0.25">
      <c r="A824" s="17">
        <v>43299</v>
      </c>
      <c r="B824" t="s">
        <v>108</v>
      </c>
      <c r="C824" t="s">
        <v>104</v>
      </c>
      <c r="D824">
        <v>17</v>
      </c>
      <c r="E824">
        <v>16</v>
      </c>
      <c r="F824">
        <v>0.05</v>
      </c>
      <c r="G824" t="s">
        <v>116</v>
      </c>
    </row>
    <row r="825" spans="1:7" x14ac:dyDescent="0.25">
      <c r="A825" s="17">
        <v>43299</v>
      </c>
      <c r="B825" t="s">
        <v>95</v>
      </c>
      <c r="C825" t="s">
        <v>106</v>
      </c>
      <c r="D825">
        <v>16</v>
      </c>
      <c r="E825">
        <v>80</v>
      </c>
      <c r="F825">
        <v>0.05</v>
      </c>
      <c r="G825" t="s">
        <v>97</v>
      </c>
    </row>
    <row r="826" spans="1:7" x14ac:dyDescent="0.25">
      <c r="A826" s="17">
        <v>43299</v>
      </c>
      <c r="B826" t="s">
        <v>101</v>
      </c>
      <c r="C826" t="s">
        <v>99</v>
      </c>
      <c r="D826">
        <v>14</v>
      </c>
      <c r="E826">
        <v>230</v>
      </c>
      <c r="F826">
        <v>0.05</v>
      </c>
      <c r="G826" t="s">
        <v>100</v>
      </c>
    </row>
    <row r="827" spans="1:7" x14ac:dyDescent="0.25">
      <c r="A827" s="17">
        <v>43299</v>
      </c>
      <c r="B827" t="s">
        <v>98</v>
      </c>
      <c r="C827" t="s">
        <v>104</v>
      </c>
      <c r="D827">
        <v>13</v>
      </c>
      <c r="E827">
        <v>40</v>
      </c>
      <c r="F827">
        <v>0.02</v>
      </c>
      <c r="G827" t="s">
        <v>102</v>
      </c>
    </row>
    <row r="828" spans="1:7" x14ac:dyDescent="0.25">
      <c r="A828" s="17">
        <v>43299</v>
      </c>
      <c r="B828" t="s">
        <v>101</v>
      </c>
      <c r="C828" t="s">
        <v>99</v>
      </c>
      <c r="D828">
        <v>7</v>
      </c>
      <c r="E828">
        <v>230</v>
      </c>
      <c r="F828">
        <v>0.08</v>
      </c>
      <c r="G828" t="s">
        <v>103</v>
      </c>
    </row>
    <row r="829" spans="1:7" x14ac:dyDescent="0.25">
      <c r="A829" s="17">
        <v>43299</v>
      </c>
      <c r="B829" t="s">
        <v>98</v>
      </c>
      <c r="C829" t="s">
        <v>106</v>
      </c>
      <c r="D829">
        <v>7</v>
      </c>
      <c r="E829">
        <v>40</v>
      </c>
      <c r="F829">
        <v>0.11</v>
      </c>
      <c r="G829" t="s">
        <v>105</v>
      </c>
    </row>
    <row r="830" spans="1:7" x14ac:dyDescent="0.25">
      <c r="A830" s="17">
        <v>43299</v>
      </c>
      <c r="B830" t="s">
        <v>101</v>
      </c>
      <c r="C830" t="s">
        <v>104</v>
      </c>
      <c r="D830">
        <v>12</v>
      </c>
      <c r="E830">
        <v>230</v>
      </c>
      <c r="F830">
        <v>0.06</v>
      </c>
      <c r="G830" t="s">
        <v>107</v>
      </c>
    </row>
    <row r="831" spans="1:7" x14ac:dyDescent="0.25">
      <c r="A831" s="17">
        <v>43299</v>
      </c>
      <c r="B831" t="s">
        <v>98</v>
      </c>
      <c r="C831" t="s">
        <v>96</v>
      </c>
      <c r="D831">
        <v>19</v>
      </c>
      <c r="E831">
        <v>40</v>
      </c>
      <c r="F831">
        <v>0.04</v>
      </c>
      <c r="G831" t="s">
        <v>100</v>
      </c>
    </row>
    <row r="832" spans="1:7" x14ac:dyDescent="0.25">
      <c r="A832" s="17">
        <v>43300</v>
      </c>
      <c r="B832" t="s">
        <v>101</v>
      </c>
      <c r="C832" t="s">
        <v>104</v>
      </c>
      <c r="D832">
        <v>20</v>
      </c>
      <c r="E832">
        <v>230</v>
      </c>
      <c r="F832">
        <v>0.06</v>
      </c>
      <c r="G832" t="s">
        <v>102</v>
      </c>
    </row>
    <row r="833" spans="1:7" x14ac:dyDescent="0.25">
      <c r="A833" s="17">
        <v>43300</v>
      </c>
      <c r="B833" t="s">
        <v>98</v>
      </c>
      <c r="C833" t="s">
        <v>109</v>
      </c>
      <c r="D833">
        <v>23</v>
      </c>
      <c r="E833">
        <v>40</v>
      </c>
      <c r="F833">
        <v>0.04</v>
      </c>
      <c r="G833" t="s">
        <v>103</v>
      </c>
    </row>
    <row r="834" spans="1:7" x14ac:dyDescent="0.25">
      <c r="A834" s="17">
        <v>43300</v>
      </c>
      <c r="B834" t="s">
        <v>95</v>
      </c>
      <c r="C834" t="s">
        <v>109</v>
      </c>
      <c r="D834">
        <v>16</v>
      </c>
      <c r="E834">
        <v>80</v>
      </c>
      <c r="F834">
        <v>0.05</v>
      </c>
      <c r="G834" t="s">
        <v>105</v>
      </c>
    </row>
    <row r="835" spans="1:7" x14ac:dyDescent="0.25">
      <c r="A835" s="17">
        <v>43300</v>
      </c>
      <c r="B835" t="s">
        <v>111</v>
      </c>
      <c r="C835" t="s">
        <v>99</v>
      </c>
      <c r="D835">
        <v>23</v>
      </c>
      <c r="E835">
        <v>150</v>
      </c>
      <c r="F835">
        <v>0.11</v>
      </c>
      <c r="G835" t="s">
        <v>107</v>
      </c>
    </row>
    <row r="836" spans="1:7" x14ac:dyDescent="0.25">
      <c r="A836" s="17">
        <v>43300</v>
      </c>
      <c r="B836" t="s">
        <v>108</v>
      </c>
      <c r="C836" t="s">
        <v>99</v>
      </c>
      <c r="D836">
        <v>4</v>
      </c>
      <c r="E836">
        <v>16</v>
      </c>
      <c r="F836">
        <v>7.0000000000000007E-2</v>
      </c>
      <c r="G836" t="s">
        <v>110</v>
      </c>
    </row>
    <row r="837" spans="1:7" x14ac:dyDescent="0.25">
      <c r="A837" s="17">
        <v>43300</v>
      </c>
      <c r="B837" t="s">
        <v>101</v>
      </c>
      <c r="C837" t="s">
        <v>96</v>
      </c>
      <c r="D837">
        <v>8</v>
      </c>
      <c r="E837">
        <v>230</v>
      </c>
      <c r="F837">
        <v>0.03</v>
      </c>
      <c r="G837" t="s">
        <v>112</v>
      </c>
    </row>
    <row r="838" spans="1:7" x14ac:dyDescent="0.25">
      <c r="A838" s="17">
        <v>43300</v>
      </c>
      <c r="B838" t="s">
        <v>95</v>
      </c>
      <c r="C838" t="s">
        <v>99</v>
      </c>
      <c r="D838">
        <v>17</v>
      </c>
      <c r="E838">
        <v>80</v>
      </c>
      <c r="F838">
        <v>0.03</v>
      </c>
      <c r="G838" t="s">
        <v>113</v>
      </c>
    </row>
    <row r="839" spans="1:7" x14ac:dyDescent="0.25">
      <c r="A839" s="17">
        <v>43300</v>
      </c>
      <c r="B839" t="s">
        <v>95</v>
      </c>
      <c r="C839" t="s">
        <v>106</v>
      </c>
      <c r="D839">
        <v>10</v>
      </c>
      <c r="E839">
        <v>80</v>
      </c>
      <c r="F839">
        <v>0.1</v>
      </c>
      <c r="G839" t="s">
        <v>114</v>
      </c>
    </row>
    <row r="840" spans="1:7" x14ac:dyDescent="0.25">
      <c r="A840" s="17">
        <v>43300</v>
      </c>
      <c r="B840" t="s">
        <v>108</v>
      </c>
      <c r="C840" t="s">
        <v>96</v>
      </c>
      <c r="D840">
        <v>20</v>
      </c>
      <c r="E840">
        <v>16</v>
      </c>
      <c r="F840">
        <v>0.11</v>
      </c>
      <c r="G840" t="s">
        <v>115</v>
      </c>
    </row>
    <row r="841" spans="1:7" x14ac:dyDescent="0.25">
      <c r="A841" s="17">
        <v>43301</v>
      </c>
      <c r="B841" t="s">
        <v>101</v>
      </c>
      <c r="C841" t="s">
        <v>106</v>
      </c>
      <c r="D841">
        <v>19</v>
      </c>
      <c r="E841">
        <v>230</v>
      </c>
      <c r="F841">
        <v>0.06</v>
      </c>
      <c r="G841" t="s">
        <v>116</v>
      </c>
    </row>
    <row r="842" spans="1:7" x14ac:dyDescent="0.25">
      <c r="A842" s="17">
        <v>43301</v>
      </c>
      <c r="B842" t="s">
        <v>98</v>
      </c>
      <c r="C842" t="s">
        <v>104</v>
      </c>
      <c r="D842">
        <v>18</v>
      </c>
      <c r="E842">
        <v>40</v>
      </c>
      <c r="F842">
        <v>0.03</v>
      </c>
      <c r="G842" t="s">
        <v>97</v>
      </c>
    </row>
    <row r="843" spans="1:7" x14ac:dyDescent="0.25">
      <c r="A843" s="17">
        <v>43301</v>
      </c>
      <c r="B843" t="s">
        <v>95</v>
      </c>
      <c r="C843" t="s">
        <v>99</v>
      </c>
      <c r="D843">
        <v>16</v>
      </c>
      <c r="E843">
        <v>80</v>
      </c>
      <c r="F843">
        <v>0.04</v>
      </c>
      <c r="G843" t="s">
        <v>100</v>
      </c>
    </row>
    <row r="844" spans="1:7" x14ac:dyDescent="0.25">
      <c r="A844" s="17">
        <v>43301</v>
      </c>
      <c r="B844" t="s">
        <v>95</v>
      </c>
      <c r="C844" t="s">
        <v>106</v>
      </c>
      <c r="D844">
        <v>8</v>
      </c>
      <c r="E844">
        <v>80</v>
      </c>
      <c r="F844">
        <v>0.06</v>
      </c>
      <c r="G844" t="s">
        <v>102</v>
      </c>
    </row>
    <row r="845" spans="1:7" x14ac:dyDescent="0.25">
      <c r="A845" s="17">
        <v>43301</v>
      </c>
      <c r="B845" t="s">
        <v>111</v>
      </c>
      <c r="C845" t="s">
        <v>106</v>
      </c>
      <c r="D845">
        <v>4</v>
      </c>
      <c r="E845">
        <v>150</v>
      </c>
      <c r="F845">
        <v>0.12</v>
      </c>
      <c r="G845" t="s">
        <v>103</v>
      </c>
    </row>
    <row r="846" spans="1:7" x14ac:dyDescent="0.25">
      <c r="A846" s="17">
        <v>43301</v>
      </c>
      <c r="B846" t="s">
        <v>101</v>
      </c>
      <c r="C846" t="s">
        <v>104</v>
      </c>
      <c r="D846">
        <v>15</v>
      </c>
      <c r="E846">
        <v>230</v>
      </c>
      <c r="F846">
        <v>0.04</v>
      </c>
      <c r="G846" t="s">
        <v>105</v>
      </c>
    </row>
    <row r="847" spans="1:7" x14ac:dyDescent="0.25">
      <c r="A847" s="17">
        <v>43302</v>
      </c>
      <c r="B847" t="s">
        <v>108</v>
      </c>
      <c r="C847" t="s">
        <v>99</v>
      </c>
      <c r="D847">
        <v>7</v>
      </c>
      <c r="E847">
        <v>16</v>
      </c>
      <c r="F847">
        <v>0.08</v>
      </c>
      <c r="G847" t="s">
        <v>107</v>
      </c>
    </row>
    <row r="848" spans="1:7" x14ac:dyDescent="0.25">
      <c r="A848" s="17">
        <v>43302</v>
      </c>
      <c r="B848" t="s">
        <v>98</v>
      </c>
      <c r="C848" t="s">
        <v>96</v>
      </c>
      <c r="D848">
        <v>18</v>
      </c>
      <c r="E848">
        <v>40</v>
      </c>
      <c r="F848">
        <v>0.11</v>
      </c>
      <c r="G848" t="s">
        <v>100</v>
      </c>
    </row>
    <row r="849" spans="1:7" x14ac:dyDescent="0.25">
      <c r="A849" s="17">
        <v>43302</v>
      </c>
      <c r="B849" t="s">
        <v>98</v>
      </c>
      <c r="C849" t="s">
        <v>104</v>
      </c>
      <c r="D849">
        <v>4</v>
      </c>
      <c r="E849">
        <v>40</v>
      </c>
      <c r="F849">
        <v>0.06</v>
      </c>
      <c r="G849" t="s">
        <v>102</v>
      </c>
    </row>
    <row r="850" spans="1:7" x14ac:dyDescent="0.25">
      <c r="A850" s="17">
        <v>43302</v>
      </c>
      <c r="B850" t="s">
        <v>98</v>
      </c>
      <c r="C850" t="s">
        <v>109</v>
      </c>
      <c r="D850">
        <v>16</v>
      </c>
      <c r="E850">
        <v>40</v>
      </c>
      <c r="F850">
        <v>0.09</v>
      </c>
      <c r="G850" t="s">
        <v>103</v>
      </c>
    </row>
    <row r="851" spans="1:7" x14ac:dyDescent="0.25">
      <c r="A851" s="17">
        <v>43302</v>
      </c>
      <c r="B851" t="s">
        <v>98</v>
      </c>
      <c r="C851" t="s">
        <v>99</v>
      </c>
      <c r="D851">
        <v>18</v>
      </c>
      <c r="E851">
        <v>40</v>
      </c>
      <c r="F851">
        <v>0.08</v>
      </c>
      <c r="G851" t="s">
        <v>105</v>
      </c>
    </row>
    <row r="852" spans="1:7" x14ac:dyDescent="0.25">
      <c r="A852" s="17">
        <v>43302</v>
      </c>
      <c r="B852" t="s">
        <v>98</v>
      </c>
      <c r="C852" t="s">
        <v>96</v>
      </c>
      <c r="D852">
        <v>9</v>
      </c>
      <c r="E852">
        <v>40</v>
      </c>
      <c r="F852">
        <v>0.01</v>
      </c>
      <c r="G852" t="s">
        <v>107</v>
      </c>
    </row>
    <row r="853" spans="1:7" x14ac:dyDescent="0.25">
      <c r="A853" s="17">
        <v>43302</v>
      </c>
      <c r="B853" t="s">
        <v>101</v>
      </c>
      <c r="C853" t="s">
        <v>106</v>
      </c>
      <c r="D853">
        <v>16</v>
      </c>
      <c r="E853">
        <v>230</v>
      </c>
      <c r="F853">
        <v>0.11</v>
      </c>
      <c r="G853" t="s">
        <v>110</v>
      </c>
    </row>
    <row r="854" spans="1:7" x14ac:dyDescent="0.25">
      <c r="A854" s="17">
        <v>43302</v>
      </c>
      <c r="B854" t="s">
        <v>108</v>
      </c>
      <c r="C854" t="s">
        <v>104</v>
      </c>
      <c r="D854">
        <v>12</v>
      </c>
      <c r="E854">
        <v>16</v>
      </c>
      <c r="F854">
        <v>0.11</v>
      </c>
      <c r="G854" t="s">
        <v>112</v>
      </c>
    </row>
    <row r="855" spans="1:7" x14ac:dyDescent="0.25">
      <c r="A855" s="17">
        <v>43302</v>
      </c>
      <c r="B855" t="s">
        <v>95</v>
      </c>
      <c r="C855" t="s">
        <v>99</v>
      </c>
      <c r="D855">
        <v>2</v>
      </c>
      <c r="E855">
        <v>80</v>
      </c>
      <c r="F855">
        <v>7.0000000000000007E-2</v>
      </c>
      <c r="G855" t="s">
        <v>113</v>
      </c>
    </row>
    <row r="856" spans="1:7" x14ac:dyDescent="0.25">
      <c r="A856" s="17">
        <v>43302</v>
      </c>
      <c r="B856" t="s">
        <v>98</v>
      </c>
      <c r="C856" t="s">
        <v>96</v>
      </c>
      <c r="D856">
        <v>2</v>
      </c>
      <c r="E856">
        <v>40</v>
      </c>
      <c r="F856">
        <v>0.12</v>
      </c>
      <c r="G856" t="s">
        <v>114</v>
      </c>
    </row>
    <row r="857" spans="1:7" x14ac:dyDescent="0.25">
      <c r="A857" s="17">
        <v>43303</v>
      </c>
      <c r="B857" t="s">
        <v>111</v>
      </c>
      <c r="C857" t="s">
        <v>96</v>
      </c>
      <c r="D857">
        <v>13</v>
      </c>
      <c r="E857">
        <v>150</v>
      </c>
      <c r="F857">
        <v>0.05</v>
      </c>
      <c r="G857" t="s">
        <v>115</v>
      </c>
    </row>
    <row r="858" spans="1:7" x14ac:dyDescent="0.25">
      <c r="A858" s="17">
        <v>43303</v>
      </c>
      <c r="B858" t="s">
        <v>95</v>
      </c>
      <c r="C858" t="s">
        <v>96</v>
      </c>
      <c r="D858">
        <v>14</v>
      </c>
      <c r="E858">
        <v>80</v>
      </c>
      <c r="F858">
        <v>0.08</v>
      </c>
      <c r="G858" t="s">
        <v>116</v>
      </c>
    </row>
    <row r="859" spans="1:7" x14ac:dyDescent="0.25">
      <c r="A859" s="17">
        <v>43303</v>
      </c>
      <c r="B859" t="s">
        <v>111</v>
      </c>
      <c r="C859" t="s">
        <v>106</v>
      </c>
      <c r="D859">
        <v>6</v>
      </c>
      <c r="E859">
        <v>150</v>
      </c>
      <c r="F859">
        <v>0.03</v>
      </c>
      <c r="G859" t="s">
        <v>97</v>
      </c>
    </row>
    <row r="860" spans="1:7" x14ac:dyDescent="0.25">
      <c r="A860" s="17">
        <v>43303</v>
      </c>
      <c r="B860" t="s">
        <v>95</v>
      </c>
      <c r="C860" t="s">
        <v>106</v>
      </c>
      <c r="D860">
        <v>23</v>
      </c>
      <c r="E860">
        <v>80</v>
      </c>
      <c r="F860">
        <v>0.11</v>
      </c>
      <c r="G860" t="s">
        <v>100</v>
      </c>
    </row>
    <row r="861" spans="1:7" x14ac:dyDescent="0.25">
      <c r="A861" s="17">
        <v>43303</v>
      </c>
      <c r="B861" t="s">
        <v>95</v>
      </c>
      <c r="C861" t="s">
        <v>106</v>
      </c>
      <c r="D861">
        <v>21</v>
      </c>
      <c r="E861">
        <v>80</v>
      </c>
      <c r="F861">
        <v>0.05</v>
      </c>
      <c r="G861" t="s">
        <v>102</v>
      </c>
    </row>
    <row r="862" spans="1:7" x14ac:dyDescent="0.25">
      <c r="A862" s="17">
        <v>43303</v>
      </c>
      <c r="B862" t="s">
        <v>108</v>
      </c>
      <c r="C862" t="s">
        <v>104</v>
      </c>
      <c r="D862">
        <v>3</v>
      </c>
      <c r="E862">
        <v>16</v>
      </c>
      <c r="F862">
        <v>0.05</v>
      </c>
      <c r="G862" t="s">
        <v>103</v>
      </c>
    </row>
    <row r="863" spans="1:7" x14ac:dyDescent="0.25">
      <c r="A863" s="17">
        <v>43303</v>
      </c>
      <c r="B863" t="s">
        <v>108</v>
      </c>
      <c r="C863" t="s">
        <v>99</v>
      </c>
      <c r="D863">
        <v>21</v>
      </c>
      <c r="E863">
        <v>16</v>
      </c>
      <c r="F863">
        <v>0.02</v>
      </c>
      <c r="G863" t="s">
        <v>105</v>
      </c>
    </row>
    <row r="864" spans="1:7" x14ac:dyDescent="0.25">
      <c r="A864" s="17">
        <v>43303</v>
      </c>
      <c r="B864" t="s">
        <v>95</v>
      </c>
      <c r="C864" t="s">
        <v>106</v>
      </c>
      <c r="D864">
        <v>4</v>
      </c>
      <c r="E864">
        <v>80</v>
      </c>
      <c r="F864">
        <v>0.11</v>
      </c>
      <c r="G864" t="s">
        <v>107</v>
      </c>
    </row>
    <row r="865" spans="1:7" x14ac:dyDescent="0.25">
      <c r="A865" s="17">
        <v>43303</v>
      </c>
      <c r="B865" t="s">
        <v>111</v>
      </c>
      <c r="C865" t="s">
        <v>109</v>
      </c>
      <c r="D865">
        <v>23</v>
      </c>
      <c r="E865">
        <v>150</v>
      </c>
      <c r="F865">
        <v>0.08</v>
      </c>
      <c r="G865" t="s">
        <v>100</v>
      </c>
    </row>
    <row r="866" spans="1:7" x14ac:dyDescent="0.25">
      <c r="A866" s="17">
        <v>43303</v>
      </c>
      <c r="B866" t="s">
        <v>108</v>
      </c>
      <c r="C866" t="s">
        <v>109</v>
      </c>
      <c r="D866">
        <v>23</v>
      </c>
      <c r="E866">
        <v>16</v>
      </c>
      <c r="F866">
        <v>0.01</v>
      </c>
      <c r="G866" t="s">
        <v>102</v>
      </c>
    </row>
    <row r="867" spans="1:7" x14ac:dyDescent="0.25">
      <c r="A867" s="17">
        <v>43303</v>
      </c>
      <c r="B867" t="s">
        <v>98</v>
      </c>
      <c r="C867" t="s">
        <v>106</v>
      </c>
      <c r="D867">
        <v>22</v>
      </c>
      <c r="E867">
        <v>40</v>
      </c>
      <c r="F867">
        <v>0.01</v>
      </c>
      <c r="G867" t="s">
        <v>103</v>
      </c>
    </row>
    <row r="868" spans="1:7" x14ac:dyDescent="0.25">
      <c r="A868" s="17">
        <v>43304</v>
      </c>
      <c r="B868" t="s">
        <v>111</v>
      </c>
      <c r="C868" t="s">
        <v>96</v>
      </c>
      <c r="D868">
        <v>8</v>
      </c>
      <c r="E868">
        <v>150</v>
      </c>
      <c r="F868">
        <v>0.09</v>
      </c>
      <c r="G868" t="s">
        <v>105</v>
      </c>
    </row>
    <row r="869" spans="1:7" x14ac:dyDescent="0.25">
      <c r="A869" s="17">
        <v>43304</v>
      </c>
      <c r="B869" t="s">
        <v>111</v>
      </c>
      <c r="C869" t="s">
        <v>96</v>
      </c>
      <c r="D869">
        <v>20</v>
      </c>
      <c r="E869">
        <v>150</v>
      </c>
      <c r="F869">
        <v>0.01</v>
      </c>
      <c r="G869" t="s">
        <v>107</v>
      </c>
    </row>
    <row r="870" spans="1:7" x14ac:dyDescent="0.25">
      <c r="A870" s="17">
        <v>43304</v>
      </c>
      <c r="B870" t="s">
        <v>101</v>
      </c>
      <c r="C870" t="s">
        <v>99</v>
      </c>
      <c r="D870">
        <v>22</v>
      </c>
      <c r="E870">
        <v>230</v>
      </c>
      <c r="F870">
        <v>0.11</v>
      </c>
      <c r="G870" t="s">
        <v>110</v>
      </c>
    </row>
    <row r="871" spans="1:7" x14ac:dyDescent="0.25">
      <c r="A871" s="17">
        <v>43304</v>
      </c>
      <c r="B871" t="s">
        <v>108</v>
      </c>
      <c r="C871" t="s">
        <v>104</v>
      </c>
      <c r="D871">
        <v>23</v>
      </c>
      <c r="E871">
        <v>16</v>
      </c>
      <c r="F871">
        <v>0.11</v>
      </c>
      <c r="G871" t="s">
        <v>112</v>
      </c>
    </row>
    <row r="872" spans="1:7" x14ac:dyDescent="0.25">
      <c r="A872" s="17">
        <v>43304</v>
      </c>
      <c r="B872" t="s">
        <v>95</v>
      </c>
      <c r="C872" t="s">
        <v>96</v>
      </c>
      <c r="D872">
        <v>6</v>
      </c>
      <c r="E872">
        <v>80</v>
      </c>
      <c r="F872">
        <v>0.01</v>
      </c>
      <c r="G872" t="s">
        <v>113</v>
      </c>
    </row>
    <row r="873" spans="1:7" x14ac:dyDescent="0.25">
      <c r="A873" s="17">
        <v>43304</v>
      </c>
      <c r="B873" t="s">
        <v>108</v>
      </c>
      <c r="C873" t="s">
        <v>96</v>
      </c>
      <c r="D873">
        <v>7</v>
      </c>
      <c r="E873">
        <v>16</v>
      </c>
      <c r="F873">
        <v>0.12</v>
      </c>
      <c r="G873" t="s">
        <v>114</v>
      </c>
    </row>
    <row r="874" spans="1:7" x14ac:dyDescent="0.25">
      <c r="A874" s="17">
        <v>43304</v>
      </c>
      <c r="B874" t="s">
        <v>95</v>
      </c>
      <c r="C874" t="s">
        <v>99</v>
      </c>
      <c r="D874">
        <v>10</v>
      </c>
      <c r="E874">
        <v>80</v>
      </c>
      <c r="F874">
        <v>0.11</v>
      </c>
      <c r="G874" t="s">
        <v>115</v>
      </c>
    </row>
    <row r="875" spans="1:7" x14ac:dyDescent="0.25">
      <c r="A875" s="17">
        <v>43304</v>
      </c>
      <c r="B875" t="s">
        <v>101</v>
      </c>
      <c r="C875" t="s">
        <v>96</v>
      </c>
      <c r="D875">
        <v>9</v>
      </c>
      <c r="E875">
        <v>230</v>
      </c>
      <c r="F875">
        <v>7.0000000000000007E-2</v>
      </c>
      <c r="G875" t="s">
        <v>116</v>
      </c>
    </row>
    <row r="876" spans="1:7" x14ac:dyDescent="0.25">
      <c r="A876" s="17">
        <v>43305</v>
      </c>
      <c r="B876" t="s">
        <v>98</v>
      </c>
      <c r="C876" t="s">
        <v>99</v>
      </c>
      <c r="D876">
        <v>12</v>
      </c>
      <c r="E876">
        <v>40</v>
      </c>
      <c r="F876">
        <v>0.1</v>
      </c>
      <c r="G876" t="s">
        <v>97</v>
      </c>
    </row>
    <row r="877" spans="1:7" x14ac:dyDescent="0.25">
      <c r="A877" s="17">
        <v>43305</v>
      </c>
      <c r="B877" t="s">
        <v>108</v>
      </c>
      <c r="C877" t="s">
        <v>109</v>
      </c>
      <c r="D877">
        <v>17</v>
      </c>
      <c r="E877">
        <v>16</v>
      </c>
      <c r="F877">
        <v>0.1</v>
      </c>
      <c r="G877" t="s">
        <v>100</v>
      </c>
    </row>
    <row r="878" spans="1:7" x14ac:dyDescent="0.25">
      <c r="A878" s="17">
        <v>43305</v>
      </c>
      <c r="B878" t="s">
        <v>111</v>
      </c>
      <c r="C878" t="s">
        <v>104</v>
      </c>
      <c r="D878">
        <v>22</v>
      </c>
      <c r="E878">
        <v>150</v>
      </c>
      <c r="F878">
        <v>0.04</v>
      </c>
      <c r="G878" t="s">
        <v>102</v>
      </c>
    </row>
    <row r="879" spans="1:7" x14ac:dyDescent="0.25">
      <c r="A879" s="17">
        <v>43305</v>
      </c>
      <c r="B879" t="s">
        <v>111</v>
      </c>
      <c r="C879" t="s">
        <v>104</v>
      </c>
      <c r="D879">
        <v>11</v>
      </c>
      <c r="E879">
        <v>150</v>
      </c>
      <c r="F879">
        <v>0.05</v>
      </c>
      <c r="G879" t="s">
        <v>103</v>
      </c>
    </row>
    <row r="880" spans="1:7" x14ac:dyDescent="0.25">
      <c r="A880" s="17">
        <v>43305</v>
      </c>
      <c r="B880" t="s">
        <v>95</v>
      </c>
      <c r="C880" t="s">
        <v>109</v>
      </c>
      <c r="D880">
        <v>9</v>
      </c>
      <c r="E880">
        <v>80</v>
      </c>
      <c r="F880">
        <v>0.02</v>
      </c>
      <c r="G880" t="s">
        <v>105</v>
      </c>
    </row>
    <row r="881" spans="1:7" x14ac:dyDescent="0.25">
      <c r="A881" s="17">
        <v>43305</v>
      </c>
      <c r="B881" t="s">
        <v>95</v>
      </c>
      <c r="C881" t="s">
        <v>109</v>
      </c>
      <c r="D881">
        <v>13</v>
      </c>
      <c r="E881">
        <v>80</v>
      </c>
      <c r="F881">
        <v>0.05</v>
      </c>
      <c r="G881" t="s">
        <v>107</v>
      </c>
    </row>
    <row r="882" spans="1:7" x14ac:dyDescent="0.25">
      <c r="A882" s="17">
        <v>43305</v>
      </c>
      <c r="B882" t="s">
        <v>98</v>
      </c>
      <c r="C882" t="s">
        <v>109</v>
      </c>
      <c r="D882">
        <v>20</v>
      </c>
      <c r="E882">
        <v>40</v>
      </c>
      <c r="F882">
        <v>0.1</v>
      </c>
      <c r="G882" t="s">
        <v>100</v>
      </c>
    </row>
    <row r="883" spans="1:7" x14ac:dyDescent="0.25">
      <c r="A883" s="17">
        <v>43305</v>
      </c>
      <c r="B883" t="s">
        <v>98</v>
      </c>
      <c r="C883" t="s">
        <v>99</v>
      </c>
      <c r="D883">
        <v>15</v>
      </c>
      <c r="E883">
        <v>40</v>
      </c>
      <c r="F883">
        <v>0.02</v>
      </c>
      <c r="G883" t="s">
        <v>102</v>
      </c>
    </row>
    <row r="884" spans="1:7" x14ac:dyDescent="0.25">
      <c r="A884" s="17">
        <v>43306</v>
      </c>
      <c r="B884" t="s">
        <v>111</v>
      </c>
      <c r="C884" t="s">
        <v>109</v>
      </c>
      <c r="D884">
        <v>15</v>
      </c>
      <c r="E884">
        <v>150</v>
      </c>
      <c r="F884">
        <v>7.0000000000000007E-2</v>
      </c>
      <c r="G884" t="s">
        <v>103</v>
      </c>
    </row>
    <row r="885" spans="1:7" x14ac:dyDescent="0.25">
      <c r="A885" s="17">
        <v>43306</v>
      </c>
      <c r="B885" t="s">
        <v>95</v>
      </c>
      <c r="C885" t="s">
        <v>109</v>
      </c>
      <c r="D885">
        <v>16</v>
      </c>
      <c r="E885">
        <v>80</v>
      </c>
      <c r="F885">
        <v>0.09</v>
      </c>
      <c r="G885" t="s">
        <v>105</v>
      </c>
    </row>
    <row r="886" spans="1:7" x14ac:dyDescent="0.25">
      <c r="A886" s="17">
        <v>43306</v>
      </c>
      <c r="B886" t="s">
        <v>101</v>
      </c>
      <c r="C886" t="s">
        <v>96</v>
      </c>
      <c r="D886">
        <v>16</v>
      </c>
      <c r="E886">
        <v>230</v>
      </c>
      <c r="F886">
        <v>7.0000000000000007E-2</v>
      </c>
      <c r="G886" t="s">
        <v>107</v>
      </c>
    </row>
    <row r="887" spans="1:7" x14ac:dyDescent="0.25">
      <c r="A887" s="17">
        <v>43306</v>
      </c>
      <c r="B887" t="s">
        <v>95</v>
      </c>
      <c r="C887" t="s">
        <v>99</v>
      </c>
      <c r="D887">
        <v>14</v>
      </c>
      <c r="E887">
        <v>80</v>
      </c>
      <c r="F887">
        <v>0.11</v>
      </c>
      <c r="G887" t="s">
        <v>110</v>
      </c>
    </row>
    <row r="888" spans="1:7" x14ac:dyDescent="0.25">
      <c r="A888" s="17">
        <v>43306</v>
      </c>
      <c r="B888" t="s">
        <v>95</v>
      </c>
      <c r="C888" t="s">
        <v>109</v>
      </c>
      <c r="D888">
        <v>17</v>
      </c>
      <c r="E888">
        <v>80</v>
      </c>
      <c r="F888">
        <v>7.0000000000000007E-2</v>
      </c>
      <c r="G888" t="s">
        <v>112</v>
      </c>
    </row>
    <row r="889" spans="1:7" x14ac:dyDescent="0.25">
      <c r="A889" s="17">
        <v>43306</v>
      </c>
      <c r="B889" t="s">
        <v>95</v>
      </c>
      <c r="C889" t="s">
        <v>104</v>
      </c>
      <c r="D889">
        <v>16</v>
      </c>
      <c r="E889">
        <v>80</v>
      </c>
      <c r="F889">
        <v>0.02</v>
      </c>
      <c r="G889" t="s">
        <v>113</v>
      </c>
    </row>
    <row r="890" spans="1:7" x14ac:dyDescent="0.25">
      <c r="A890" s="17">
        <v>43306</v>
      </c>
      <c r="B890" t="s">
        <v>108</v>
      </c>
      <c r="C890" t="s">
        <v>96</v>
      </c>
      <c r="D890">
        <v>21</v>
      </c>
      <c r="E890">
        <v>16</v>
      </c>
      <c r="F890">
        <v>0.09</v>
      </c>
      <c r="G890" t="s">
        <v>114</v>
      </c>
    </row>
    <row r="891" spans="1:7" x14ac:dyDescent="0.25">
      <c r="A891" s="17">
        <v>43306</v>
      </c>
      <c r="B891" t="s">
        <v>111</v>
      </c>
      <c r="C891" t="s">
        <v>96</v>
      </c>
      <c r="D891">
        <v>9</v>
      </c>
      <c r="E891">
        <v>150</v>
      </c>
      <c r="F891">
        <v>0.1</v>
      </c>
      <c r="G891" t="s">
        <v>115</v>
      </c>
    </row>
    <row r="892" spans="1:7" x14ac:dyDescent="0.25">
      <c r="A892" s="17">
        <v>43306</v>
      </c>
      <c r="B892" t="s">
        <v>111</v>
      </c>
      <c r="C892" t="s">
        <v>106</v>
      </c>
      <c r="D892">
        <v>3</v>
      </c>
      <c r="E892">
        <v>150</v>
      </c>
      <c r="F892">
        <v>0.01</v>
      </c>
      <c r="G892" t="s">
        <v>116</v>
      </c>
    </row>
    <row r="893" spans="1:7" x14ac:dyDescent="0.25">
      <c r="A893" s="17">
        <v>43307</v>
      </c>
      <c r="B893" t="s">
        <v>95</v>
      </c>
      <c r="C893" t="s">
        <v>99</v>
      </c>
      <c r="D893">
        <v>14</v>
      </c>
      <c r="E893">
        <v>80</v>
      </c>
      <c r="F893">
        <v>0.06</v>
      </c>
      <c r="G893" t="s">
        <v>97</v>
      </c>
    </row>
    <row r="894" spans="1:7" x14ac:dyDescent="0.25">
      <c r="A894" s="17">
        <v>43307</v>
      </c>
      <c r="B894" t="s">
        <v>111</v>
      </c>
      <c r="C894" t="s">
        <v>109</v>
      </c>
      <c r="D894">
        <v>4</v>
      </c>
      <c r="E894">
        <v>150</v>
      </c>
      <c r="F894">
        <v>0.05</v>
      </c>
      <c r="G894" t="s">
        <v>100</v>
      </c>
    </row>
    <row r="895" spans="1:7" x14ac:dyDescent="0.25">
      <c r="A895" s="17">
        <v>43307</v>
      </c>
      <c r="B895" t="s">
        <v>108</v>
      </c>
      <c r="C895" t="s">
        <v>99</v>
      </c>
      <c r="D895">
        <v>20</v>
      </c>
      <c r="E895">
        <v>16</v>
      </c>
      <c r="F895">
        <v>0.06</v>
      </c>
      <c r="G895" t="s">
        <v>102</v>
      </c>
    </row>
    <row r="896" spans="1:7" x14ac:dyDescent="0.25">
      <c r="A896" s="17">
        <v>43307</v>
      </c>
      <c r="B896" t="s">
        <v>101</v>
      </c>
      <c r="C896" t="s">
        <v>104</v>
      </c>
      <c r="D896">
        <v>7</v>
      </c>
      <c r="E896">
        <v>230</v>
      </c>
      <c r="F896">
        <v>0.01</v>
      </c>
      <c r="G896" t="s">
        <v>103</v>
      </c>
    </row>
    <row r="897" spans="1:7" x14ac:dyDescent="0.25">
      <c r="A897" s="17">
        <v>43307</v>
      </c>
      <c r="B897" t="s">
        <v>95</v>
      </c>
      <c r="C897" t="s">
        <v>99</v>
      </c>
      <c r="D897">
        <v>9</v>
      </c>
      <c r="E897">
        <v>80</v>
      </c>
      <c r="F897">
        <v>0.03</v>
      </c>
      <c r="G897" t="s">
        <v>105</v>
      </c>
    </row>
    <row r="898" spans="1:7" x14ac:dyDescent="0.25">
      <c r="A898" s="17">
        <v>43307</v>
      </c>
      <c r="B898" t="s">
        <v>98</v>
      </c>
      <c r="C898" t="s">
        <v>106</v>
      </c>
      <c r="D898">
        <v>4</v>
      </c>
      <c r="E898">
        <v>40</v>
      </c>
      <c r="F898">
        <v>0.05</v>
      </c>
      <c r="G898" t="s">
        <v>107</v>
      </c>
    </row>
    <row r="899" spans="1:7" x14ac:dyDescent="0.25">
      <c r="A899" s="17">
        <v>43307</v>
      </c>
      <c r="B899" t="s">
        <v>95</v>
      </c>
      <c r="C899" t="s">
        <v>96</v>
      </c>
      <c r="D899">
        <v>6</v>
      </c>
      <c r="E899">
        <v>80</v>
      </c>
      <c r="F899">
        <v>7.0000000000000007E-2</v>
      </c>
      <c r="G899" t="s">
        <v>100</v>
      </c>
    </row>
    <row r="900" spans="1:7" x14ac:dyDescent="0.25">
      <c r="A900" s="17">
        <v>43307</v>
      </c>
      <c r="B900" t="s">
        <v>108</v>
      </c>
      <c r="C900" t="s">
        <v>104</v>
      </c>
      <c r="D900">
        <v>8</v>
      </c>
      <c r="E900">
        <v>16</v>
      </c>
      <c r="F900">
        <v>0.03</v>
      </c>
      <c r="G900" t="s">
        <v>102</v>
      </c>
    </row>
    <row r="901" spans="1:7" x14ac:dyDescent="0.25">
      <c r="A901" s="17">
        <v>43307</v>
      </c>
      <c r="B901" t="s">
        <v>108</v>
      </c>
      <c r="C901" t="s">
        <v>96</v>
      </c>
      <c r="D901">
        <v>10</v>
      </c>
      <c r="E901">
        <v>16</v>
      </c>
      <c r="F901">
        <v>0.08</v>
      </c>
      <c r="G901" t="s">
        <v>103</v>
      </c>
    </row>
    <row r="902" spans="1:7" x14ac:dyDescent="0.25">
      <c r="A902" s="17">
        <v>43307</v>
      </c>
      <c r="B902" t="s">
        <v>108</v>
      </c>
      <c r="C902" t="s">
        <v>106</v>
      </c>
      <c r="D902">
        <v>22</v>
      </c>
      <c r="E902">
        <v>16</v>
      </c>
      <c r="F902">
        <v>0.03</v>
      </c>
      <c r="G902" t="s">
        <v>105</v>
      </c>
    </row>
    <row r="903" spans="1:7" x14ac:dyDescent="0.25">
      <c r="A903" s="17">
        <v>43307</v>
      </c>
      <c r="B903" t="s">
        <v>95</v>
      </c>
      <c r="C903" t="s">
        <v>106</v>
      </c>
      <c r="D903">
        <v>11</v>
      </c>
      <c r="E903">
        <v>80</v>
      </c>
      <c r="F903">
        <v>0.01</v>
      </c>
      <c r="G903" t="s">
        <v>107</v>
      </c>
    </row>
    <row r="904" spans="1:7" x14ac:dyDescent="0.25">
      <c r="A904" s="17">
        <v>43307</v>
      </c>
      <c r="B904" t="s">
        <v>108</v>
      </c>
      <c r="C904" t="s">
        <v>106</v>
      </c>
      <c r="D904">
        <v>7</v>
      </c>
      <c r="E904">
        <v>16</v>
      </c>
      <c r="F904">
        <v>0.08</v>
      </c>
      <c r="G904" t="s">
        <v>110</v>
      </c>
    </row>
    <row r="905" spans="1:7" x14ac:dyDescent="0.25">
      <c r="A905" s="17">
        <v>43308</v>
      </c>
      <c r="B905" t="s">
        <v>108</v>
      </c>
      <c r="C905" t="s">
        <v>104</v>
      </c>
      <c r="D905">
        <v>11</v>
      </c>
      <c r="E905">
        <v>16</v>
      </c>
      <c r="F905">
        <v>0.12</v>
      </c>
      <c r="G905" t="s">
        <v>112</v>
      </c>
    </row>
    <row r="906" spans="1:7" x14ac:dyDescent="0.25">
      <c r="A906" s="17">
        <v>43308</v>
      </c>
      <c r="B906" t="s">
        <v>98</v>
      </c>
      <c r="C906" t="s">
        <v>109</v>
      </c>
      <c r="D906">
        <v>7</v>
      </c>
      <c r="E906">
        <v>40</v>
      </c>
      <c r="F906">
        <v>0.05</v>
      </c>
      <c r="G906" t="s">
        <v>113</v>
      </c>
    </row>
    <row r="907" spans="1:7" x14ac:dyDescent="0.25">
      <c r="A907" s="17">
        <v>43308</v>
      </c>
      <c r="B907" t="s">
        <v>111</v>
      </c>
      <c r="C907" t="s">
        <v>104</v>
      </c>
      <c r="D907">
        <v>9</v>
      </c>
      <c r="E907">
        <v>150</v>
      </c>
      <c r="F907">
        <v>0.06</v>
      </c>
      <c r="G907" t="s">
        <v>114</v>
      </c>
    </row>
    <row r="908" spans="1:7" x14ac:dyDescent="0.25">
      <c r="A908" s="17">
        <v>43308</v>
      </c>
      <c r="B908" t="s">
        <v>101</v>
      </c>
      <c r="C908" t="s">
        <v>96</v>
      </c>
      <c r="D908">
        <v>20</v>
      </c>
      <c r="E908">
        <v>230</v>
      </c>
      <c r="F908">
        <v>0.04</v>
      </c>
      <c r="G908" t="s">
        <v>115</v>
      </c>
    </row>
    <row r="909" spans="1:7" x14ac:dyDescent="0.25">
      <c r="A909" s="17">
        <v>43308</v>
      </c>
      <c r="B909" t="s">
        <v>111</v>
      </c>
      <c r="C909" t="s">
        <v>104</v>
      </c>
      <c r="D909">
        <v>9</v>
      </c>
      <c r="E909">
        <v>150</v>
      </c>
      <c r="F909">
        <v>0.02</v>
      </c>
      <c r="G909" t="s">
        <v>116</v>
      </c>
    </row>
    <row r="910" spans="1:7" x14ac:dyDescent="0.25">
      <c r="A910" s="17">
        <v>43308</v>
      </c>
      <c r="B910" t="s">
        <v>95</v>
      </c>
      <c r="C910" t="s">
        <v>99</v>
      </c>
      <c r="D910">
        <v>5</v>
      </c>
      <c r="E910">
        <v>80</v>
      </c>
      <c r="F910">
        <v>7.0000000000000007E-2</v>
      </c>
      <c r="G910" t="s">
        <v>97</v>
      </c>
    </row>
    <row r="911" spans="1:7" x14ac:dyDescent="0.25">
      <c r="A911" s="17">
        <v>43308</v>
      </c>
      <c r="B911" t="s">
        <v>111</v>
      </c>
      <c r="C911" t="s">
        <v>104</v>
      </c>
      <c r="D911">
        <v>20</v>
      </c>
      <c r="E911">
        <v>150</v>
      </c>
      <c r="F911">
        <v>0.04</v>
      </c>
      <c r="G911" t="s">
        <v>100</v>
      </c>
    </row>
    <row r="912" spans="1:7" x14ac:dyDescent="0.25">
      <c r="A912" s="17">
        <v>43308</v>
      </c>
      <c r="B912" t="s">
        <v>111</v>
      </c>
      <c r="C912" t="s">
        <v>106</v>
      </c>
      <c r="D912">
        <v>15</v>
      </c>
      <c r="E912">
        <v>150</v>
      </c>
      <c r="F912">
        <v>0.05</v>
      </c>
      <c r="G912" t="s">
        <v>102</v>
      </c>
    </row>
    <row r="913" spans="1:7" x14ac:dyDescent="0.25">
      <c r="A913" s="17">
        <v>43308</v>
      </c>
      <c r="B913" t="s">
        <v>95</v>
      </c>
      <c r="C913" t="s">
        <v>96</v>
      </c>
      <c r="D913">
        <v>20</v>
      </c>
      <c r="E913">
        <v>80</v>
      </c>
      <c r="F913">
        <v>0.01</v>
      </c>
      <c r="G913" t="s">
        <v>103</v>
      </c>
    </row>
    <row r="914" spans="1:7" x14ac:dyDescent="0.25">
      <c r="A914" s="17">
        <v>43309</v>
      </c>
      <c r="B914" t="s">
        <v>101</v>
      </c>
      <c r="C914" t="s">
        <v>99</v>
      </c>
      <c r="D914">
        <v>12</v>
      </c>
      <c r="E914">
        <v>230</v>
      </c>
      <c r="F914">
        <v>0.03</v>
      </c>
      <c r="G914" t="s">
        <v>105</v>
      </c>
    </row>
    <row r="915" spans="1:7" x14ac:dyDescent="0.25">
      <c r="A915" s="17">
        <v>43309</v>
      </c>
      <c r="B915" t="s">
        <v>98</v>
      </c>
      <c r="C915" t="s">
        <v>109</v>
      </c>
      <c r="D915">
        <v>20</v>
      </c>
      <c r="E915">
        <v>40</v>
      </c>
      <c r="F915">
        <v>0.05</v>
      </c>
      <c r="G915" t="s">
        <v>107</v>
      </c>
    </row>
    <row r="916" spans="1:7" x14ac:dyDescent="0.25">
      <c r="A916" s="17">
        <v>43309</v>
      </c>
      <c r="B916" t="s">
        <v>98</v>
      </c>
      <c r="C916" t="s">
        <v>109</v>
      </c>
      <c r="D916">
        <v>4</v>
      </c>
      <c r="E916">
        <v>40</v>
      </c>
      <c r="F916">
        <v>0.09</v>
      </c>
      <c r="G916" t="s">
        <v>100</v>
      </c>
    </row>
    <row r="917" spans="1:7" x14ac:dyDescent="0.25">
      <c r="A917" s="17">
        <v>43309</v>
      </c>
      <c r="B917" t="s">
        <v>108</v>
      </c>
      <c r="C917" t="s">
        <v>104</v>
      </c>
      <c r="D917">
        <v>6</v>
      </c>
      <c r="E917">
        <v>16</v>
      </c>
      <c r="F917">
        <v>7.0000000000000007E-2</v>
      </c>
      <c r="G917" t="s">
        <v>102</v>
      </c>
    </row>
    <row r="918" spans="1:7" x14ac:dyDescent="0.25">
      <c r="A918" s="17">
        <v>43309</v>
      </c>
      <c r="B918" t="s">
        <v>95</v>
      </c>
      <c r="C918" t="s">
        <v>99</v>
      </c>
      <c r="D918">
        <v>13</v>
      </c>
      <c r="E918">
        <v>80</v>
      </c>
      <c r="F918">
        <v>0.06</v>
      </c>
      <c r="G918" t="s">
        <v>103</v>
      </c>
    </row>
    <row r="919" spans="1:7" x14ac:dyDescent="0.25">
      <c r="A919" s="17">
        <v>43309</v>
      </c>
      <c r="B919" t="s">
        <v>111</v>
      </c>
      <c r="C919" t="s">
        <v>96</v>
      </c>
      <c r="D919">
        <v>4</v>
      </c>
      <c r="E919">
        <v>150</v>
      </c>
      <c r="F919">
        <v>0.1</v>
      </c>
      <c r="G919" t="s">
        <v>105</v>
      </c>
    </row>
    <row r="920" spans="1:7" x14ac:dyDescent="0.25">
      <c r="A920" s="17">
        <v>43309</v>
      </c>
      <c r="B920" t="s">
        <v>111</v>
      </c>
      <c r="C920" t="s">
        <v>106</v>
      </c>
      <c r="D920">
        <v>9</v>
      </c>
      <c r="E920">
        <v>150</v>
      </c>
      <c r="F920">
        <v>0.02</v>
      </c>
      <c r="G920" t="s">
        <v>107</v>
      </c>
    </row>
    <row r="921" spans="1:7" x14ac:dyDescent="0.25">
      <c r="A921" s="17">
        <v>43309</v>
      </c>
      <c r="B921" t="s">
        <v>111</v>
      </c>
      <c r="C921" t="s">
        <v>96</v>
      </c>
      <c r="D921">
        <v>11</v>
      </c>
      <c r="E921">
        <v>150</v>
      </c>
      <c r="F921">
        <v>0.05</v>
      </c>
      <c r="G921" t="s">
        <v>110</v>
      </c>
    </row>
    <row r="922" spans="1:7" x14ac:dyDescent="0.25">
      <c r="A922" s="17">
        <v>43309</v>
      </c>
      <c r="B922" t="s">
        <v>108</v>
      </c>
      <c r="C922" t="s">
        <v>104</v>
      </c>
      <c r="D922">
        <v>6</v>
      </c>
      <c r="E922">
        <v>16</v>
      </c>
      <c r="F922">
        <v>0.06</v>
      </c>
      <c r="G922" t="s">
        <v>112</v>
      </c>
    </row>
    <row r="923" spans="1:7" x14ac:dyDescent="0.25">
      <c r="A923" s="17">
        <v>43310</v>
      </c>
      <c r="B923" t="s">
        <v>101</v>
      </c>
      <c r="C923" t="s">
        <v>104</v>
      </c>
      <c r="D923">
        <v>14</v>
      </c>
      <c r="E923">
        <v>230</v>
      </c>
      <c r="F923">
        <v>0.12</v>
      </c>
      <c r="G923" t="s">
        <v>113</v>
      </c>
    </row>
    <row r="924" spans="1:7" x14ac:dyDescent="0.25">
      <c r="A924" s="17">
        <v>43310</v>
      </c>
      <c r="B924" t="s">
        <v>95</v>
      </c>
      <c r="C924" t="s">
        <v>99</v>
      </c>
      <c r="D924">
        <v>15</v>
      </c>
      <c r="E924">
        <v>80</v>
      </c>
      <c r="F924">
        <v>0.12</v>
      </c>
      <c r="G924" t="s">
        <v>114</v>
      </c>
    </row>
    <row r="925" spans="1:7" x14ac:dyDescent="0.25">
      <c r="A925" s="17">
        <v>43310</v>
      </c>
      <c r="B925" t="s">
        <v>101</v>
      </c>
      <c r="C925" t="s">
        <v>106</v>
      </c>
      <c r="D925">
        <v>17</v>
      </c>
      <c r="E925">
        <v>230</v>
      </c>
      <c r="F925">
        <v>0.12</v>
      </c>
      <c r="G925" t="s">
        <v>115</v>
      </c>
    </row>
    <row r="926" spans="1:7" x14ac:dyDescent="0.25">
      <c r="A926" s="17">
        <v>43310</v>
      </c>
      <c r="B926" t="s">
        <v>111</v>
      </c>
      <c r="C926" t="s">
        <v>96</v>
      </c>
      <c r="D926">
        <v>5</v>
      </c>
      <c r="E926">
        <v>150</v>
      </c>
      <c r="F926">
        <v>0.11</v>
      </c>
      <c r="G926" t="s">
        <v>116</v>
      </c>
    </row>
    <row r="927" spans="1:7" x14ac:dyDescent="0.25">
      <c r="A927" s="17">
        <v>43310</v>
      </c>
      <c r="B927" t="s">
        <v>95</v>
      </c>
      <c r="C927" t="s">
        <v>109</v>
      </c>
      <c r="D927">
        <v>10</v>
      </c>
      <c r="E927">
        <v>80</v>
      </c>
      <c r="F927">
        <v>0.06</v>
      </c>
      <c r="G927" t="s">
        <v>97</v>
      </c>
    </row>
    <row r="928" spans="1:7" x14ac:dyDescent="0.25">
      <c r="A928" s="17">
        <v>43310</v>
      </c>
      <c r="B928" t="s">
        <v>95</v>
      </c>
      <c r="C928" t="s">
        <v>96</v>
      </c>
      <c r="D928">
        <v>9</v>
      </c>
      <c r="E928">
        <v>80</v>
      </c>
      <c r="F928">
        <v>0.04</v>
      </c>
      <c r="G928" t="s">
        <v>100</v>
      </c>
    </row>
    <row r="929" spans="1:7" x14ac:dyDescent="0.25">
      <c r="A929" s="17">
        <v>43310</v>
      </c>
      <c r="B929" t="s">
        <v>98</v>
      </c>
      <c r="C929" t="s">
        <v>109</v>
      </c>
      <c r="D929">
        <v>16</v>
      </c>
      <c r="E929">
        <v>40</v>
      </c>
      <c r="F929">
        <v>0.09</v>
      </c>
      <c r="G929" t="s">
        <v>102</v>
      </c>
    </row>
    <row r="930" spans="1:7" x14ac:dyDescent="0.25">
      <c r="A930" s="17">
        <v>43310</v>
      </c>
      <c r="B930" t="s">
        <v>101</v>
      </c>
      <c r="C930" t="s">
        <v>96</v>
      </c>
      <c r="D930">
        <v>7</v>
      </c>
      <c r="E930">
        <v>230</v>
      </c>
      <c r="F930">
        <v>0.08</v>
      </c>
      <c r="G930" t="s">
        <v>103</v>
      </c>
    </row>
    <row r="931" spans="1:7" x14ac:dyDescent="0.25">
      <c r="A931" s="17">
        <v>43310</v>
      </c>
      <c r="B931" t="s">
        <v>95</v>
      </c>
      <c r="C931" t="s">
        <v>106</v>
      </c>
      <c r="D931">
        <v>17</v>
      </c>
      <c r="E931">
        <v>80</v>
      </c>
      <c r="F931">
        <v>0.05</v>
      </c>
      <c r="G931" t="s">
        <v>105</v>
      </c>
    </row>
    <row r="932" spans="1:7" x14ac:dyDescent="0.25">
      <c r="A932" s="17">
        <v>43310</v>
      </c>
      <c r="B932" t="s">
        <v>101</v>
      </c>
      <c r="C932" t="s">
        <v>96</v>
      </c>
      <c r="D932">
        <v>11</v>
      </c>
      <c r="E932">
        <v>230</v>
      </c>
      <c r="F932">
        <v>0.02</v>
      </c>
      <c r="G932" t="s">
        <v>107</v>
      </c>
    </row>
    <row r="933" spans="1:7" x14ac:dyDescent="0.25">
      <c r="A933" s="17">
        <v>43311</v>
      </c>
      <c r="B933" t="s">
        <v>98</v>
      </c>
      <c r="C933" t="s">
        <v>96</v>
      </c>
      <c r="D933">
        <v>15</v>
      </c>
      <c r="E933">
        <v>40</v>
      </c>
      <c r="F933">
        <v>0.06</v>
      </c>
      <c r="G933" t="s">
        <v>100</v>
      </c>
    </row>
    <row r="934" spans="1:7" x14ac:dyDescent="0.25">
      <c r="A934" s="17">
        <v>43312</v>
      </c>
      <c r="B934" t="s">
        <v>101</v>
      </c>
      <c r="C934" t="s">
        <v>96</v>
      </c>
      <c r="D934">
        <v>7</v>
      </c>
      <c r="E934">
        <v>230</v>
      </c>
      <c r="F934">
        <v>0.02</v>
      </c>
      <c r="G934" t="s">
        <v>102</v>
      </c>
    </row>
    <row r="935" spans="1:7" x14ac:dyDescent="0.25">
      <c r="A935" s="17">
        <v>43312</v>
      </c>
      <c r="B935" t="s">
        <v>95</v>
      </c>
      <c r="C935" t="s">
        <v>104</v>
      </c>
      <c r="D935">
        <v>20</v>
      </c>
      <c r="E935">
        <v>80</v>
      </c>
      <c r="F935">
        <v>7.0000000000000007E-2</v>
      </c>
      <c r="G935" t="s">
        <v>103</v>
      </c>
    </row>
    <row r="936" spans="1:7" x14ac:dyDescent="0.25">
      <c r="A936" s="17">
        <v>43312</v>
      </c>
      <c r="B936" t="s">
        <v>95</v>
      </c>
      <c r="C936" t="s">
        <v>99</v>
      </c>
      <c r="D936">
        <v>3</v>
      </c>
      <c r="E936">
        <v>80</v>
      </c>
      <c r="F936">
        <v>0.02</v>
      </c>
      <c r="G936" t="s">
        <v>105</v>
      </c>
    </row>
    <row r="937" spans="1:7" x14ac:dyDescent="0.25">
      <c r="A937" s="17">
        <v>43312</v>
      </c>
      <c r="B937" t="s">
        <v>111</v>
      </c>
      <c r="C937" t="s">
        <v>104</v>
      </c>
      <c r="D937">
        <v>2</v>
      </c>
      <c r="E937">
        <v>150</v>
      </c>
      <c r="F937">
        <v>0.02</v>
      </c>
      <c r="G937" t="s">
        <v>107</v>
      </c>
    </row>
    <row r="938" spans="1:7" x14ac:dyDescent="0.25">
      <c r="A938" s="17">
        <v>43312</v>
      </c>
      <c r="B938" t="s">
        <v>111</v>
      </c>
      <c r="C938" t="s">
        <v>104</v>
      </c>
      <c r="D938">
        <v>22</v>
      </c>
      <c r="E938">
        <v>150</v>
      </c>
      <c r="F938">
        <v>0.09</v>
      </c>
      <c r="G938" t="s">
        <v>110</v>
      </c>
    </row>
    <row r="939" spans="1:7" x14ac:dyDescent="0.25">
      <c r="A939" s="17">
        <v>43312</v>
      </c>
      <c r="B939" t="s">
        <v>101</v>
      </c>
      <c r="C939" t="s">
        <v>96</v>
      </c>
      <c r="D939">
        <v>5</v>
      </c>
      <c r="E939">
        <v>230</v>
      </c>
      <c r="F939">
        <v>0.1</v>
      </c>
      <c r="G939" t="s">
        <v>112</v>
      </c>
    </row>
    <row r="940" spans="1:7" x14ac:dyDescent="0.25">
      <c r="A940" s="17">
        <v>43312</v>
      </c>
      <c r="B940" t="s">
        <v>108</v>
      </c>
      <c r="C940" t="s">
        <v>109</v>
      </c>
      <c r="D940">
        <v>12</v>
      </c>
      <c r="E940">
        <v>16</v>
      </c>
      <c r="F940">
        <v>0.04</v>
      </c>
      <c r="G940" t="s">
        <v>113</v>
      </c>
    </row>
    <row r="941" spans="1:7" x14ac:dyDescent="0.25">
      <c r="A941" s="17">
        <v>43312</v>
      </c>
      <c r="B941" t="s">
        <v>98</v>
      </c>
      <c r="C941" t="s">
        <v>106</v>
      </c>
      <c r="D941">
        <v>6</v>
      </c>
      <c r="E941">
        <v>40</v>
      </c>
      <c r="F941">
        <v>7.0000000000000007E-2</v>
      </c>
      <c r="G941" t="s">
        <v>114</v>
      </c>
    </row>
    <row r="942" spans="1:7" x14ac:dyDescent="0.25">
      <c r="A942" s="17">
        <v>43312</v>
      </c>
      <c r="B942" t="s">
        <v>108</v>
      </c>
      <c r="C942" t="s">
        <v>109</v>
      </c>
      <c r="D942">
        <v>15</v>
      </c>
      <c r="E942">
        <v>16</v>
      </c>
      <c r="F942">
        <v>0.01</v>
      </c>
      <c r="G942" t="s">
        <v>115</v>
      </c>
    </row>
    <row r="943" spans="1:7" x14ac:dyDescent="0.25">
      <c r="A943" s="17">
        <v>43282</v>
      </c>
      <c r="B943" t="s">
        <v>111</v>
      </c>
      <c r="C943" t="s">
        <v>109</v>
      </c>
      <c r="D943">
        <v>13</v>
      </c>
      <c r="E943">
        <v>150</v>
      </c>
      <c r="F943">
        <v>0.11</v>
      </c>
      <c r="G943" t="s">
        <v>116</v>
      </c>
    </row>
    <row r="944" spans="1:7" x14ac:dyDescent="0.25">
      <c r="A944" s="17">
        <v>43282</v>
      </c>
      <c r="B944" t="s">
        <v>98</v>
      </c>
      <c r="C944" t="s">
        <v>99</v>
      </c>
      <c r="D944">
        <v>8</v>
      </c>
      <c r="E944">
        <v>40</v>
      </c>
      <c r="F944">
        <v>0.09</v>
      </c>
      <c r="G944" t="s">
        <v>97</v>
      </c>
    </row>
    <row r="945" spans="1:7" x14ac:dyDescent="0.25">
      <c r="A945" s="17">
        <v>43282</v>
      </c>
      <c r="B945" t="s">
        <v>98</v>
      </c>
      <c r="C945" t="s">
        <v>106</v>
      </c>
      <c r="D945">
        <v>7</v>
      </c>
      <c r="E945">
        <v>40</v>
      </c>
      <c r="F945">
        <v>7.0000000000000007E-2</v>
      </c>
      <c r="G945" t="s">
        <v>100</v>
      </c>
    </row>
    <row r="946" spans="1:7" x14ac:dyDescent="0.25">
      <c r="A946" s="17">
        <v>43282</v>
      </c>
      <c r="B946" t="s">
        <v>98</v>
      </c>
      <c r="C946" t="s">
        <v>99</v>
      </c>
      <c r="D946">
        <v>18</v>
      </c>
      <c r="E946">
        <v>40</v>
      </c>
      <c r="F946">
        <v>0.08</v>
      </c>
      <c r="G946" t="s">
        <v>102</v>
      </c>
    </row>
    <row r="947" spans="1:7" x14ac:dyDescent="0.25">
      <c r="A947" s="17">
        <v>43282</v>
      </c>
      <c r="B947" t="s">
        <v>101</v>
      </c>
      <c r="C947" t="s">
        <v>106</v>
      </c>
      <c r="D947">
        <v>19</v>
      </c>
      <c r="E947">
        <v>230</v>
      </c>
      <c r="F947">
        <v>0.06</v>
      </c>
      <c r="G947" t="s">
        <v>103</v>
      </c>
    </row>
    <row r="948" spans="1:7" x14ac:dyDescent="0.25">
      <c r="A948" s="17">
        <v>43282</v>
      </c>
      <c r="B948" t="s">
        <v>111</v>
      </c>
      <c r="C948" t="s">
        <v>96</v>
      </c>
      <c r="D948">
        <v>4</v>
      </c>
      <c r="E948">
        <v>150</v>
      </c>
      <c r="F948">
        <v>0.1</v>
      </c>
      <c r="G948" t="s">
        <v>105</v>
      </c>
    </row>
    <row r="949" spans="1:7" x14ac:dyDescent="0.25">
      <c r="A949" s="17">
        <v>43283</v>
      </c>
      <c r="B949" t="s">
        <v>95</v>
      </c>
      <c r="C949" t="s">
        <v>109</v>
      </c>
      <c r="D949">
        <v>9</v>
      </c>
      <c r="E949">
        <v>80</v>
      </c>
      <c r="F949">
        <v>0.06</v>
      </c>
      <c r="G949" t="s">
        <v>107</v>
      </c>
    </row>
    <row r="950" spans="1:7" x14ac:dyDescent="0.25">
      <c r="A950" s="17">
        <v>43283</v>
      </c>
      <c r="B950" t="s">
        <v>95</v>
      </c>
      <c r="C950" t="s">
        <v>104</v>
      </c>
      <c r="D950">
        <v>16</v>
      </c>
      <c r="E950">
        <v>80</v>
      </c>
      <c r="F950">
        <v>0.02</v>
      </c>
      <c r="G950" t="s">
        <v>100</v>
      </c>
    </row>
    <row r="951" spans="1:7" x14ac:dyDescent="0.25">
      <c r="A951" s="17">
        <v>43283</v>
      </c>
      <c r="B951" t="s">
        <v>101</v>
      </c>
      <c r="C951" t="s">
        <v>99</v>
      </c>
      <c r="D951">
        <v>15</v>
      </c>
      <c r="E951">
        <v>230</v>
      </c>
      <c r="F951">
        <v>0.09</v>
      </c>
      <c r="G951" t="s">
        <v>102</v>
      </c>
    </row>
    <row r="952" spans="1:7" x14ac:dyDescent="0.25">
      <c r="A952" s="17">
        <v>43283</v>
      </c>
      <c r="B952" t="s">
        <v>108</v>
      </c>
      <c r="C952" t="s">
        <v>109</v>
      </c>
      <c r="D952">
        <v>15</v>
      </c>
      <c r="E952">
        <v>16</v>
      </c>
      <c r="F952">
        <v>0.01</v>
      </c>
      <c r="G952" t="s">
        <v>103</v>
      </c>
    </row>
    <row r="953" spans="1:7" x14ac:dyDescent="0.25">
      <c r="A953" s="17">
        <v>43283</v>
      </c>
      <c r="B953" t="s">
        <v>101</v>
      </c>
      <c r="C953" t="s">
        <v>96</v>
      </c>
      <c r="D953">
        <v>7</v>
      </c>
      <c r="E953">
        <v>230</v>
      </c>
      <c r="F953">
        <v>0.02</v>
      </c>
      <c r="G953" t="s">
        <v>105</v>
      </c>
    </row>
    <row r="954" spans="1:7" x14ac:dyDescent="0.25">
      <c r="A954" s="17">
        <v>43283</v>
      </c>
      <c r="B954" t="s">
        <v>108</v>
      </c>
      <c r="C954" t="s">
        <v>104</v>
      </c>
      <c r="D954">
        <v>23</v>
      </c>
      <c r="E954">
        <v>16</v>
      </c>
      <c r="F954">
        <v>0.11</v>
      </c>
      <c r="G954" t="s">
        <v>107</v>
      </c>
    </row>
    <row r="955" spans="1:7" x14ac:dyDescent="0.25">
      <c r="A955" s="17">
        <v>43283</v>
      </c>
      <c r="B955" t="s">
        <v>98</v>
      </c>
      <c r="C955" t="s">
        <v>109</v>
      </c>
      <c r="D955">
        <v>20</v>
      </c>
      <c r="E955">
        <v>40</v>
      </c>
      <c r="F955">
        <v>0.05</v>
      </c>
      <c r="G955" t="s">
        <v>110</v>
      </c>
    </row>
    <row r="956" spans="1:7" x14ac:dyDescent="0.25">
      <c r="A956" s="17">
        <v>43284</v>
      </c>
      <c r="B956" t="s">
        <v>101</v>
      </c>
      <c r="C956" t="s">
        <v>99</v>
      </c>
      <c r="D956">
        <v>9</v>
      </c>
      <c r="E956">
        <v>230</v>
      </c>
      <c r="F956">
        <v>0.03</v>
      </c>
      <c r="G956" t="s">
        <v>112</v>
      </c>
    </row>
    <row r="957" spans="1:7" x14ac:dyDescent="0.25">
      <c r="A957" s="17">
        <v>43284</v>
      </c>
      <c r="B957" t="s">
        <v>98</v>
      </c>
      <c r="C957" t="s">
        <v>106</v>
      </c>
      <c r="D957">
        <v>23</v>
      </c>
      <c r="E957">
        <v>40</v>
      </c>
      <c r="F957">
        <v>0.06</v>
      </c>
      <c r="G957" t="s">
        <v>113</v>
      </c>
    </row>
    <row r="958" spans="1:7" x14ac:dyDescent="0.25">
      <c r="A958" s="17">
        <v>43284</v>
      </c>
      <c r="B958" t="s">
        <v>98</v>
      </c>
      <c r="C958" t="s">
        <v>106</v>
      </c>
      <c r="D958">
        <v>4</v>
      </c>
      <c r="E958">
        <v>40</v>
      </c>
      <c r="F958">
        <v>0.05</v>
      </c>
      <c r="G958" t="s">
        <v>114</v>
      </c>
    </row>
    <row r="959" spans="1:7" x14ac:dyDescent="0.25">
      <c r="A959" s="17">
        <v>43284</v>
      </c>
      <c r="B959" t="s">
        <v>111</v>
      </c>
      <c r="C959" t="s">
        <v>96</v>
      </c>
      <c r="D959">
        <v>13</v>
      </c>
      <c r="E959">
        <v>150</v>
      </c>
      <c r="F959">
        <v>0.05</v>
      </c>
      <c r="G959" t="s">
        <v>115</v>
      </c>
    </row>
    <row r="960" spans="1:7" x14ac:dyDescent="0.25">
      <c r="A960" s="17">
        <v>43284</v>
      </c>
      <c r="B960" t="s">
        <v>101</v>
      </c>
      <c r="C960" t="s">
        <v>99</v>
      </c>
      <c r="D960">
        <v>7</v>
      </c>
      <c r="E960">
        <v>230</v>
      </c>
      <c r="F960">
        <v>0.01</v>
      </c>
      <c r="G960" t="s">
        <v>116</v>
      </c>
    </row>
    <row r="961" spans="1:7" x14ac:dyDescent="0.25">
      <c r="A961" s="17">
        <v>43284</v>
      </c>
      <c r="B961" t="s">
        <v>101</v>
      </c>
      <c r="C961" t="s">
        <v>99</v>
      </c>
      <c r="D961">
        <v>7</v>
      </c>
      <c r="E961">
        <v>230</v>
      </c>
      <c r="F961">
        <v>0.08</v>
      </c>
      <c r="G961" t="s">
        <v>97</v>
      </c>
    </row>
    <row r="962" spans="1:7" x14ac:dyDescent="0.25">
      <c r="A962" s="17">
        <v>43284</v>
      </c>
      <c r="B962" t="s">
        <v>101</v>
      </c>
      <c r="C962" t="s">
        <v>104</v>
      </c>
      <c r="D962">
        <v>15</v>
      </c>
      <c r="E962">
        <v>230</v>
      </c>
      <c r="F962">
        <v>0.04</v>
      </c>
      <c r="G962" t="s">
        <v>100</v>
      </c>
    </row>
    <row r="963" spans="1:7" x14ac:dyDescent="0.25">
      <c r="A963" s="17">
        <v>43284</v>
      </c>
      <c r="B963" t="s">
        <v>98</v>
      </c>
      <c r="C963" t="s">
        <v>106</v>
      </c>
      <c r="D963">
        <v>15</v>
      </c>
      <c r="E963">
        <v>40</v>
      </c>
      <c r="F963">
        <v>0.03</v>
      </c>
      <c r="G963" t="s">
        <v>102</v>
      </c>
    </row>
    <row r="964" spans="1:7" x14ac:dyDescent="0.25">
      <c r="A964" s="17">
        <v>43284</v>
      </c>
      <c r="B964" t="s">
        <v>98</v>
      </c>
      <c r="C964" t="s">
        <v>104</v>
      </c>
      <c r="D964">
        <v>2</v>
      </c>
      <c r="E964">
        <v>40</v>
      </c>
      <c r="F964">
        <v>0.03</v>
      </c>
      <c r="G964" t="s">
        <v>103</v>
      </c>
    </row>
    <row r="965" spans="1:7" x14ac:dyDescent="0.25">
      <c r="A965" s="17">
        <v>43284</v>
      </c>
      <c r="B965" t="s">
        <v>111</v>
      </c>
      <c r="C965" t="s">
        <v>104</v>
      </c>
      <c r="D965">
        <v>2</v>
      </c>
      <c r="E965">
        <v>150</v>
      </c>
      <c r="F965">
        <v>0.02</v>
      </c>
      <c r="G965" t="s">
        <v>105</v>
      </c>
    </row>
    <row r="966" spans="1:7" x14ac:dyDescent="0.25">
      <c r="A966" s="17">
        <v>43285</v>
      </c>
      <c r="B966" t="s">
        <v>101</v>
      </c>
      <c r="C966" t="s">
        <v>96</v>
      </c>
      <c r="D966">
        <v>3</v>
      </c>
      <c r="E966">
        <v>230</v>
      </c>
      <c r="F966">
        <v>0.11</v>
      </c>
      <c r="G966" t="s">
        <v>107</v>
      </c>
    </row>
    <row r="967" spans="1:7" x14ac:dyDescent="0.25">
      <c r="A967" s="17">
        <v>43285</v>
      </c>
      <c r="B967" t="s">
        <v>98</v>
      </c>
      <c r="C967" t="s">
        <v>104</v>
      </c>
      <c r="D967">
        <v>4</v>
      </c>
      <c r="E967">
        <v>40</v>
      </c>
      <c r="F967">
        <v>0.06</v>
      </c>
      <c r="G967" t="s">
        <v>100</v>
      </c>
    </row>
    <row r="968" spans="1:7" x14ac:dyDescent="0.25">
      <c r="A968" s="17">
        <v>43285</v>
      </c>
      <c r="B968" t="s">
        <v>98</v>
      </c>
      <c r="C968" t="s">
        <v>106</v>
      </c>
      <c r="D968">
        <v>13</v>
      </c>
      <c r="E968">
        <v>40</v>
      </c>
      <c r="F968">
        <v>0.06</v>
      </c>
      <c r="G968" t="s">
        <v>102</v>
      </c>
    </row>
    <row r="969" spans="1:7" x14ac:dyDescent="0.25">
      <c r="A969" s="17">
        <v>43285</v>
      </c>
      <c r="B969" t="s">
        <v>108</v>
      </c>
      <c r="C969" t="s">
        <v>106</v>
      </c>
      <c r="D969">
        <v>15</v>
      </c>
      <c r="E969">
        <v>16</v>
      </c>
      <c r="F969">
        <v>0.12</v>
      </c>
      <c r="G969" t="s">
        <v>103</v>
      </c>
    </row>
    <row r="970" spans="1:7" x14ac:dyDescent="0.25">
      <c r="A970" s="17">
        <v>43285</v>
      </c>
      <c r="B970" t="s">
        <v>95</v>
      </c>
      <c r="C970" t="s">
        <v>96</v>
      </c>
      <c r="D970">
        <v>14</v>
      </c>
      <c r="E970">
        <v>80</v>
      </c>
      <c r="F970">
        <v>0.08</v>
      </c>
      <c r="G970" t="s">
        <v>105</v>
      </c>
    </row>
    <row r="971" spans="1:7" x14ac:dyDescent="0.25">
      <c r="A971" s="17">
        <v>43285</v>
      </c>
      <c r="B971" t="s">
        <v>108</v>
      </c>
      <c r="C971" t="s">
        <v>96</v>
      </c>
      <c r="D971">
        <v>7</v>
      </c>
      <c r="E971">
        <v>16</v>
      </c>
      <c r="F971">
        <v>0.08</v>
      </c>
      <c r="G971" t="s">
        <v>107</v>
      </c>
    </row>
    <row r="972" spans="1:7" x14ac:dyDescent="0.25">
      <c r="A972" s="17">
        <v>43285</v>
      </c>
      <c r="B972" t="s">
        <v>111</v>
      </c>
      <c r="C972" t="s">
        <v>99</v>
      </c>
      <c r="D972">
        <v>13</v>
      </c>
      <c r="E972">
        <v>150</v>
      </c>
      <c r="F972">
        <v>0.02</v>
      </c>
      <c r="G972" t="s">
        <v>110</v>
      </c>
    </row>
    <row r="973" spans="1:7" x14ac:dyDescent="0.25">
      <c r="A973" s="17">
        <v>43285</v>
      </c>
      <c r="B973" t="s">
        <v>111</v>
      </c>
      <c r="C973" t="s">
        <v>104</v>
      </c>
      <c r="D973">
        <v>9</v>
      </c>
      <c r="E973">
        <v>150</v>
      </c>
      <c r="F973">
        <v>0.02</v>
      </c>
      <c r="G973" t="s">
        <v>112</v>
      </c>
    </row>
    <row r="974" spans="1:7" x14ac:dyDescent="0.25">
      <c r="A974" s="17">
        <v>43285</v>
      </c>
      <c r="B974" t="s">
        <v>98</v>
      </c>
      <c r="C974" t="s">
        <v>96</v>
      </c>
      <c r="D974">
        <v>9</v>
      </c>
      <c r="E974">
        <v>40</v>
      </c>
      <c r="F974">
        <v>0.01</v>
      </c>
      <c r="G974" t="s">
        <v>113</v>
      </c>
    </row>
    <row r="975" spans="1:7" x14ac:dyDescent="0.25">
      <c r="A975" s="17">
        <v>43286</v>
      </c>
      <c r="B975" t="s">
        <v>95</v>
      </c>
      <c r="C975" t="s">
        <v>109</v>
      </c>
      <c r="D975">
        <v>9</v>
      </c>
      <c r="E975">
        <v>80</v>
      </c>
      <c r="F975">
        <v>7.0000000000000007E-2</v>
      </c>
      <c r="G975" t="s">
        <v>114</v>
      </c>
    </row>
    <row r="976" spans="1:7" x14ac:dyDescent="0.25">
      <c r="A976" s="17">
        <v>43286</v>
      </c>
      <c r="B976" t="s">
        <v>101</v>
      </c>
      <c r="C976" t="s">
        <v>99</v>
      </c>
      <c r="D976">
        <v>22</v>
      </c>
      <c r="E976">
        <v>230</v>
      </c>
      <c r="F976">
        <v>0.11</v>
      </c>
      <c r="G976" t="s">
        <v>115</v>
      </c>
    </row>
    <row r="977" spans="1:7" x14ac:dyDescent="0.25">
      <c r="A977" s="17">
        <v>43286</v>
      </c>
      <c r="B977" t="s">
        <v>111</v>
      </c>
      <c r="C977" t="s">
        <v>99</v>
      </c>
      <c r="D977">
        <v>15</v>
      </c>
      <c r="E977">
        <v>150</v>
      </c>
      <c r="F977">
        <v>0.02</v>
      </c>
      <c r="G977" t="s">
        <v>116</v>
      </c>
    </row>
    <row r="978" spans="1:7" x14ac:dyDescent="0.25">
      <c r="A978" s="17">
        <v>43286</v>
      </c>
      <c r="B978" t="s">
        <v>101</v>
      </c>
      <c r="C978" t="s">
        <v>109</v>
      </c>
      <c r="D978">
        <v>5</v>
      </c>
      <c r="E978">
        <v>230</v>
      </c>
      <c r="F978">
        <v>0.12</v>
      </c>
      <c r="G978" t="s">
        <v>97</v>
      </c>
    </row>
    <row r="979" spans="1:7" x14ac:dyDescent="0.25">
      <c r="A979" s="17">
        <v>43286</v>
      </c>
      <c r="B979" t="s">
        <v>98</v>
      </c>
      <c r="C979" t="s">
        <v>104</v>
      </c>
      <c r="D979">
        <v>20</v>
      </c>
      <c r="E979">
        <v>40</v>
      </c>
      <c r="F979">
        <v>0.01</v>
      </c>
      <c r="G979" t="s">
        <v>100</v>
      </c>
    </row>
    <row r="980" spans="1:7" x14ac:dyDescent="0.25">
      <c r="A980" s="17">
        <v>43286</v>
      </c>
      <c r="B980" t="s">
        <v>98</v>
      </c>
      <c r="C980" t="s">
        <v>96</v>
      </c>
      <c r="D980">
        <v>23</v>
      </c>
      <c r="E980">
        <v>40</v>
      </c>
      <c r="F980">
        <v>0.03</v>
      </c>
      <c r="G980" t="s">
        <v>102</v>
      </c>
    </row>
    <row r="981" spans="1:7" x14ac:dyDescent="0.25">
      <c r="A981" s="17">
        <v>43286</v>
      </c>
      <c r="B981" t="s">
        <v>95</v>
      </c>
      <c r="C981" t="s">
        <v>109</v>
      </c>
      <c r="D981">
        <v>16</v>
      </c>
      <c r="E981">
        <v>80</v>
      </c>
      <c r="F981">
        <v>0.05</v>
      </c>
      <c r="G981" t="s">
        <v>103</v>
      </c>
    </row>
    <row r="982" spans="1:7" x14ac:dyDescent="0.25">
      <c r="A982" s="17">
        <v>43286</v>
      </c>
      <c r="B982" t="s">
        <v>101</v>
      </c>
      <c r="C982" t="s">
        <v>104</v>
      </c>
      <c r="D982">
        <v>18</v>
      </c>
      <c r="E982">
        <v>230</v>
      </c>
      <c r="F982">
        <v>0.01</v>
      </c>
      <c r="G982" t="s">
        <v>105</v>
      </c>
    </row>
    <row r="983" spans="1:7" x14ac:dyDescent="0.25">
      <c r="A983" s="17">
        <v>43286</v>
      </c>
      <c r="B983" t="s">
        <v>98</v>
      </c>
      <c r="C983" t="s">
        <v>109</v>
      </c>
      <c r="D983">
        <v>23</v>
      </c>
      <c r="E983">
        <v>40</v>
      </c>
      <c r="F983">
        <v>0.05</v>
      </c>
      <c r="G983" t="s">
        <v>107</v>
      </c>
    </row>
    <row r="984" spans="1:7" x14ac:dyDescent="0.25">
      <c r="A984" s="17">
        <v>43286</v>
      </c>
      <c r="B984" t="s">
        <v>108</v>
      </c>
      <c r="C984" t="s">
        <v>106</v>
      </c>
      <c r="D984">
        <v>5</v>
      </c>
      <c r="E984">
        <v>16</v>
      </c>
      <c r="F984">
        <v>0.09</v>
      </c>
      <c r="G984" t="s">
        <v>100</v>
      </c>
    </row>
    <row r="985" spans="1:7" x14ac:dyDescent="0.25">
      <c r="A985" s="17">
        <v>43286</v>
      </c>
      <c r="B985" t="s">
        <v>98</v>
      </c>
      <c r="C985" t="s">
        <v>96</v>
      </c>
      <c r="D985">
        <v>22</v>
      </c>
      <c r="E985">
        <v>40</v>
      </c>
      <c r="F985">
        <v>0.02</v>
      </c>
      <c r="G985" t="s">
        <v>102</v>
      </c>
    </row>
    <row r="986" spans="1:7" x14ac:dyDescent="0.25">
      <c r="A986" s="17">
        <v>43287</v>
      </c>
      <c r="B986" t="s">
        <v>111</v>
      </c>
      <c r="C986" t="s">
        <v>96</v>
      </c>
      <c r="D986">
        <v>23</v>
      </c>
      <c r="E986">
        <v>150</v>
      </c>
      <c r="F986">
        <v>0.1</v>
      </c>
      <c r="G986" t="s">
        <v>103</v>
      </c>
    </row>
    <row r="987" spans="1:7" x14ac:dyDescent="0.25">
      <c r="A987" s="17">
        <v>43287</v>
      </c>
      <c r="B987" t="s">
        <v>101</v>
      </c>
      <c r="C987" t="s">
        <v>99</v>
      </c>
      <c r="D987">
        <v>22</v>
      </c>
      <c r="E987">
        <v>230</v>
      </c>
      <c r="F987">
        <v>0.04</v>
      </c>
      <c r="G987" t="s">
        <v>105</v>
      </c>
    </row>
    <row r="988" spans="1:7" x14ac:dyDescent="0.25">
      <c r="A988" s="17">
        <v>43287</v>
      </c>
      <c r="B988" t="s">
        <v>95</v>
      </c>
      <c r="C988" t="s">
        <v>106</v>
      </c>
      <c r="D988">
        <v>16</v>
      </c>
      <c r="E988">
        <v>80</v>
      </c>
      <c r="F988">
        <v>7.0000000000000007E-2</v>
      </c>
      <c r="G988" t="s">
        <v>107</v>
      </c>
    </row>
    <row r="989" spans="1:7" x14ac:dyDescent="0.25">
      <c r="A989" s="17">
        <v>43287</v>
      </c>
      <c r="B989" t="s">
        <v>111</v>
      </c>
      <c r="C989" t="s">
        <v>104</v>
      </c>
      <c r="D989">
        <v>22</v>
      </c>
      <c r="E989">
        <v>150</v>
      </c>
      <c r="F989">
        <v>0.09</v>
      </c>
      <c r="G989" t="s">
        <v>110</v>
      </c>
    </row>
    <row r="990" spans="1:7" x14ac:dyDescent="0.25">
      <c r="A990" s="17">
        <v>43287</v>
      </c>
      <c r="B990" t="s">
        <v>95</v>
      </c>
      <c r="C990" t="s">
        <v>104</v>
      </c>
      <c r="D990">
        <v>5</v>
      </c>
      <c r="E990">
        <v>80</v>
      </c>
      <c r="F990">
        <v>0.09</v>
      </c>
      <c r="G990" t="s">
        <v>112</v>
      </c>
    </row>
    <row r="991" spans="1:7" x14ac:dyDescent="0.25">
      <c r="A991" s="17">
        <v>43287</v>
      </c>
      <c r="B991" t="s">
        <v>95</v>
      </c>
      <c r="C991" t="s">
        <v>106</v>
      </c>
      <c r="D991">
        <v>16</v>
      </c>
      <c r="E991">
        <v>80</v>
      </c>
      <c r="F991">
        <v>0.1</v>
      </c>
      <c r="G991" t="s">
        <v>113</v>
      </c>
    </row>
    <row r="992" spans="1:7" x14ac:dyDescent="0.25">
      <c r="A992" s="17">
        <v>43287</v>
      </c>
      <c r="B992" t="s">
        <v>111</v>
      </c>
      <c r="C992" t="s">
        <v>99</v>
      </c>
      <c r="D992">
        <v>23</v>
      </c>
      <c r="E992">
        <v>150</v>
      </c>
      <c r="F992">
        <v>0.11</v>
      </c>
      <c r="G992" t="s">
        <v>114</v>
      </c>
    </row>
    <row r="993" spans="1:7" x14ac:dyDescent="0.25">
      <c r="A993" s="17">
        <v>43287</v>
      </c>
      <c r="B993" t="s">
        <v>108</v>
      </c>
      <c r="C993" t="s">
        <v>99</v>
      </c>
      <c r="D993">
        <v>4</v>
      </c>
      <c r="E993">
        <v>16</v>
      </c>
      <c r="F993">
        <v>0.09</v>
      </c>
      <c r="G993" t="s">
        <v>115</v>
      </c>
    </row>
    <row r="994" spans="1:7" x14ac:dyDescent="0.25">
      <c r="A994" s="17">
        <v>43287</v>
      </c>
      <c r="B994" t="s">
        <v>108</v>
      </c>
      <c r="C994" t="s">
        <v>99</v>
      </c>
      <c r="D994">
        <v>4</v>
      </c>
      <c r="E994">
        <v>16</v>
      </c>
      <c r="F994">
        <v>7.0000000000000007E-2</v>
      </c>
      <c r="G994" t="s">
        <v>116</v>
      </c>
    </row>
    <row r="995" spans="1:7" x14ac:dyDescent="0.25">
      <c r="A995" s="17">
        <v>43287</v>
      </c>
      <c r="B995" t="s">
        <v>108</v>
      </c>
      <c r="C995" t="s">
        <v>96</v>
      </c>
      <c r="D995">
        <v>16</v>
      </c>
      <c r="E995">
        <v>16</v>
      </c>
      <c r="F995">
        <v>0.03</v>
      </c>
      <c r="G995" t="s">
        <v>97</v>
      </c>
    </row>
    <row r="996" spans="1:7" x14ac:dyDescent="0.25">
      <c r="A996" s="17">
        <v>43287</v>
      </c>
      <c r="B996" t="s">
        <v>98</v>
      </c>
      <c r="C996" t="s">
        <v>106</v>
      </c>
      <c r="D996">
        <v>18</v>
      </c>
      <c r="E996">
        <v>40</v>
      </c>
      <c r="F996">
        <v>0.04</v>
      </c>
      <c r="G996" t="s">
        <v>100</v>
      </c>
    </row>
    <row r="997" spans="1:7" x14ac:dyDescent="0.25">
      <c r="A997" s="17">
        <v>43287</v>
      </c>
      <c r="B997" t="s">
        <v>95</v>
      </c>
      <c r="C997" t="s">
        <v>106</v>
      </c>
      <c r="D997">
        <v>21</v>
      </c>
      <c r="E997">
        <v>80</v>
      </c>
      <c r="F997">
        <v>0.02</v>
      </c>
      <c r="G997" t="s">
        <v>102</v>
      </c>
    </row>
    <row r="998" spans="1:7" x14ac:dyDescent="0.25">
      <c r="A998" s="17">
        <v>43287</v>
      </c>
      <c r="B998" t="s">
        <v>95</v>
      </c>
      <c r="C998" t="s">
        <v>109</v>
      </c>
      <c r="D998">
        <v>10</v>
      </c>
      <c r="E998">
        <v>80</v>
      </c>
      <c r="F998">
        <v>0.06</v>
      </c>
      <c r="G998" t="s">
        <v>103</v>
      </c>
    </row>
    <row r="999" spans="1:7" x14ac:dyDescent="0.25">
      <c r="A999" s="17">
        <v>43287</v>
      </c>
      <c r="B999" t="s">
        <v>101</v>
      </c>
      <c r="C999" t="s">
        <v>104</v>
      </c>
      <c r="D999">
        <v>7</v>
      </c>
      <c r="E999">
        <v>230</v>
      </c>
      <c r="F999">
        <v>0.01</v>
      </c>
      <c r="G999" t="s">
        <v>105</v>
      </c>
    </row>
    <row r="1000" spans="1:7" x14ac:dyDescent="0.25">
      <c r="A1000" s="17">
        <v>43288</v>
      </c>
      <c r="B1000" t="s">
        <v>108</v>
      </c>
      <c r="C1000" t="s">
        <v>109</v>
      </c>
      <c r="D1000">
        <v>11</v>
      </c>
      <c r="E1000">
        <v>16</v>
      </c>
      <c r="F1000">
        <v>0.12</v>
      </c>
      <c r="G1000" t="s">
        <v>107</v>
      </c>
    </row>
    <row r="1001" spans="1:7" x14ac:dyDescent="0.25">
      <c r="A1001" s="17">
        <v>43288</v>
      </c>
      <c r="B1001" t="s">
        <v>95</v>
      </c>
      <c r="C1001" t="s">
        <v>106</v>
      </c>
      <c r="D1001">
        <v>10</v>
      </c>
      <c r="E1001">
        <v>80</v>
      </c>
      <c r="F1001">
        <v>0.1</v>
      </c>
      <c r="G1001" t="s">
        <v>100</v>
      </c>
    </row>
    <row r="1002" spans="1:7" x14ac:dyDescent="0.25">
      <c r="A1002" s="17">
        <v>43288</v>
      </c>
      <c r="B1002" t="s">
        <v>98</v>
      </c>
      <c r="C1002" t="s">
        <v>99</v>
      </c>
      <c r="D1002">
        <v>23</v>
      </c>
      <c r="E1002">
        <v>40</v>
      </c>
      <c r="F1002">
        <v>0.06</v>
      </c>
      <c r="G1002" t="s">
        <v>102</v>
      </c>
    </row>
    <row r="1003" spans="1:7" x14ac:dyDescent="0.25">
      <c r="A1003" s="17">
        <v>43288</v>
      </c>
      <c r="B1003" t="s">
        <v>111</v>
      </c>
      <c r="C1003" t="s">
        <v>109</v>
      </c>
      <c r="D1003">
        <v>7</v>
      </c>
      <c r="E1003">
        <v>150</v>
      </c>
      <c r="F1003">
        <v>0.02</v>
      </c>
      <c r="G1003" t="s">
        <v>103</v>
      </c>
    </row>
    <row r="1004" spans="1:7" x14ac:dyDescent="0.25">
      <c r="A1004" s="17">
        <v>43288</v>
      </c>
      <c r="B1004" t="s">
        <v>95</v>
      </c>
      <c r="C1004" t="s">
        <v>96</v>
      </c>
      <c r="D1004">
        <v>17</v>
      </c>
      <c r="E1004">
        <v>80</v>
      </c>
      <c r="F1004">
        <v>7.0000000000000007E-2</v>
      </c>
      <c r="G1004" t="s">
        <v>105</v>
      </c>
    </row>
    <row r="1005" spans="1:7" x14ac:dyDescent="0.25">
      <c r="A1005" s="17">
        <v>43288</v>
      </c>
      <c r="B1005" t="s">
        <v>111</v>
      </c>
      <c r="C1005" t="s">
        <v>99</v>
      </c>
      <c r="D1005">
        <v>20</v>
      </c>
      <c r="E1005">
        <v>150</v>
      </c>
      <c r="F1005">
        <v>0.09</v>
      </c>
      <c r="G1005" t="s">
        <v>107</v>
      </c>
    </row>
    <row r="1006" spans="1:7" x14ac:dyDescent="0.25">
      <c r="A1006" s="17">
        <v>43288</v>
      </c>
      <c r="B1006" t="s">
        <v>101</v>
      </c>
      <c r="C1006" t="s">
        <v>106</v>
      </c>
      <c r="D1006">
        <v>23</v>
      </c>
      <c r="E1006">
        <v>230</v>
      </c>
      <c r="F1006">
        <v>0.06</v>
      </c>
      <c r="G1006" t="s">
        <v>110</v>
      </c>
    </row>
    <row r="1007" spans="1:7" x14ac:dyDescent="0.25">
      <c r="A1007" s="17">
        <v>43288</v>
      </c>
      <c r="B1007" t="s">
        <v>95</v>
      </c>
      <c r="C1007" t="s">
        <v>99</v>
      </c>
      <c r="D1007">
        <v>16</v>
      </c>
      <c r="E1007">
        <v>80</v>
      </c>
      <c r="F1007">
        <v>0.04</v>
      </c>
      <c r="G1007" t="s">
        <v>112</v>
      </c>
    </row>
    <row r="1008" spans="1:7" x14ac:dyDescent="0.25">
      <c r="A1008" s="17">
        <v>43288</v>
      </c>
      <c r="B1008" t="s">
        <v>101</v>
      </c>
      <c r="C1008" t="s">
        <v>109</v>
      </c>
      <c r="D1008">
        <v>22</v>
      </c>
      <c r="E1008">
        <v>230</v>
      </c>
      <c r="F1008">
        <v>0.1</v>
      </c>
      <c r="G1008" t="s">
        <v>113</v>
      </c>
    </row>
    <row r="1009" spans="1:7" x14ac:dyDescent="0.25">
      <c r="A1009" s="17">
        <v>43288</v>
      </c>
      <c r="B1009" t="s">
        <v>101</v>
      </c>
      <c r="C1009" t="s">
        <v>104</v>
      </c>
      <c r="D1009">
        <v>15</v>
      </c>
      <c r="E1009">
        <v>230</v>
      </c>
      <c r="F1009">
        <v>0.11</v>
      </c>
      <c r="G1009" t="s">
        <v>114</v>
      </c>
    </row>
    <row r="1010" spans="1:7" x14ac:dyDescent="0.25">
      <c r="A1010" s="17">
        <v>43288</v>
      </c>
      <c r="B1010" t="s">
        <v>98</v>
      </c>
      <c r="C1010" t="s">
        <v>99</v>
      </c>
      <c r="D1010">
        <v>15</v>
      </c>
      <c r="E1010">
        <v>40</v>
      </c>
      <c r="F1010">
        <v>0.04</v>
      </c>
      <c r="G1010" t="s">
        <v>115</v>
      </c>
    </row>
    <row r="1011" spans="1:7" x14ac:dyDescent="0.25">
      <c r="A1011" s="17">
        <v>43288</v>
      </c>
      <c r="B1011" t="s">
        <v>95</v>
      </c>
      <c r="C1011" t="s">
        <v>99</v>
      </c>
      <c r="D1011">
        <v>2</v>
      </c>
      <c r="E1011">
        <v>80</v>
      </c>
      <c r="F1011">
        <v>7.0000000000000007E-2</v>
      </c>
      <c r="G1011" t="s">
        <v>116</v>
      </c>
    </row>
    <row r="1012" spans="1:7" x14ac:dyDescent="0.25">
      <c r="A1012" s="17">
        <v>43289</v>
      </c>
      <c r="B1012" t="s">
        <v>111</v>
      </c>
      <c r="C1012" t="s">
        <v>96</v>
      </c>
      <c r="D1012">
        <v>22</v>
      </c>
      <c r="E1012">
        <v>150</v>
      </c>
      <c r="F1012">
        <v>0.05</v>
      </c>
      <c r="G1012" t="s">
        <v>97</v>
      </c>
    </row>
    <row r="1013" spans="1:7" x14ac:dyDescent="0.25">
      <c r="A1013" s="17">
        <v>43289</v>
      </c>
      <c r="B1013" t="s">
        <v>98</v>
      </c>
      <c r="C1013" t="s">
        <v>109</v>
      </c>
      <c r="D1013">
        <v>20</v>
      </c>
      <c r="E1013">
        <v>40</v>
      </c>
      <c r="F1013">
        <v>7.0000000000000007E-2</v>
      </c>
      <c r="G1013" t="s">
        <v>100</v>
      </c>
    </row>
    <row r="1014" spans="1:7" x14ac:dyDescent="0.25">
      <c r="A1014" s="17">
        <v>43289</v>
      </c>
      <c r="B1014" t="s">
        <v>101</v>
      </c>
      <c r="C1014" t="s">
        <v>106</v>
      </c>
      <c r="D1014">
        <v>2</v>
      </c>
      <c r="E1014">
        <v>230</v>
      </c>
      <c r="F1014">
        <v>0.09</v>
      </c>
      <c r="G1014" t="s">
        <v>102</v>
      </c>
    </row>
    <row r="1015" spans="1:7" x14ac:dyDescent="0.25">
      <c r="A1015" s="17">
        <v>43289</v>
      </c>
      <c r="B1015" t="s">
        <v>98</v>
      </c>
      <c r="C1015" t="s">
        <v>106</v>
      </c>
      <c r="D1015">
        <v>7</v>
      </c>
      <c r="E1015">
        <v>40</v>
      </c>
      <c r="F1015">
        <v>0.11</v>
      </c>
      <c r="G1015" t="s">
        <v>103</v>
      </c>
    </row>
    <row r="1016" spans="1:7" x14ac:dyDescent="0.25">
      <c r="A1016" s="17">
        <v>43289</v>
      </c>
      <c r="B1016" t="s">
        <v>95</v>
      </c>
      <c r="C1016" t="s">
        <v>106</v>
      </c>
      <c r="D1016">
        <v>7</v>
      </c>
      <c r="E1016">
        <v>80</v>
      </c>
      <c r="F1016">
        <v>7.0000000000000007E-2</v>
      </c>
      <c r="G1016" t="s">
        <v>105</v>
      </c>
    </row>
    <row r="1017" spans="1:7" x14ac:dyDescent="0.25">
      <c r="A1017" s="17">
        <v>43289</v>
      </c>
      <c r="B1017" t="s">
        <v>98</v>
      </c>
      <c r="C1017" t="s">
        <v>106</v>
      </c>
      <c r="D1017">
        <v>9</v>
      </c>
      <c r="E1017">
        <v>40</v>
      </c>
      <c r="F1017">
        <v>0.06</v>
      </c>
      <c r="G1017" t="s">
        <v>107</v>
      </c>
    </row>
    <row r="1018" spans="1:7" x14ac:dyDescent="0.25">
      <c r="A1018" s="17">
        <v>43289</v>
      </c>
      <c r="B1018" t="s">
        <v>98</v>
      </c>
      <c r="C1018" t="s">
        <v>96</v>
      </c>
      <c r="D1018">
        <v>18</v>
      </c>
      <c r="E1018">
        <v>40</v>
      </c>
      <c r="F1018">
        <v>0.11</v>
      </c>
      <c r="G1018" t="s">
        <v>100</v>
      </c>
    </row>
    <row r="1019" spans="1:7" x14ac:dyDescent="0.25">
      <c r="A1019" s="17">
        <v>43289</v>
      </c>
      <c r="B1019" t="s">
        <v>101</v>
      </c>
      <c r="C1019" t="s">
        <v>96</v>
      </c>
      <c r="D1019">
        <v>20</v>
      </c>
      <c r="E1019">
        <v>230</v>
      </c>
      <c r="F1019">
        <v>0.04</v>
      </c>
      <c r="G1019" t="s">
        <v>102</v>
      </c>
    </row>
    <row r="1020" spans="1:7" x14ac:dyDescent="0.25">
      <c r="A1020" s="17">
        <v>43289</v>
      </c>
      <c r="B1020" t="s">
        <v>95</v>
      </c>
      <c r="C1020" t="s">
        <v>104</v>
      </c>
      <c r="D1020">
        <v>23</v>
      </c>
      <c r="E1020">
        <v>80</v>
      </c>
      <c r="F1020">
        <v>0.05</v>
      </c>
      <c r="G1020" t="s">
        <v>103</v>
      </c>
    </row>
    <row r="1021" spans="1:7" x14ac:dyDescent="0.25">
      <c r="A1021" s="17">
        <v>43289</v>
      </c>
      <c r="B1021" t="s">
        <v>111</v>
      </c>
      <c r="C1021" t="s">
        <v>109</v>
      </c>
      <c r="D1021">
        <v>11</v>
      </c>
      <c r="E1021">
        <v>150</v>
      </c>
      <c r="F1021">
        <v>0.09</v>
      </c>
      <c r="G1021" t="s">
        <v>105</v>
      </c>
    </row>
    <row r="1022" spans="1:7" x14ac:dyDescent="0.25">
      <c r="A1022" s="17">
        <v>43289</v>
      </c>
      <c r="B1022" t="s">
        <v>111</v>
      </c>
      <c r="C1022" t="s">
        <v>96</v>
      </c>
      <c r="D1022">
        <v>17</v>
      </c>
      <c r="E1022">
        <v>150</v>
      </c>
      <c r="F1022">
        <v>0.12</v>
      </c>
      <c r="G1022" t="s">
        <v>107</v>
      </c>
    </row>
    <row r="1023" spans="1:7" x14ac:dyDescent="0.25">
      <c r="A1023" s="17">
        <v>43289</v>
      </c>
      <c r="B1023" t="s">
        <v>101</v>
      </c>
      <c r="C1023" t="s">
        <v>109</v>
      </c>
      <c r="D1023">
        <v>2</v>
      </c>
      <c r="E1023">
        <v>230</v>
      </c>
      <c r="F1023">
        <v>0.08</v>
      </c>
      <c r="G1023" t="s">
        <v>110</v>
      </c>
    </row>
    <row r="1024" spans="1:7" x14ac:dyDescent="0.25">
      <c r="A1024" s="17">
        <v>43289</v>
      </c>
      <c r="B1024" t="s">
        <v>95</v>
      </c>
      <c r="C1024" t="s">
        <v>104</v>
      </c>
      <c r="D1024">
        <v>10</v>
      </c>
      <c r="E1024">
        <v>80</v>
      </c>
      <c r="F1024">
        <v>0.11</v>
      </c>
      <c r="G1024" t="s">
        <v>112</v>
      </c>
    </row>
    <row r="1025" spans="1:7" x14ac:dyDescent="0.25">
      <c r="A1025" s="17">
        <v>43290</v>
      </c>
      <c r="B1025" t="s">
        <v>108</v>
      </c>
      <c r="C1025" t="s">
        <v>106</v>
      </c>
      <c r="D1025">
        <v>22</v>
      </c>
      <c r="E1025">
        <v>16</v>
      </c>
      <c r="F1025">
        <v>0.03</v>
      </c>
      <c r="G1025" t="s">
        <v>113</v>
      </c>
    </row>
    <row r="1026" spans="1:7" x14ac:dyDescent="0.25">
      <c r="A1026" s="17">
        <v>43290</v>
      </c>
      <c r="B1026" t="s">
        <v>108</v>
      </c>
      <c r="C1026" t="s">
        <v>104</v>
      </c>
      <c r="D1026">
        <v>9</v>
      </c>
      <c r="E1026">
        <v>16</v>
      </c>
      <c r="F1026">
        <v>0.05</v>
      </c>
      <c r="G1026" t="s">
        <v>114</v>
      </c>
    </row>
    <row r="1027" spans="1:7" x14ac:dyDescent="0.25">
      <c r="A1027" s="17">
        <v>43290</v>
      </c>
      <c r="B1027" t="s">
        <v>98</v>
      </c>
      <c r="C1027" t="s">
        <v>104</v>
      </c>
      <c r="D1027">
        <v>4</v>
      </c>
      <c r="E1027">
        <v>40</v>
      </c>
      <c r="F1027">
        <v>0.1</v>
      </c>
      <c r="G1027" t="s">
        <v>115</v>
      </c>
    </row>
    <row r="1028" spans="1:7" x14ac:dyDescent="0.25">
      <c r="A1028" s="17">
        <v>43290</v>
      </c>
      <c r="B1028" t="s">
        <v>95</v>
      </c>
      <c r="C1028" t="s">
        <v>109</v>
      </c>
      <c r="D1028">
        <v>9</v>
      </c>
      <c r="E1028">
        <v>80</v>
      </c>
      <c r="F1028">
        <v>0.02</v>
      </c>
      <c r="G1028" t="s">
        <v>116</v>
      </c>
    </row>
    <row r="1029" spans="1:7" x14ac:dyDescent="0.25">
      <c r="A1029" s="17">
        <v>43290</v>
      </c>
      <c r="B1029" t="s">
        <v>101</v>
      </c>
      <c r="C1029" t="s">
        <v>104</v>
      </c>
      <c r="D1029">
        <v>6</v>
      </c>
      <c r="E1029">
        <v>230</v>
      </c>
      <c r="F1029">
        <v>0.05</v>
      </c>
      <c r="G1029" t="s">
        <v>97</v>
      </c>
    </row>
    <row r="1030" spans="1:7" x14ac:dyDescent="0.25">
      <c r="A1030" s="17">
        <v>43290</v>
      </c>
      <c r="B1030" t="s">
        <v>95</v>
      </c>
      <c r="C1030" t="s">
        <v>106</v>
      </c>
      <c r="D1030">
        <v>14</v>
      </c>
      <c r="E1030">
        <v>80</v>
      </c>
      <c r="F1030">
        <v>0.05</v>
      </c>
      <c r="G1030" t="s">
        <v>100</v>
      </c>
    </row>
    <row r="1031" spans="1:7" x14ac:dyDescent="0.25">
      <c r="A1031" s="17">
        <v>43290</v>
      </c>
      <c r="B1031" t="s">
        <v>108</v>
      </c>
      <c r="C1031" t="s">
        <v>109</v>
      </c>
      <c r="D1031">
        <v>17</v>
      </c>
      <c r="E1031">
        <v>16</v>
      </c>
      <c r="F1031">
        <v>0.08</v>
      </c>
      <c r="G1031" t="s">
        <v>102</v>
      </c>
    </row>
    <row r="1032" spans="1:7" x14ac:dyDescent="0.25">
      <c r="A1032" s="17">
        <v>43290</v>
      </c>
      <c r="B1032" t="s">
        <v>111</v>
      </c>
      <c r="C1032" t="s">
        <v>99</v>
      </c>
      <c r="D1032">
        <v>22</v>
      </c>
      <c r="E1032">
        <v>150</v>
      </c>
      <c r="F1032">
        <v>0.02</v>
      </c>
      <c r="G1032" t="s">
        <v>103</v>
      </c>
    </row>
    <row r="1033" spans="1:7" x14ac:dyDescent="0.25">
      <c r="A1033" s="17">
        <v>43290</v>
      </c>
      <c r="B1033" t="s">
        <v>98</v>
      </c>
      <c r="C1033" t="s">
        <v>109</v>
      </c>
      <c r="D1033">
        <v>17</v>
      </c>
      <c r="E1033">
        <v>40</v>
      </c>
      <c r="F1033">
        <v>0.02</v>
      </c>
      <c r="G1033" t="s">
        <v>105</v>
      </c>
    </row>
    <row r="1034" spans="1:7" x14ac:dyDescent="0.25">
      <c r="A1034" s="17">
        <v>43290</v>
      </c>
      <c r="B1034" t="s">
        <v>95</v>
      </c>
      <c r="C1034" t="s">
        <v>109</v>
      </c>
      <c r="D1034">
        <v>17</v>
      </c>
      <c r="E1034">
        <v>80</v>
      </c>
      <c r="F1034">
        <v>7.0000000000000007E-2</v>
      </c>
      <c r="G1034" t="s">
        <v>107</v>
      </c>
    </row>
    <row r="1035" spans="1:7" x14ac:dyDescent="0.25">
      <c r="A1035" s="17">
        <v>43290</v>
      </c>
      <c r="B1035" t="s">
        <v>111</v>
      </c>
      <c r="C1035" t="s">
        <v>106</v>
      </c>
      <c r="D1035">
        <v>4</v>
      </c>
      <c r="E1035">
        <v>150</v>
      </c>
      <c r="F1035">
        <v>0.12</v>
      </c>
      <c r="G1035" t="s">
        <v>100</v>
      </c>
    </row>
    <row r="1036" spans="1:7" x14ac:dyDescent="0.25">
      <c r="A1036" s="17">
        <v>43290</v>
      </c>
      <c r="B1036" t="s">
        <v>108</v>
      </c>
      <c r="C1036" t="s">
        <v>106</v>
      </c>
      <c r="D1036">
        <v>14</v>
      </c>
      <c r="E1036">
        <v>16</v>
      </c>
      <c r="F1036">
        <v>0.12</v>
      </c>
      <c r="G1036" t="s">
        <v>102</v>
      </c>
    </row>
    <row r="1037" spans="1:7" x14ac:dyDescent="0.25">
      <c r="A1037" s="17">
        <v>43290</v>
      </c>
      <c r="B1037" t="s">
        <v>108</v>
      </c>
      <c r="C1037" t="s">
        <v>96</v>
      </c>
      <c r="D1037">
        <v>18</v>
      </c>
      <c r="E1037">
        <v>16</v>
      </c>
      <c r="F1037">
        <v>0.11</v>
      </c>
      <c r="G1037" t="s">
        <v>103</v>
      </c>
    </row>
    <row r="1038" spans="1:7" x14ac:dyDescent="0.25">
      <c r="A1038" s="17">
        <v>43290</v>
      </c>
      <c r="B1038" t="s">
        <v>95</v>
      </c>
      <c r="C1038" t="s">
        <v>109</v>
      </c>
      <c r="D1038">
        <v>22</v>
      </c>
      <c r="E1038">
        <v>80</v>
      </c>
      <c r="F1038">
        <v>0.09</v>
      </c>
      <c r="G1038" t="s">
        <v>105</v>
      </c>
    </row>
    <row r="1039" spans="1:7" x14ac:dyDescent="0.25">
      <c r="A1039" s="17">
        <v>43290</v>
      </c>
      <c r="B1039" t="s">
        <v>101</v>
      </c>
      <c r="C1039" t="s">
        <v>99</v>
      </c>
      <c r="D1039">
        <v>12</v>
      </c>
      <c r="E1039">
        <v>230</v>
      </c>
      <c r="F1039">
        <v>0.03</v>
      </c>
      <c r="G1039" t="s">
        <v>107</v>
      </c>
    </row>
    <row r="1040" spans="1:7" x14ac:dyDescent="0.25">
      <c r="A1040" s="17">
        <v>43290</v>
      </c>
      <c r="B1040" t="s">
        <v>98</v>
      </c>
      <c r="C1040" t="s">
        <v>99</v>
      </c>
      <c r="D1040">
        <v>12</v>
      </c>
      <c r="E1040">
        <v>40</v>
      </c>
      <c r="F1040">
        <v>0.1</v>
      </c>
      <c r="G1040" t="s">
        <v>110</v>
      </c>
    </row>
    <row r="1041" spans="1:7" x14ac:dyDescent="0.25">
      <c r="A1041" s="17">
        <v>43291</v>
      </c>
      <c r="B1041" t="s">
        <v>98</v>
      </c>
      <c r="C1041" t="s">
        <v>109</v>
      </c>
      <c r="D1041">
        <v>7</v>
      </c>
      <c r="E1041">
        <v>40</v>
      </c>
      <c r="F1041">
        <v>0.12</v>
      </c>
      <c r="G1041" t="s">
        <v>112</v>
      </c>
    </row>
    <row r="1042" spans="1:7" x14ac:dyDescent="0.25">
      <c r="A1042" s="17">
        <v>43291</v>
      </c>
      <c r="B1042" t="s">
        <v>95</v>
      </c>
      <c r="C1042" t="s">
        <v>96</v>
      </c>
      <c r="D1042">
        <v>12</v>
      </c>
      <c r="E1042">
        <v>80</v>
      </c>
      <c r="F1042">
        <v>0.04</v>
      </c>
      <c r="G1042" t="s">
        <v>113</v>
      </c>
    </row>
    <row r="1043" spans="1:7" x14ac:dyDescent="0.25">
      <c r="A1043" s="17">
        <v>43291</v>
      </c>
      <c r="B1043" t="s">
        <v>108</v>
      </c>
      <c r="C1043" t="s">
        <v>109</v>
      </c>
      <c r="D1043">
        <v>17</v>
      </c>
      <c r="E1043">
        <v>16</v>
      </c>
      <c r="F1043">
        <v>0.1</v>
      </c>
      <c r="G1043" t="s">
        <v>114</v>
      </c>
    </row>
    <row r="1044" spans="1:7" x14ac:dyDescent="0.25">
      <c r="A1044" s="17">
        <v>43291</v>
      </c>
      <c r="B1044" t="s">
        <v>101</v>
      </c>
      <c r="C1044" t="s">
        <v>99</v>
      </c>
      <c r="D1044">
        <v>6</v>
      </c>
      <c r="E1044">
        <v>230</v>
      </c>
      <c r="F1044">
        <v>0.1</v>
      </c>
      <c r="G1044" t="s">
        <v>115</v>
      </c>
    </row>
    <row r="1045" spans="1:7" x14ac:dyDescent="0.25">
      <c r="A1045" s="17">
        <v>43291</v>
      </c>
      <c r="B1045" t="s">
        <v>98</v>
      </c>
      <c r="C1045" t="s">
        <v>96</v>
      </c>
      <c r="D1045">
        <v>11</v>
      </c>
      <c r="E1045">
        <v>40</v>
      </c>
      <c r="F1045">
        <v>0.04</v>
      </c>
      <c r="G1045" t="s">
        <v>116</v>
      </c>
    </row>
    <row r="1046" spans="1:7" x14ac:dyDescent="0.25">
      <c r="A1046" s="17">
        <v>43291</v>
      </c>
      <c r="B1046" t="s">
        <v>108</v>
      </c>
      <c r="C1046" t="s">
        <v>106</v>
      </c>
      <c r="D1046">
        <v>10</v>
      </c>
      <c r="E1046">
        <v>16</v>
      </c>
      <c r="F1046">
        <v>0.04</v>
      </c>
      <c r="G1046" t="s">
        <v>97</v>
      </c>
    </row>
    <row r="1047" spans="1:7" x14ac:dyDescent="0.25">
      <c r="A1047" s="17">
        <v>43291</v>
      </c>
      <c r="B1047" t="s">
        <v>95</v>
      </c>
      <c r="C1047" t="s">
        <v>96</v>
      </c>
      <c r="D1047">
        <v>6</v>
      </c>
      <c r="E1047">
        <v>80</v>
      </c>
      <c r="F1047">
        <v>7.0000000000000007E-2</v>
      </c>
      <c r="G1047" t="s">
        <v>100</v>
      </c>
    </row>
    <row r="1048" spans="1:7" x14ac:dyDescent="0.25">
      <c r="A1048" s="17">
        <v>43291</v>
      </c>
      <c r="B1048" t="s">
        <v>98</v>
      </c>
      <c r="C1048" t="s">
        <v>106</v>
      </c>
      <c r="D1048">
        <v>11</v>
      </c>
      <c r="E1048">
        <v>40</v>
      </c>
      <c r="F1048">
        <v>0.09</v>
      </c>
      <c r="G1048" t="s">
        <v>102</v>
      </c>
    </row>
    <row r="1049" spans="1:7" x14ac:dyDescent="0.25">
      <c r="A1049" s="17">
        <v>43291</v>
      </c>
      <c r="B1049" t="s">
        <v>95</v>
      </c>
      <c r="C1049" t="s">
        <v>109</v>
      </c>
      <c r="D1049">
        <v>16</v>
      </c>
      <c r="E1049">
        <v>80</v>
      </c>
      <c r="F1049">
        <v>0.09</v>
      </c>
      <c r="G1049" t="s">
        <v>103</v>
      </c>
    </row>
    <row r="1050" spans="1:7" x14ac:dyDescent="0.25">
      <c r="A1050" s="17">
        <v>43291</v>
      </c>
      <c r="B1050" t="s">
        <v>98</v>
      </c>
      <c r="C1050" t="s">
        <v>106</v>
      </c>
      <c r="D1050">
        <v>13</v>
      </c>
      <c r="E1050">
        <v>40</v>
      </c>
      <c r="F1050">
        <v>0.09</v>
      </c>
      <c r="G1050" t="s">
        <v>105</v>
      </c>
    </row>
    <row r="1051" spans="1:7" x14ac:dyDescent="0.25">
      <c r="A1051" s="17">
        <v>43291</v>
      </c>
      <c r="B1051" t="s">
        <v>101</v>
      </c>
      <c r="C1051" t="s">
        <v>96</v>
      </c>
      <c r="D1051">
        <v>5</v>
      </c>
      <c r="E1051">
        <v>230</v>
      </c>
      <c r="F1051">
        <v>0.1</v>
      </c>
      <c r="G1051" t="s">
        <v>107</v>
      </c>
    </row>
    <row r="1052" spans="1:7" x14ac:dyDescent="0.25">
      <c r="A1052" s="17">
        <v>43292</v>
      </c>
      <c r="B1052" t="s">
        <v>98</v>
      </c>
      <c r="C1052" t="s">
        <v>109</v>
      </c>
      <c r="D1052">
        <v>7</v>
      </c>
      <c r="E1052">
        <v>40</v>
      </c>
      <c r="F1052">
        <v>0.05</v>
      </c>
      <c r="G1052" t="s">
        <v>100</v>
      </c>
    </row>
    <row r="1053" spans="1:7" x14ac:dyDescent="0.25">
      <c r="A1053" s="17">
        <v>43292</v>
      </c>
      <c r="B1053" t="s">
        <v>95</v>
      </c>
      <c r="C1053" t="s">
        <v>104</v>
      </c>
      <c r="D1053">
        <v>14</v>
      </c>
      <c r="E1053">
        <v>80</v>
      </c>
      <c r="F1053">
        <v>0.1</v>
      </c>
      <c r="G1053" t="s">
        <v>102</v>
      </c>
    </row>
    <row r="1054" spans="1:7" x14ac:dyDescent="0.25">
      <c r="A1054" s="17">
        <v>43292</v>
      </c>
      <c r="B1054" t="s">
        <v>108</v>
      </c>
      <c r="C1054" t="s">
        <v>109</v>
      </c>
      <c r="D1054">
        <v>12</v>
      </c>
      <c r="E1054">
        <v>16</v>
      </c>
      <c r="F1054">
        <v>0.04</v>
      </c>
      <c r="G1054" t="s">
        <v>103</v>
      </c>
    </row>
    <row r="1055" spans="1:7" x14ac:dyDescent="0.25">
      <c r="A1055" s="17">
        <v>43292</v>
      </c>
      <c r="B1055" t="s">
        <v>101</v>
      </c>
      <c r="C1055" t="s">
        <v>104</v>
      </c>
      <c r="D1055">
        <v>14</v>
      </c>
      <c r="E1055">
        <v>230</v>
      </c>
      <c r="F1055">
        <v>0.03</v>
      </c>
      <c r="G1055" t="s">
        <v>105</v>
      </c>
    </row>
    <row r="1056" spans="1:7" x14ac:dyDescent="0.25">
      <c r="A1056" s="17">
        <v>43292</v>
      </c>
      <c r="B1056" t="s">
        <v>95</v>
      </c>
      <c r="C1056" t="s">
        <v>109</v>
      </c>
      <c r="D1056">
        <v>21</v>
      </c>
      <c r="E1056">
        <v>80</v>
      </c>
      <c r="F1056">
        <v>0.09</v>
      </c>
      <c r="G1056" t="s">
        <v>107</v>
      </c>
    </row>
    <row r="1057" spans="1:7" x14ac:dyDescent="0.25">
      <c r="A1057" s="17">
        <v>43292</v>
      </c>
      <c r="B1057" t="s">
        <v>101</v>
      </c>
      <c r="C1057" t="s">
        <v>104</v>
      </c>
      <c r="D1057">
        <v>5</v>
      </c>
      <c r="E1057">
        <v>230</v>
      </c>
      <c r="F1057">
        <v>0.1</v>
      </c>
      <c r="G1057" t="s">
        <v>110</v>
      </c>
    </row>
    <row r="1058" spans="1:7" x14ac:dyDescent="0.25">
      <c r="A1058" s="17">
        <v>43292</v>
      </c>
      <c r="B1058" t="s">
        <v>98</v>
      </c>
      <c r="C1058" t="s">
        <v>109</v>
      </c>
      <c r="D1058">
        <v>16</v>
      </c>
      <c r="E1058">
        <v>40</v>
      </c>
      <c r="F1058">
        <v>0.09</v>
      </c>
      <c r="G1058" t="s">
        <v>112</v>
      </c>
    </row>
    <row r="1059" spans="1:7" x14ac:dyDescent="0.25">
      <c r="A1059" s="17">
        <v>43292</v>
      </c>
      <c r="B1059" t="s">
        <v>111</v>
      </c>
      <c r="C1059" t="s">
        <v>99</v>
      </c>
      <c r="D1059">
        <v>15</v>
      </c>
      <c r="E1059">
        <v>150</v>
      </c>
      <c r="F1059">
        <v>0.12</v>
      </c>
      <c r="G1059" t="s">
        <v>113</v>
      </c>
    </row>
    <row r="1060" spans="1:7" x14ac:dyDescent="0.25">
      <c r="A1060" s="17">
        <v>43292</v>
      </c>
      <c r="B1060" t="s">
        <v>108</v>
      </c>
      <c r="C1060" t="s">
        <v>109</v>
      </c>
      <c r="D1060">
        <v>23</v>
      </c>
      <c r="E1060">
        <v>16</v>
      </c>
      <c r="F1060">
        <v>0.01</v>
      </c>
      <c r="G1060" t="s">
        <v>114</v>
      </c>
    </row>
    <row r="1061" spans="1:7" x14ac:dyDescent="0.25">
      <c r="A1061" s="17">
        <v>43292</v>
      </c>
      <c r="B1061" t="s">
        <v>108</v>
      </c>
      <c r="C1061" t="s">
        <v>99</v>
      </c>
      <c r="D1061">
        <v>22</v>
      </c>
      <c r="E1061">
        <v>16</v>
      </c>
      <c r="F1061">
        <v>0.04</v>
      </c>
      <c r="G1061" t="s">
        <v>115</v>
      </c>
    </row>
    <row r="1062" spans="1:7" x14ac:dyDescent="0.25">
      <c r="A1062" s="17">
        <v>43292</v>
      </c>
      <c r="B1062" t="s">
        <v>95</v>
      </c>
      <c r="C1062" t="s">
        <v>96</v>
      </c>
      <c r="D1062">
        <v>20</v>
      </c>
      <c r="E1062">
        <v>80</v>
      </c>
      <c r="F1062">
        <v>0.01</v>
      </c>
      <c r="G1062" t="s">
        <v>116</v>
      </c>
    </row>
    <row r="1063" spans="1:7" x14ac:dyDescent="0.25">
      <c r="A1063" s="17">
        <v>43292</v>
      </c>
      <c r="B1063" t="s">
        <v>98</v>
      </c>
      <c r="C1063" t="s">
        <v>106</v>
      </c>
      <c r="D1063">
        <v>6</v>
      </c>
      <c r="E1063">
        <v>40</v>
      </c>
      <c r="F1063">
        <v>7.0000000000000007E-2</v>
      </c>
      <c r="G1063" t="s">
        <v>97</v>
      </c>
    </row>
    <row r="1064" spans="1:7" x14ac:dyDescent="0.25">
      <c r="A1064" s="17">
        <v>43293</v>
      </c>
      <c r="B1064" t="s">
        <v>111</v>
      </c>
      <c r="C1064" t="s">
        <v>99</v>
      </c>
      <c r="D1064">
        <v>10</v>
      </c>
      <c r="E1064">
        <v>150</v>
      </c>
      <c r="F1064">
        <v>0.01</v>
      </c>
      <c r="G1064" t="s">
        <v>100</v>
      </c>
    </row>
    <row r="1065" spans="1:7" x14ac:dyDescent="0.25">
      <c r="A1065" s="17">
        <v>43293</v>
      </c>
      <c r="B1065" t="s">
        <v>95</v>
      </c>
      <c r="C1065" t="s">
        <v>106</v>
      </c>
      <c r="D1065">
        <v>17</v>
      </c>
      <c r="E1065">
        <v>80</v>
      </c>
      <c r="F1065">
        <v>0.05</v>
      </c>
      <c r="G1065" t="s">
        <v>102</v>
      </c>
    </row>
    <row r="1066" spans="1:7" x14ac:dyDescent="0.25">
      <c r="A1066" s="17">
        <v>43293</v>
      </c>
      <c r="B1066" t="s">
        <v>111</v>
      </c>
      <c r="C1066" t="s">
        <v>96</v>
      </c>
      <c r="D1066">
        <v>13</v>
      </c>
      <c r="E1066">
        <v>150</v>
      </c>
      <c r="F1066">
        <v>0.05</v>
      </c>
      <c r="G1066" t="s">
        <v>103</v>
      </c>
    </row>
    <row r="1067" spans="1:7" x14ac:dyDescent="0.25">
      <c r="A1067" s="17">
        <v>43293</v>
      </c>
      <c r="B1067" t="s">
        <v>101</v>
      </c>
      <c r="C1067" t="s">
        <v>106</v>
      </c>
      <c r="D1067">
        <v>8</v>
      </c>
      <c r="E1067">
        <v>230</v>
      </c>
      <c r="F1067">
        <v>0.05</v>
      </c>
      <c r="G1067" t="s">
        <v>105</v>
      </c>
    </row>
    <row r="1068" spans="1:7" x14ac:dyDescent="0.25">
      <c r="A1068" s="17">
        <v>43293</v>
      </c>
      <c r="B1068" t="s">
        <v>108</v>
      </c>
      <c r="C1068" t="s">
        <v>96</v>
      </c>
      <c r="D1068">
        <v>10</v>
      </c>
      <c r="E1068">
        <v>16</v>
      </c>
      <c r="F1068">
        <v>0.08</v>
      </c>
      <c r="G1068" t="s">
        <v>107</v>
      </c>
    </row>
    <row r="1069" spans="1:7" x14ac:dyDescent="0.25">
      <c r="A1069" s="17">
        <v>43293</v>
      </c>
      <c r="B1069" t="s">
        <v>98</v>
      </c>
      <c r="C1069" t="s">
        <v>99</v>
      </c>
      <c r="D1069">
        <v>4</v>
      </c>
      <c r="E1069">
        <v>40</v>
      </c>
      <c r="F1069">
        <v>0.06</v>
      </c>
      <c r="G1069" t="s">
        <v>100</v>
      </c>
    </row>
    <row r="1070" spans="1:7" x14ac:dyDescent="0.25">
      <c r="A1070" s="17">
        <v>43293</v>
      </c>
      <c r="B1070" t="s">
        <v>98</v>
      </c>
      <c r="C1070" t="s">
        <v>109</v>
      </c>
      <c r="D1070">
        <v>18</v>
      </c>
      <c r="E1070">
        <v>40</v>
      </c>
      <c r="F1070">
        <v>0.06</v>
      </c>
      <c r="G1070" t="s">
        <v>102</v>
      </c>
    </row>
    <row r="1071" spans="1:7" x14ac:dyDescent="0.25">
      <c r="A1071" s="17">
        <v>43293</v>
      </c>
      <c r="B1071" t="s">
        <v>111</v>
      </c>
      <c r="C1071" t="s">
        <v>106</v>
      </c>
      <c r="D1071">
        <v>15</v>
      </c>
      <c r="E1071">
        <v>150</v>
      </c>
      <c r="F1071">
        <v>0.05</v>
      </c>
      <c r="G1071" t="s">
        <v>103</v>
      </c>
    </row>
    <row r="1072" spans="1:7" x14ac:dyDescent="0.25">
      <c r="A1072" s="17">
        <v>43293</v>
      </c>
      <c r="B1072" t="s">
        <v>111</v>
      </c>
      <c r="C1072" t="s">
        <v>106</v>
      </c>
      <c r="D1072">
        <v>3</v>
      </c>
      <c r="E1072">
        <v>150</v>
      </c>
      <c r="F1072">
        <v>0.01</v>
      </c>
      <c r="G1072" t="s">
        <v>105</v>
      </c>
    </row>
    <row r="1073" spans="1:7" x14ac:dyDescent="0.25">
      <c r="A1073" s="17">
        <v>43293</v>
      </c>
      <c r="B1073" t="s">
        <v>108</v>
      </c>
      <c r="C1073" t="s">
        <v>96</v>
      </c>
      <c r="D1073">
        <v>12</v>
      </c>
      <c r="E1073">
        <v>16</v>
      </c>
      <c r="F1073">
        <v>0.11</v>
      </c>
      <c r="G1073" t="s">
        <v>107</v>
      </c>
    </row>
    <row r="1074" spans="1:7" x14ac:dyDescent="0.25">
      <c r="A1074" s="17">
        <v>43294</v>
      </c>
      <c r="B1074" t="s">
        <v>95</v>
      </c>
      <c r="C1074" t="s">
        <v>109</v>
      </c>
      <c r="D1074">
        <v>17</v>
      </c>
      <c r="E1074">
        <v>80</v>
      </c>
      <c r="F1074">
        <v>7.0000000000000007E-2</v>
      </c>
      <c r="G1074" t="s">
        <v>110</v>
      </c>
    </row>
    <row r="1075" spans="1:7" x14ac:dyDescent="0.25">
      <c r="A1075" s="17">
        <v>43294</v>
      </c>
      <c r="B1075" t="s">
        <v>101</v>
      </c>
      <c r="C1075" t="s">
        <v>96</v>
      </c>
      <c r="D1075">
        <v>3</v>
      </c>
      <c r="E1075">
        <v>230</v>
      </c>
      <c r="F1075">
        <v>0.06</v>
      </c>
      <c r="G1075" t="s">
        <v>112</v>
      </c>
    </row>
    <row r="1076" spans="1:7" x14ac:dyDescent="0.25">
      <c r="A1076" s="17">
        <v>43294</v>
      </c>
      <c r="B1076" t="s">
        <v>95</v>
      </c>
      <c r="C1076" t="s">
        <v>104</v>
      </c>
      <c r="D1076">
        <v>20</v>
      </c>
      <c r="E1076">
        <v>80</v>
      </c>
      <c r="F1076">
        <v>7.0000000000000007E-2</v>
      </c>
      <c r="G1076" t="s">
        <v>113</v>
      </c>
    </row>
    <row r="1077" spans="1:7" x14ac:dyDescent="0.25">
      <c r="A1077" s="17">
        <v>43294</v>
      </c>
      <c r="B1077" t="s">
        <v>101</v>
      </c>
      <c r="C1077" t="s">
        <v>99</v>
      </c>
      <c r="D1077">
        <v>14</v>
      </c>
      <c r="E1077">
        <v>230</v>
      </c>
      <c r="F1077">
        <v>0.05</v>
      </c>
      <c r="G1077" t="s">
        <v>114</v>
      </c>
    </row>
    <row r="1078" spans="1:7" x14ac:dyDescent="0.25">
      <c r="A1078" s="17">
        <v>43294</v>
      </c>
      <c r="B1078" t="s">
        <v>98</v>
      </c>
      <c r="C1078" t="s">
        <v>109</v>
      </c>
      <c r="D1078">
        <v>16</v>
      </c>
      <c r="E1078">
        <v>40</v>
      </c>
      <c r="F1078">
        <v>0.09</v>
      </c>
      <c r="G1078" t="s">
        <v>115</v>
      </c>
    </row>
    <row r="1079" spans="1:7" x14ac:dyDescent="0.25">
      <c r="A1079" s="17">
        <v>43294</v>
      </c>
      <c r="B1079" t="s">
        <v>108</v>
      </c>
      <c r="C1079" t="s">
        <v>99</v>
      </c>
      <c r="D1079">
        <v>7</v>
      </c>
      <c r="E1079">
        <v>16</v>
      </c>
      <c r="F1079">
        <v>0.08</v>
      </c>
      <c r="G1079" t="s">
        <v>116</v>
      </c>
    </row>
    <row r="1080" spans="1:7" x14ac:dyDescent="0.25">
      <c r="A1080" s="17">
        <v>43294</v>
      </c>
      <c r="B1080" t="s">
        <v>98</v>
      </c>
      <c r="C1080" t="s">
        <v>99</v>
      </c>
      <c r="D1080">
        <v>19</v>
      </c>
      <c r="E1080">
        <v>40</v>
      </c>
      <c r="F1080">
        <v>0.1</v>
      </c>
      <c r="G1080" t="s">
        <v>97</v>
      </c>
    </row>
    <row r="1081" spans="1:7" x14ac:dyDescent="0.25">
      <c r="A1081" s="17">
        <v>43294</v>
      </c>
      <c r="B1081" t="s">
        <v>101</v>
      </c>
      <c r="C1081" t="s">
        <v>106</v>
      </c>
      <c r="D1081">
        <v>7</v>
      </c>
      <c r="E1081">
        <v>230</v>
      </c>
      <c r="F1081">
        <v>0.06</v>
      </c>
      <c r="G1081" t="s">
        <v>100</v>
      </c>
    </row>
    <row r="1082" spans="1:7" x14ac:dyDescent="0.25">
      <c r="A1082" s="17">
        <v>43294</v>
      </c>
      <c r="B1082" t="s">
        <v>98</v>
      </c>
      <c r="C1082" t="s">
        <v>109</v>
      </c>
      <c r="D1082">
        <v>20</v>
      </c>
      <c r="E1082">
        <v>40</v>
      </c>
      <c r="F1082">
        <v>0.03</v>
      </c>
      <c r="G1082" t="s">
        <v>102</v>
      </c>
    </row>
    <row r="1083" spans="1:7" x14ac:dyDescent="0.25">
      <c r="A1083" s="17">
        <v>43294</v>
      </c>
      <c r="B1083" t="s">
        <v>108</v>
      </c>
      <c r="C1083" t="s">
        <v>104</v>
      </c>
      <c r="D1083">
        <v>11</v>
      </c>
      <c r="E1083">
        <v>16</v>
      </c>
      <c r="F1083">
        <v>0.12</v>
      </c>
      <c r="G1083" t="s">
        <v>103</v>
      </c>
    </row>
    <row r="1084" spans="1:7" x14ac:dyDescent="0.25">
      <c r="A1084" s="17">
        <v>43294</v>
      </c>
      <c r="B1084" t="s">
        <v>95</v>
      </c>
      <c r="C1084" t="s">
        <v>109</v>
      </c>
      <c r="D1084">
        <v>16</v>
      </c>
      <c r="E1084">
        <v>80</v>
      </c>
      <c r="F1084">
        <v>0.09</v>
      </c>
      <c r="G1084" t="s">
        <v>105</v>
      </c>
    </row>
    <row r="1085" spans="1:7" x14ac:dyDescent="0.25">
      <c r="A1085" s="17">
        <v>43294</v>
      </c>
      <c r="B1085" t="s">
        <v>108</v>
      </c>
      <c r="C1085" t="s">
        <v>96</v>
      </c>
      <c r="D1085">
        <v>21</v>
      </c>
      <c r="E1085">
        <v>16</v>
      </c>
      <c r="F1085">
        <v>0.09</v>
      </c>
      <c r="G1085" t="s">
        <v>107</v>
      </c>
    </row>
    <row r="1086" spans="1:7" x14ac:dyDescent="0.25">
      <c r="A1086" s="17">
        <v>43294</v>
      </c>
      <c r="B1086" t="s">
        <v>108</v>
      </c>
      <c r="C1086" t="s">
        <v>96</v>
      </c>
      <c r="D1086">
        <v>22</v>
      </c>
      <c r="E1086">
        <v>16</v>
      </c>
      <c r="F1086">
        <v>0.01</v>
      </c>
      <c r="G1086" t="s">
        <v>100</v>
      </c>
    </row>
    <row r="1087" spans="1:7" x14ac:dyDescent="0.25">
      <c r="A1087" s="17">
        <v>43294</v>
      </c>
      <c r="B1087" t="s">
        <v>101</v>
      </c>
      <c r="C1087" t="s">
        <v>106</v>
      </c>
      <c r="D1087">
        <v>23</v>
      </c>
      <c r="E1087">
        <v>230</v>
      </c>
      <c r="F1087">
        <v>0.06</v>
      </c>
      <c r="G1087" t="s">
        <v>102</v>
      </c>
    </row>
    <row r="1088" spans="1:7" x14ac:dyDescent="0.25">
      <c r="A1088" s="17">
        <v>43294</v>
      </c>
      <c r="B1088" t="s">
        <v>111</v>
      </c>
      <c r="C1088" t="s">
        <v>96</v>
      </c>
      <c r="D1088">
        <v>9</v>
      </c>
      <c r="E1088">
        <v>150</v>
      </c>
      <c r="F1088">
        <v>0.1</v>
      </c>
      <c r="G1088" t="s">
        <v>103</v>
      </c>
    </row>
    <row r="1089" spans="1:7" x14ac:dyDescent="0.25">
      <c r="A1089" s="17">
        <v>43294</v>
      </c>
      <c r="B1089" t="s">
        <v>111</v>
      </c>
      <c r="C1089" t="s">
        <v>104</v>
      </c>
      <c r="D1089">
        <v>9</v>
      </c>
      <c r="E1089">
        <v>150</v>
      </c>
      <c r="F1089">
        <v>0.06</v>
      </c>
      <c r="G1089" t="s">
        <v>105</v>
      </c>
    </row>
    <row r="1090" spans="1:7" x14ac:dyDescent="0.25">
      <c r="A1090" s="17">
        <v>43295</v>
      </c>
      <c r="B1090" t="s">
        <v>101</v>
      </c>
      <c r="C1090" t="s">
        <v>96</v>
      </c>
      <c r="D1090">
        <v>9</v>
      </c>
      <c r="E1090">
        <v>230</v>
      </c>
      <c r="F1090">
        <v>7.0000000000000007E-2</v>
      </c>
      <c r="G1090" t="s">
        <v>107</v>
      </c>
    </row>
    <row r="1091" spans="1:7" x14ac:dyDescent="0.25">
      <c r="A1091" s="17">
        <v>43295</v>
      </c>
      <c r="B1091" t="s">
        <v>95</v>
      </c>
      <c r="C1091" t="s">
        <v>104</v>
      </c>
      <c r="D1091">
        <v>10</v>
      </c>
      <c r="E1091">
        <v>80</v>
      </c>
      <c r="F1091">
        <v>0.08</v>
      </c>
      <c r="G1091" t="s">
        <v>110</v>
      </c>
    </row>
    <row r="1092" spans="1:7" x14ac:dyDescent="0.25">
      <c r="A1092" s="17">
        <v>43295</v>
      </c>
      <c r="B1092" t="s">
        <v>108</v>
      </c>
      <c r="C1092" t="s">
        <v>104</v>
      </c>
      <c r="D1092">
        <v>23</v>
      </c>
      <c r="E1092">
        <v>16</v>
      </c>
      <c r="F1092">
        <v>0.11</v>
      </c>
      <c r="G1092" t="s">
        <v>112</v>
      </c>
    </row>
    <row r="1093" spans="1:7" x14ac:dyDescent="0.25">
      <c r="A1093" s="17">
        <v>43295</v>
      </c>
      <c r="B1093" t="s">
        <v>95</v>
      </c>
      <c r="C1093" t="s">
        <v>106</v>
      </c>
      <c r="D1093">
        <v>22</v>
      </c>
      <c r="E1093">
        <v>80</v>
      </c>
      <c r="F1093">
        <v>0.03</v>
      </c>
      <c r="G1093" t="s">
        <v>113</v>
      </c>
    </row>
    <row r="1094" spans="1:7" x14ac:dyDescent="0.25">
      <c r="A1094" s="17">
        <v>43295</v>
      </c>
      <c r="B1094" t="s">
        <v>95</v>
      </c>
      <c r="C1094" t="s">
        <v>106</v>
      </c>
      <c r="D1094">
        <v>4</v>
      </c>
      <c r="E1094">
        <v>80</v>
      </c>
      <c r="F1094">
        <v>0.11</v>
      </c>
      <c r="G1094" t="s">
        <v>114</v>
      </c>
    </row>
    <row r="1095" spans="1:7" x14ac:dyDescent="0.25">
      <c r="A1095" s="17">
        <v>43295</v>
      </c>
      <c r="B1095" t="s">
        <v>108</v>
      </c>
      <c r="C1095" t="s">
        <v>96</v>
      </c>
      <c r="D1095">
        <v>22</v>
      </c>
      <c r="E1095">
        <v>16</v>
      </c>
      <c r="F1095">
        <v>0.06</v>
      </c>
      <c r="G1095" t="s">
        <v>115</v>
      </c>
    </row>
    <row r="1096" spans="1:7" x14ac:dyDescent="0.25">
      <c r="A1096" s="17">
        <v>43295</v>
      </c>
      <c r="B1096" t="s">
        <v>98</v>
      </c>
      <c r="C1096" t="s">
        <v>99</v>
      </c>
      <c r="D1096">
        <v>15</v>
      </c>
      <c r="E1096">
        <v>40</v>
      </c>
      <c r="F1096">
        <v>0.02</v>
      </c>
      <c r="G1096" t="s">
        <v>116</v>
      </c>
    </row>
    <row r="1097" spans="1:7" x14ac:dyDescent="0.25">
      <c r="A1097" s="17">
        <v>43295</v>
      </c>
      <c r="B1097" t="s">
        <v>98</v>
      </c>
      <c r="C1097" t="s">
        <v>109</v>
      </c>
      <c r="D1097">
        <v>7</v>
      </c>
      <c r="E1097">
        <v>40</v>
      </c>
      <c r="F1097">
        <v>0.04</v>
      </c>
      <c r="G1097" t="s">
        <v>97</v>
      </c>
    </row>
    <row r="1098" spans="1:7" x14ac:dyDescent="0.25">
      <c r="A1098" s="17">
        <v>43295</v>
      </c>
      <c r="B1098" t="s">
        <v>108</v>
      </c>
      <c r="C1098" t="s">
        <v>109</v>
      </c>
      <c r="D1098">
        <v>2</v>
      </c>
      <c r="E1098">
        <v>16</v>
      </c>
      <c r="F1098">
        <v>0.04</v>
      </c>
      <c r="G1098" t="s">
        <v>100</v>
      </c>
    </row>
    <row r="1099" spans="1:7" x14ac:dyDescent="0.25">
      <c r="A1099" s="17">
        <v>43295</v>
      </c>
      <c r="B1099" t="s">
        <v>95</v>
      </c>
      <c r="C1099" t="s">
        <v>106</v>
      </c>
      <c r="D1099">
        <v>7</v>
      </c>
      <c r="E1099">
        <v>80</v>
      </c>
      <c r="F1099">
        <v>0.02</v>
      </c>
      <c r="G1099" t="s">
        <v>102</v>
      </c>
    </row>
    <row r="1100" spans="1:7" x14ac:dyDescent="0.25">
      <c r="A1100" s="17">
        <v>43296</v>
      </c>
      <c r="B1100" t="s">
        <v>108</v>
      </c>
      <c r="C1100" t="s">
        <v>109</v>
      </c>
      <c r="D1100">
        <v>22</v>
      </c>
      <c r="E1100">
        <v>16</v>
      </c>
      <c r="F1100">
        <v>0.12</v>
      </c>
      <c r="G1100" t="s">
        <v>103</v>
      </c>
    </row>
    <row r="1101" spans="1:7" x14ac:dyDescent="0.25">
      <c r="A1101" s="17">
        <v>43296</v>
      </c>
      <c r="B1101" t="s">
        <v>98</v>
      </c>
      <c r="C1101" t="s">
        <v>99</v>
      </c>
      <c r="D1101">
        <v>21</v>
      </c>
      <c r="E1101">
        <v>40</v>
      </c>
      <c r="F1101">
        <v>0.03</v>
      </c>
      <c r="G1101" t="s">
        <v>105</v>
      </c>
    </row>
    <row r="1102" spans="1:7" x14ac:dyDescent="0.25">
      <c r="A1102" s="17">
        <v>43296</v>
      </c>
      <c r="B1102" t="s">
        <v>95</v>
      </c>
      <c r="C1102" t="s">
        <v>96</v>
      </c>
      <c r="D1102">
        <v>6</v>
      </c>
      <c r="E1102">
        <v>80</v>
      </c>
      <c r="F1102">
        <v>0.01</v>
      </c>
      <c r="G1102" t="s">
        <v>107</v>
      </c>
    </row>
    <row r="1103" spans="1:7" x14ac:dyDescent="0.25">
      <c r="A1103" s="17">
        <v>43296</v>
      </c>
      <c r="B1103" t="s">
        <v>95</v>
      </c>
      <c r="C1103" t="s">
        <v>109</v>
      </c>
      <c r="D1103">
        <v>13</v>
      </c>
      <c r="E1103">
        <v>80</v>
      </c>
      <c r="F1103">
        <v>0.05</v>
      </c>
      <c r="G1103" t="s">
        <v>100</v>
      </c>
    </row>
    <row r="1104" spans="1:7" x14ac:dyDescent="0.25">
      <c r="A1104" s="17">
        <v>43296</v>
      </c>
      <c r="B1104" t="s">
        <v>95</v>
      </c>
      <c r="C1104" t="s">
        <v>106</v>
      </c>
      <c r="D1104">
        <v>11</v>
      </c>
      <c r="E1104">
        <v>80</v>
      </c>
      <c r="F1104">
        <v>0.01</v>
      </c>
      <c r="G1104" t="s">
        <v>102</v>
      </c>
    </row>
    <row r="1105" spans="1:7" x14ac:dyDescent="0.25">
      <c r="A1105" s="17">
        <v>43296</v>
      </c>
      <c r="B1105" t="s">
        <v>98</v>
      </c>
      <c r="C1105" t="s">
        <v>96</v>
      </c>
      <c r="D1105">
        <v>18</v>
      </c>
      <c r="E1105">
        <v>40</v>
      </c>
      <c r="F1105">
        <v>0.06</v>
      </c>
      <c r="G1105" t="s">
        <v>103</v>
      </c>
    </row>
    <row r="1106" spans="1:7" x14ac:dyDescent="0.25">
      <c r="A1106" s="17">
        <v>43296</v>
      </c>
      <c r="B1106" t="s">
        <v>111</v>
      </c>
      <c r="C1106" t="s">
        <v>106</v>
      </c>
      <c r="D1106">
        <v>7</v>
      </c>
      <c r="E1106">
        <v>150</v>
      </c>
      <c r="F1106">
        <v>0.05</v>
      </c>
      <c r="G1106" t="s">
        <v>105</v>
      </c>
    </row>
    <row r="1107" spans="1:7" x14ac:dyDescent="0.25">
      <c r="A1107" s="17">
        <v>43296</v>
      </c>
      <c r="B1107" t="s">
        <v>98</v>
      </c>
      <c r="C1107" t="s">
        <v>96</v>
      </c>
      <c r="D1107">
        <v>2</v>
      </c>
      <c r="E1107">
        <v>40</v>
      </c>
      <c r="F1107">
        <v>0.12</v>
      </c>
      <c r="G1107" t="s">
        <v>107</v>
      </c>
    </row>
    <row r="1108" spans="1:7" x14ac:dyDescent="0.25">
      <c r="A1108" s="17">
        <v>43296</v>
      </c>
      <c r="B1108" t="s">
        <v>95</v>
      </c>
      <c r="C1108" t="s">
        <v>99</v>
      </c>
      <c r="D1108">
        <v>14</v>
      </c>
      <c r="E1108">
        <v>80</v>
      </c>
      <c r="F1108">
        <v>0.06</v>
      </c>
      <c r="G1108" t="s">
        <v>110</v>
      </c>
    </row>
    <row r="1109" spans="1:7" x14ac:dyDescent="0.25">
      <c r="A1109" s="17">
        <v>43296</v>
      </c>
      <c r="B1109" t="s">
        <v>111</v>
      </c>
      <c r="C1109" t="s">
        <v>109</v>
      </c>
      <c r="D1109">
        <v>7</v>
      </c>
      <c r="E1109">
        <v>150</v>
      </c>
      <c r="F1109">
        <v>0.03</v>
      </c>
      <c r="G1109" t="s">
        <v>112</v>
      </c>
    </row>
    <row r="1110" spans="1:7" x14ac:dyDescent="0.25">
      <c r="A1110" s="17">
        <v>43296</v>
      </c>
      <c r="B1110" t="s">
        <v>108</v>
      </c>
      <c r="C1110" t="s">
        <v>106</v>
      </c>
      <c r="D1110">
        <v>10</v>
      </c>
      <c r="E1110">
        <v>16</v>
      </c>
      <c r="F1110">
        <v>0.01</v>
      </c>
      <c r="G1110" t="s">
        <v>113</v>
      </c>
    </row>
    <row r="1111" spans="1:7" x14ac:dyDescent="0.25">
      <c r="A1111" s="17">
        <v>43297</v>
      </c>
      <c r="B1111" t="s">
        <v>98</v>
      </c>
      <c r="C1111" t="s">
        <v>99</v>
      </c>
      <c r="D1111">
        <v>7</v>
      </c>
      <c r="E1111">
        <v>40</v>
      </c>
      <c r="F1111">
        <v>0.01</v>
      </c>
      <c r="G1111" t="s">
        <v>114</v>
      </c>
    </row>
    <row r="1112" spans="1:7" x14ac:dyDescent="0.25">
      <c r="A1112" s="17">
        <v>43297</v>
      </c>
      <c r="B1112" t="s">
        <v>108</v>
      </c>
      <c r="C1112" t="s">
        <v>106</v>
      </c>
      <c r="D1112">
        <v>7</v>
      </c>
      <c r="E1112">
        <v>16</v>
      </c>
      <c r="F1112">
        <v>0.08</v>
      </c>
      <c r="G1112" t="s">
        <v>115</v>
      </c>
    </row>
    <row r="1113" spans="1:7" x14ac:dyDescent="0.25">
      <c r="A1113" s="17">
        <v>43297</v>
      </c>
      <c r="B1113" t="s">
        <v>111</v>
      </c>
      <c r="C1113" t="s">
        <v>104</v>
      </c>
      <c r="D1113">
        <v>15</v>
      </c>
      <c r="E1113">
        <v>150</v>
      </c>
      <c r="F1113">
        <v>0.05</v>
      </c>
      <c r="G1113" t="s">
        <v>116</v>
      </c>
    </row>
    <row r="1114" spans="1:7" x14ac:dyDescent="0.25">
      <c r="A1114" s="17">
        <v>43297</v>
      </c>
      <c r="B1114" t="s">
        <v>95</v>
      </c>
      <c r="C1114" t="s">
        <v>96</v>
      </c>
      <c r="D1114">
        <v>7</v>
      </c>
      <c r="E1114">
        <v>80</v>
      </c>
      <c r="F1114">
        <v>0.02</v>
      </c>
      <c r="G1114" t="s">
        <v>97</v>
      </c>
    </row>
    <row r="1115" spans="1:7" x14ac:dyDescent="0.25">
      <c r="A1115" s="17">
        <v>43297</v>
      </c>
      <c r="B1115" t="s">
        <v>98</v>
      </c>
      <c r="C1115" t="s">
        <v>104</v>
      </c>
      <c r="D1115">
        <v>6</v>
      </c>
      <c r="E1115">
        <v>40</v>
      </c>
      <c r="F1115">
        <v>0.06</v>
      </c>
      <c r="G1115" t="s">
        <v>100</v>
      </c>
    </row>
    <row r="1116" spans="1:7" x14ac:dyDescent="0.25">
      <c r="A1116" s="17">
        <v>43297</v>
      </c>
      <c r="B1116" t="s">
        <v>101</v>
      </c>
      <c r="C1116" t="s">
        <v>96</v>
      </c>
      <c r="D1116">
        <v>3</v>
      </c>
      <c r="E1116">
        <v>230</v>
      </c>
      <c r="F1116">
        <v>0.06</v>
      </c>
      <c r="G1116" t="s">
        <v>102</v>
      </c>
    </row>
    <row r="1117" spans="1:7" x14ac:dyDescent="0.25">
      <c r="A1117" s="17">
        <v>43297</v>
      </c>
      <c r="B1117" t="s">
        <v>111</v>
      </c>
      <c r="C1117" t="s">
        <v>104</v>
      </c>
      <c r="D1117">
        <v>20</v>
      </c>
      <c r="E1117">
        <v>150</v>
      </c>
      <c r="F1117">
        <v>0.04</v>
      </c>
      <c r="G1117" t="s">
        <v>103</v>
      </c>
    </row>
    <row r="1118" spans="1:7" x14ac:dyDescent="0.25">
      <c r="A1118" s="17">
        <v>43297</v>
      </c>
      <c r="B1118" t="s">
        <v>101</v>
      </c>
      <c r="C1118" t="s">
        <v>104</v>
      </c>
      <c r="D1118">
        <v>20</v>
      </c>
      <c r="E1118">
        <v>230</v>
      </c>
      <c r="F1118">
        <v>0.06</v>
      </c>
      <c r="G1118" t="s">
        <v>105</v>
      </c>
    </row>
    <row r="1119" spans="1:7" x14ac:dyDescent="0.25">
      <c r="A1119" s="17">
        <v>43297</v>
      </c>
      <c r="B1119" t="s">
        <v>108</v>
      </c>
      <c r="C1119" t="s">
        <v>104</v>
      </c>
      <c r="D1119">
        <v>14</v>
      </c>
      <c r="E1119">
        <v>16</v>
      </c>
      <c r="F1119">
        <v>0.01</v>
      </c>
      <c r="G1119" t="s">
        <v>107</v>
      </c>
    </row>
    <row r="1120" spans="1:7" x14ac:dyDescent="0.25">
      <c r="A1120" s="17">
        <v>43297</v>
      </c>
      <c r="B1120" t="s">
        <v>111</v>
      </c>
      <c r="C1120" t="s">
        <v>104</v>
      </c>
      <c r="D1120">
        <v>20</v>
      </c>
      <c r="E1120">
        <v>150</v>
      </c>
      <c r="F1120">
        <v>0.04</v>
      </c>
      <c r="G1120" t="s">
        <v>100</v>
      </c>
    </row>
    <row r="1121" spans="1:7" x14ac:dyDescent="0.25">
      <c r="A1121" s="17">
        <v>43297</v>
      </c>
      <c r="B1121" t="s">
        <v>95</v>
      </c>
      <c r="C1121" t="s">
        <v>96</v>
      </c>
      <c r="D1121">
        <v>17</v>
      </c>
      <c r="E1121">
        <v>80</v>
      </c>
      <c r="F1121">
        <v>0.09</v>
      </c>
      <c r="G1121" t="s">
        <v>102</v>
      </c>
    </row>
    <row r="1122" spans="1:7" x14ac:dyDescent="0.25">
      <c r="A1122" s="17">
        <v>43298</v>
      </c>
      <c r="B1122" t="s">
        <v>111</v>
      </c>
      <c r="C1122" t="s">
        <v>104</v>
      </c>
      <c r="D1122">
        <v>20</v>
      </c>
      <c r="E1122">
        <v>150</v>
      </c>
      <c r="F1122">
        <v>0.12</v>
      </c>
      <c r="G1122" t="s">
        <v>103</v>
      </c>
    </row>
    <row r="1123" spans="1:7" x14ac:dyDescent="0.25">
      <c r="A1123" s="17">
        <v>43298</v>
      </c>
      <c r="B1123" t="s">
        <v>108</v>
      </c>
      <c r="C1123" t="s">
        <v>104</v>
      </c>
      <c r="D1123">
        <v>11</v>
      </c>
      <c r="E1123">
        <v>16</v>
      </c>
      <c r="F1123">
        <v>0.04</v>
      </c>
      <c r="G1123" t="s">
        <v>105</v>
      </c>
    </row>
    <row r="1124" spans="1:7" x14ac:dyDescent="0.25">
      <c r="A1124" s="17">
        <v>43298</v>
      </c>
      <c r="B1124" t="s">
        <v>101</v>
      </c>
      <c r="C1124" t="s">
        <v>109</v>
      </c>
      <c r="D1124">
        <v>7</v>
      </c>
      <c r="E1124">
        <v>230</v>
      </c>
      <c r="F1124">
        <v>0.05</v>
      </c>
      <c r="G1124" t="s">
        <v>107</v>
      </c>
    </row>
    <row r="1125" spans="1:7" x14ac:dyDescent="0.25">
      <c r="A1125" s="17">
        <v>43298</v>
      </c>
      <c r="B1125" t="s">
        <v>98</v>
      </c>
      <c r="C1125" t="s">
        <v>99</v>
      </c>
      <c r="D1125">
        <v>14</v>
      </c>
      <c r="E1125">
        <v>40</v>
      </c>
      <c r="F1125">
        <v>0.06</v>
      </c>
      <c r="G1125" t="s">
        <v>110</v>
      </c>
    </row>
    <row r="1126" spans="1:7" x14ac:dyDescent="0.25">
      <c r="A1126" s="17">
        <v>43298</v>
      </c>
      <c r="B1126" t="s">
        <v>95</v>
      </c>
      <c r="C1126" t="s">
        <v>99</v>
      </c>
      <c r="D1126">
        <v>13</v>
      </c>
      <c r="E1126">
        <v>80</v>
      </c>
      <c r="F1126">
        <v>0.06</v>
      </c>
      <c r="G1126" t="s">
        <v>112</v>
      </c>
    </row>
    <row r="1127" spans="1:7" x14ac:dyDescent="0.25">
      <c r="A1127" s="17">
        <v>43298</v>
      </c>
      <c r="B1127" t="s">
        <v>108</v>
      </c>
      <c r="C1127" t="s">
        <v>104</v>
      </c>
      <c r="D1127">
        <v>17</v>
      </c>
      <c r="E1127">
        <v>16</v>
      </c>
      <c r="F1127">
        <v>0.05</v>
      </c>
      <c r="G1127" t="s">
        <v>113</v>
      </c>
    </row>
    <row r="1128" spans="1:7" x14ac:dyDescent="0.25">
      <c r="A1128" s="17">
        <v>43298</v>
      </c>
      <c r="B1128" t="s">
        <v>101</v>
      </c>
      <c r="C1128" t="s">
        <v>104</v>
      </c>
      <c r="D1128">
        <v>12</v>
      </c>
      <c r="E1128">
        <v>230</v>
      </c>
      <c r="F1128">
        <v>0.03</v>
      </c>
      <c r="G1128" t="s">
        <v>114</v>
      </c>
    </row>
    <row r="1129" spans="1:7" x14ac:dyDescent="0.25">
      <c r="A1129" s="17">
        <v>43298</v>
      </c>
      <c r="B1129" t="s">
        <v>98</v>
      </c>
      <c r="C1129" t="s">
        <v>99</v>
      </c>
      <c r="D1129">
        <v>4</v>
      </c>
      <c r="E1129">
        <v>40</v>
      </c>
      <c r="F1129">
        <v>0.12</v>
      </c>
      <c r="G1129" t="s">
        <v>115</v>
      </c>
    </row>
    <row r="1130" spans="1:7" x14ac:dyDescent="0.25">
      <c r="A1130" s="17">
        <v>43298</v>
      </c>
      <c r="B1130" t="s">
        <v>108</v>
      </c>
      <c r="C1130" t="s">
        <v>96</v>
      </c>
      <c r="D1130">
        <v>20</v>
      </c>
      <c r="E1130">
        <v>16</v>
      </c>
      <c r="F1130">
        <v>0.01</v>
      </c>
      <c r="G1130" t="s">
        <v>116</v>
      </c>
    </row>
    <row r="1131" spans="1:7" x14ac:dyDescent="0.25">
      <c r="A1131" s="17">
        <v>43298</v>
      </c>
      <c r="B1131" t="s">
        <v>95</v>
      </c>
      <c r="C1131" t="s">
        <v>106</v>
      </c>
      <c r="D1131">
        <v>8</v>
      </c>
      <c r="E1131">
        <v>80</v>
      </c>
      <c r="F1131">
        <v>0.06</v>
      </c>
      <c r="G1131" t="s">
        <v>97</v>
      </c>
    </row>
    <row r="1132" spans="1:7" x14ac:dyDescent="0.25">
      <c r="A1132" s="17">
        <v>43298</v>
      </c>
      <c r="B1132" t="s">
        <v>95</v>
      </c>
      <c r="C1132" t="s">
        <v>96</v>
      </c>
      <c r="D1132">
        <v>18</v>
      </c>
      <c r="E1132">
        <v>80</v>
      </c>
      <c r="F1132">
        <v>0.02</v>
      </c>
      <c r="G1132" t="s">
        <v>100</v>
      </c>
    </row>
    <row r="1133" spans="1:7" x14ac:dyDescent="0.25">
      <c r="A1133" s="17">
        <v>43298</v>
      </c>
      <c r="B1133" t="s">
        <v>108</v>
      </c>
      <c r="C1133" t="s">
        <v>104</v>
      </c>
      <c r="D1133">
        <v>6</v>
      </c>
      <c r="E1133">
        <v>16</v>
      </c>
      <c r="F1133">
        <v>0.06</v>
      </c>
      <c r="G1133" t="s">
        <v>102</v>
      </c>
    </row>
    <row r="1134" spans="1:7" x14ac:dyDescent="0.25">
      <c r="A1134" s="17">
        <v>43298</v>
      </c>
      <c r="B1134" t="s">
        <v>95</v>
      </c>
      <c r="C1134" t="s">
        <v>96</v>
      </c>
      <c r="D1134">
        <v>9</v>
      </c>
      <c r="E1134">
        <v>80</v>
      </c>
      <c r="F1134">
        <v>0.04</v>
      </c>
      <c r="G1134" t="s">
        <v>103</v>
      </c>
    </row>
    <row r="1135" spans="1:7" x14ac:dyDescent="0.25">
      <c r="A1135" s="17">
        <v>43299</v>
      </c>
      <c r="B1135" t="s">
        <v>95</v>
      </c>
      <c r="C1135" t="s">
        <v>104</v>
      </c>
      <c r="D1135">
        <v>8</v>
      </c>
      <c r="E1135">
        <v>80</v>
      </c>
      <c r="F1135">
        <v>0.02</v>
      </c>
      <c r="G1135" t="s">
        <v>105</v>
      </c>
    </row>
    <row r="1136" spans="1:7" x14ac:dyDescent="0.25">
      <c r="A1136" s="17">
        <v>43299</v>
      </c>
      <c r="B1136" t="s">
        <v>111</v>
      </c>
      <c r="C1136" t="s">
        <v>106</v>
      </c>
      <c r="D1136">
        <v>6</v>
      </c>
      <c r="E1136">
        <v>150</v>
      </c>
      <c r="F1136">
        <v>0.03</v>
      </c>
      <c r="G1136" t="s">
        <v>107</v>
      </c>
    </row>
    <row r="1137" spans="1:7" x14ac:dyDescent="0.25">
      <c r="A1137" s="17">
        <v>43299</v>
      </c>
      <c r="B1137" t="s">
        <v>108</v>
      </c>
      <c r="C1137" t="s">
        <v>106</v>
      </c>
      <c r="D1137">
        <v>14</v>
      </c>
      <c r="E1137">
        <v>16</v>
      </c>
      <c r="F1137">
        <v>0.12</v>
      </c>
      <c r="G1137" t="s">
        <v>100</v>
      </c>
    </row>
    <row r="1138" spans="1:7" x14ac:dyDescent="0.25">
      <c r="A1138" s="17">
        <v>43299</v>
      </c>
      <c r="B1138" t="s">
        <v>95</v>
      </c>
      <c r="C1138" t="s">
        <v>104</v>
      </c>
      <c r="D1138">
        <v>6</v>
      </c>
      <c r="E1138">
        <v>80</v>
      </c>
      <c r="F1138">
        <v>0.09</v>
      </c>
      <c r="G1138" t="s">
        <v>102</v>
      </c>
    </row>
    <row r="1139" spans="1:7" x14ac:dyDescent="0.25">
      <c r="A1139" s="17">
        <v>43299</v>
      </c>
      <c r="B1139" t="s">
        <v>98</v>
      </c>
      <c r="C1139" t="s">
        <v>109</v>
      </c>
      <c r="D1139">
        <v>23</v>
      </c>
      <c r="E1139">
        <v>40</v>
      </c>
      <c r="F1139">
        <v>0.04</v>
      </c>
      <c r="G1139" t="s">
        <v>103</v>
      </c>
    </row>
    <row r="1140" spans="1:7" x14ac:dyDescent="0.25">
      <c r="A1140" s="17">
        <v>43299</v>
      </c>
      <c r="B1140" t="s">
        <v>98</v>
      </c>
      <c r="C1140" t="s">
        <v>104</v>
      </c>
      <c r="D1140">
        <v>12</v>
      </c>
      <c r="E1140">
        <v>40</v>
      </c>
      <c r="F1140">
        <v>0.02</v>
      </c>
      <c r="G1140" t="s">
        <v>105</v>
      </c>
    </row>
    <row r="1141" spans="1:7" x14ac:dyDescent="0.25">
      <c r="A1141" s="17">
        <v>43299</v>
      </c>
      <c r="B1141" t="s">
        <v>98</v>
      </c>
      <c r="C1141" t="s">
        <v>106</v>
      </c>
      <c r="D1141">
        <v>22</v>
      </c>
      <c r="E1141">
        <v>40</v>
      </c>
      <c r="F1141">
        <v>0.01</v>
      </c>
      <c r="G1141" t="s">
        <v>107</v>
      </c>
    </row>
    <row r="1142" spans="1:7" x14ac:dyDescent="0.25">
      <c r="A1142" s="17">
        <v>43299</v>
      </c>
      <c r="B1142" t="s">
        <v>111</v>
      </c>
      <c r="C1142" t="s">
        <v>106</v>
      </c>
      <c r="D1142">
        <v>6</v>
      </c>
      <c r="E1142">
        <v>150</v>
      </c>
      <c r="F1142">
        <v>0.03</v>
      </c>
      <c r="G1142" t="s">
        <v>110</v>
      </c>
    </row>
    <row r="1143" spans="1:7" x14ac:dyDescent="0.25">
      <c r="A1143" s="17">
        <v>43299</v>
      </c>
      <c r="B1143" t="s">
        <v>108</v>
      </c>
      <c r="C1143" t="s">
        <v>109</v>
      </c>
      <c r="D1143">
        <v>19</v>
      </c>
      <c r="E1143">
        <v>16</v>
      </c>
      <c r="F1143">
        <v>0.02</v>
      </c>
      <c r="G1143" t="s">
        <v>112</v>
      </c>
    </row>
    <row r="1144" spans="1:7" x14ac:dyDescent="0.25">
      <c r="A1144" s="17">
        <v>43299</v>
      </c>
      <c r="B1144" t="s">
        <v>98</v>
      </c>
      <c r="C1144" t="s">
        <v>104</v>
      </c>
      <c r="D1144">
        <v>2</v>
      </c>
      <c r="E1144">
        <v>40</v>
      </c>
      <c r="F1144">
        <v>0.02</v>
      </c>
      <c r="G1144" t="s">
        <v>113</v>
      </c>
    </row>
    <row r="1145" spans="1:7" x14ac:dyDescent="0.25">
      <c r="A1145" s="17">
        <v>43300</v>
      </c>
      <c r="B1145" t="s">
        <v>98</v>
      </c>
      <c r="C1145" t="s">
        <v>106</v>
      </c>
      <c r="D1145">
        <v>22</v>
      </c>
      <c r="E1145">
        <v>40</v>
      </c>
      <c r="F1145">
        <v>0.01</v>
      </c>
      <c r="G1145" t="s">
        <v>114</v>
      </c>
    </row>
    <row r="1146" spans="1:7" x14ac:dyDescent="0.25">
      <c r="A1146" s="17">
        <v>43300</v>
      </c>
      <c r="B1146" t="s">
        <v>101</v>
      </c>
      <c r="C1146" t="s">
        <v>106</v>
      </c>
      <c r="D1146">
        <v>3</v>
      </c>
      <c r="E1146">
        <v>230</v>
      </c>
      <c r="F1146">
        <v>0.01</v>
      </c>
      <c r="G1146" t="s">
        <v>115</v>
      </c>
    </row>
    <row r="1147" spans="1:7" x14ac:dyDescent="0.25">
      <c r="A1147" s="17">
        <v>43300</v>
      </c>
      <c r="B1147" t="s">
        <v>98</v>
      </c>
      <c r="C1147" t="s">
        <v>106</v>
      </c>
      <c r="D1147">
        <v>23</v>
      </c>
      <c r="E1147">
        <v>40</v>
      </c>
      <c r="F1147">
        <v>0.06</v>
      </c>
      <c r="G1147" t="s">
        <v>116</v>
      </c>
    </row>
    <row r="1148" spans="1:7" x14ac:dyDescent="0.25">
      <c r="A1148" s="17">
        <v>43300</v>
      </c>
      <c r="B1148" t="s">
        <v>98</v>
      </c>
      <c r="C1148" t="s">
        <v>109</v>
      </c>
      <c r="D1148">
        <v>5</v>
      </c>
      <c r="E1148">
        <v>40</v>
      </c>
      <c r="F1148">
        <v>0.03</v>
      </c>
      <c r="G1148" t="s">
        <v>97</v>
      </c>
    </row>
    <row r="1149" spans="1:7" x14ac:dyDescent="0.25">
      <c r="A1149" s="17">
        <v>43300</v>
      </c>
      <c r="B1149" t="s">
        <v>95</v>
      </c>
      <c r="C1149" t="s">
        <v>96</v>
      </c>
      <c r="D1149">
        <v>8</v>
      </c>
      <c r="E1149">
        <v>80</v>
      </c>
      <c r="F1149">
        <v>0.08</v>
      </c>
      <c r="G1149" t="s">
        <v>100</v>
      </c>
    </row>
    <row r="1150" spans="1:7" x14ac:dyDescent="0.25">
      <c r="A1150" s="17">
        <v>43300</v>
      </c>
      <c r="B1150" t="s">
        <v>98</v>
      </c>
      <c r="C1150" t="s">
        <v>104</v>
      </c>
      <c r="D1150">
        <v>18</v>
      </c>
      <c r="E1150">
        <v>40</v>
      </c>
      <c r="F1150">
        <v>0.03</v>
      </c>
      <c r="G1150" t="s">
        <v>102</v>
      </c>
    </row>
    <row r="1151" spans="1:7" x14ac:dyDescent="0.25">
      <c r="A1151" s="17">
        <v>43300</v>
      </c>
      <c r="B1151" t="s">
        <v>98</v>
      </c>
      <c r="C1151" t="s">
        <v>109</v>
      </c>
      <c r="D1151">
        <v>20</v>
      </c>
      <c r="E1151">
        <v>40</v>
      </c>
      <c r="F1151">
        <v>0.1</v>
      </c>
      <c r="G1151" t="s">
        <v>103</v>
      </c>
    </row>
    <row r="1152" spans="1:7" x14ac:dyDescent="0.25">
      <c r="A1152" s="17">
        <v>43300</v>
      </c>
      <c r="B1152" t="s">
        <v>98</v>
      </c>
      <c r="C1152" t="s">
        <v>104</v>
      </c>
      <c r="D1152">
        <v>2</v>
      </c>
      <c r="E1152">
        <v>40</v>
      </c>
      <c r="F1152">
        <v>0.03</v>
      </c>
      <c r="G1152" t="s">
        <v>105</v>
      </c>
    </row>
    <row r="1153" spans="1:7" x14ac:dyDescent="0.25">
      <c r="A1153" s="17">
        <v>43300</v>
      </c>
      <c r="B1153" t="s">
        <v>101</v>
      </c>
      <c r="C1153" t="s">
        <v>96</v>
      </c>
      <c r="D1153">
        <v>15</v>
      </c>
      <c r="E1153">
        <v>230</v>
      </c>
      <c r="F1153">
        <v>0.05</v>
      </c>
      <c r="G1153" t="s">
        <v>107</v>
      </c>
    </row>
    <row r="1154" spans="1:7" x14ac:dyDescent="0.25">
      <c r="A1154" s="17">
        <v>43300</v>
      </c>
      <c r="B1154" t="s">
        <v>111</v>
      </c>
      <c r="C1154" t="s">
        <v>106</v>
      </c>
      <c r="D1154">
        <v>15</v>
      </c>
      <c r="E1154">
        <v>150</v>
      </c>
      <c r="F1154">
        <v>0.08</v>
      </c>
      <c r="G1154" t="s">
        <v>100</v>
      </c>
    </row>
    <row r="1155" spans="1:7" x14ac:dyDescent="0.25">
      <c r="A1155" s="17">
        <v>43300</v>
      </c>
      <c r="B1155" t="s">
        <v>111</v>
      </c>
      <c r="C1155" t="s">
        <v>106</v>
      </c>
      <c r="D1155">
        <v>22</v>
      </c>
      <c r="E1155">
        <v>150</v>
      </c>
      <c r="F1155">
        <v>0.05</v>
      </c>
      <c r="G1155" t="s">
        <v>102</v>
      </c>
    </row>
    <row r="1156" spans="1:7" x14ac:dyDescent="0.25">
      <c r="A1156" s="17">
        <v>43300</v>
      </c>
      <c r="B1156" t="s">
        <v>101</v>
      </c>
      <c r="C1156" t="s">
        <v>99</v>
      </c>
      <c r="D1156">
        <v>19</v>
      </c>
      <c r="E1156">
        <v>230</v>
      </c>
      <c r="F1156">
        <v>0.11</v>
      </c>
      <c r="G1156" t="s">
        <v>103</v>
      </c>
    </row>
    <row r="1157" spans="1:7" x14ac:dyDescent="0.25">
      <c r="A1157" s="17">
        <v>43300</v>
      </c>
      <c r="B1157" t="s">
        <v>95</v>
      </c>
      <c r="C1157" t="s">
        <v>99</v>
      </c>
      <c r="D1157">
        <v>10</v>
      </c>
      <c r="E1157">
        <v>80</v>
      </c>
      <c r="F1157">
        <v>0.11</v>
      </c>
      <c r="G1157" t="s">
        <v>105</v>
      </c>
    </row>
    <row r="1158" spans="1:7" x14ac:dyDescent="0.25">
      <c r="A1158" s="17">
        <v>43300</v>
      </c>
      <c r="B1158" t="s">
        <v>98</v>
      </c>
      <c r="C1158" t="s">
        <v>106</v>
      </c>
      <c r="D1158">
        <v>18</v>
      </c>
      <c r="E1158">
        <v>40</v>
      </c>
      <c r="F1158">
        <v>0.06</v>
      </c>
      <c r="G1158" t="s">
        <v>107</v>
      </c>
    </row>
    <row r="1159" spans="1:7" x14ac:dyDescent="0.25">
      <c r="A1159" s="17">
        <v>43300</v>
      </c>
      <c r="B1159" t="s">
        <v>95</v>
      </c>
      <c r="C1159" t="s">
        <v>106</v>
      </c>
      <c r="D1159">
        <v>16</v>
      </c>
      <c r="E1159">
        <v>80</v>
      </c>
      <c r="F1159">
        <v>0.05</v>
      </c>
      <c r="G1159" t="s">
        <v>110</v>
      </c>
    </row>
    <row r="1160" spans="1:7" x14ac:dyDescent="0.25">
      <c r="A1160" s="17">
        <v>43300</v>
      </c>
      <c r="B1160" t="s">
        <v>111</v>
      </c>
      <c r="C1160" t="s">
        <v>109</v>
      </c>
      <c r="D1160">
        <v>17</v>
      </c>
      <c r="E1160">
        <v>150</v>
      </c>
      <c r="F1160">
        <v>0.02</v>
      </c>
      <c r="G1160" t="s">
        <v>112</v>
      </c>
    </row>
    <row r="1161" spans="1:7" x14ac:dyDescent="0.25">
      <c r="A1161" s="17">
        <v>43301</v>
      </c>
      <c r="B1161" t="s">
        <v>101</v>
      </c>
      <c r="C1161" t="s">
        <v>96</v>
      </c>
      <c r="D1161">
        <v>8</v>
      </c>
      <c r="E1161">
        <v>230</v>
      </c>
      <c r="F1161">
        <v>0.03</v>
      </c>
      <c r="G1161" t="s">
        <v>113</v>
      </c>
    </row>
    <row r="1162" spans="1:7" x14ac:dyDescent="0.25">
      <c r="A1162" s="17">
        <v>43301</v>
      </c>
      <c r="B1162" t="s">
        <v>95</v>
      </c>
      <c r="C1162" t="s">
        <v>106</v>
      </c>
      <c r="D1162">
        <v>11</v>
      </c>
      <c r="E1162">
        <v>80</v>
      </c>
      <c r="F1162">
        <v>0.01</v>
      </c>
      <c r="G1162" t="s">
        <v>114</v>
      </c>
    </row>
    <row r="1163" spans="1:7" x14ac:dyDescent="0.25">
      <c r="A1163" s="17">
        <v>43301</v>
      </c>
      <c r="B1163" t="s">
        <v>98</v>
      </c>
      <c r="C1163" t="s">
        <v>96</v>
      </c>
      <c r="D1163">
        <v>5</v>
      </c>
      <c r="E1163">
        <v>40</v>
      </c>
      <c r="F1163">
        <v>0.06</v>
      </c>
      <c r="G1163" t="s">
        <v>115</v>
      </c>
    </row>
    <row r="1164" spans="1:7" x14ac:dyDescent="0.25">
      <c r="A1164" s="17">
        <v>43301</v>
      </c>
      <c r="B1164" t="s">
        <v>98</v>
      </c>
      <c r="C1164" t="s">
        <v>109</v>
      </c>
      <c r="D1164">
        <v>11</v>
      </c>
      <c r="E1164">
        <v>40</v>
      </c>
      <c r="F1164">
        <v>0.05</v>
      </c>
      <c r="G1164" t="s">
        <v>116</v>
      </c>
    </row>
    <row r="1165" spans="1:7" x14ac:dyDescent="0.25">
      <c r="A1165" s="17">
        <v>43301</v>
      </c>
      <c r="B1165" t="s">
        <v>111</v>
      </c>
      <c r="C1165" t="s">
        <v>106</v>
      </c>
      <c r="D1165">
        <v>20</v>
      </c>
      <c r="E1165">
        <v>150</v>
      </c>
      <c r="F1165">
        <v>0.1</v>
      </c>
      <c r="G1165" t="s">
        <v>97</v>
      </c>
    </row>
    <row r="1166" spans="1:7" x14ac:dyDescent="0.25">
      <c r="A1166" s="17">
        <v>43301</v>
      </c>
      <c r="B1166" t="s">
        <v>111</v>
      </c>
      <c r="C1166" t="s">
        <v>104</v>
      </c>
      <c r="D1166">
        <v>11</v>
      </c>
      <c r="E1166">
        <v>150</v>
      </c>
      <c r="F1166">
        <v>0.11</v>
      </c>
      <c r="G1166" t="s">
        <v>100</v>
      </c>
    </row>
    <row r="1167" spans="1:7" x14ac:dyDescent="0.25">
      <c r="A1167" s="17">
        <v>43301</v>
      </c>
      <c r="B1167" t="s">
        <v>95</v>
      </c>
      <c r="C1167" t="s">
        <v>106</v>
      </c>
      <c r="D1167">
        <v>2</v>
      </c>
      <c r="E1167">
        <v>80</v>
      </c>
      <c r="F1167">
        <v>0.08</v>
      </c>
      <c r="G1167" t="s">
        <v>102</v>
      </c>
    </row>
    <row r="1168" spans="1:7" x14ac:dyDescent="0.25">
      <c r="A1168" s="17">
        <v>43301</v>
      </c>
      <c r="B1168" t="s">
        <v>111</v>
      </c>
      <c r="C1168" t="s">
        <v>99</v>
      </c>
      <c r="D1168">
        <v>16</v>
      </c>
      <c r="E1168">
        <v>150</v>
      </c>
      <c r="F1168">
        <v>0.08</v>
      </c>
      <c r="G1168" t="s">
        <v>103</v>
      </c>
    </row>
    <row r="1169" spans="1:7" x14ac:dyDescent="0.25">
      <c r="A1169" s="17">
        <v>43301</v>
      </c>
      <c r="B1169" t="s">
        <v>108</v>
      </c>
      <c r="C1169" t="s">
        <v>96</v>
      </c>
      <c r="D1169">
        <v>20</v>
      </c>
      <c r="E1169">
        <v>16</v>
      </c>
      <c r="F1169">
        <v>0.11</v>
      </c>
      <c r="G1169" t="s">
        <v>105</v>
      </c>
    </row>
    <row r="1170" spans="1:7" x14ac:dyDescent="0.25">
      <c r="A1170" s="17">
        <v>43301</v>
      </c>
      <c r="B1170" t="s">
        <v>101</v>
      </c>
      <c r="C1170" t="s">
        <v>104</v>
      </c>
      <c r="D1170">
        <v>2</v>
      </c>
      <c r="E1170">
        <v>230</v>
      </c>
      <c r="F1170">
        <v>0.09</v>
      </c>
      <c r="G1170" t="s">
        <v>107</v>
      </c>
    </row>
    <row r="1171" spans="1:7" x14ac:dyDescent="0.25">
      <c r="A1171" s="17">
        <v>43301</v>
      </c>
      <c r="B1171" t="s">
        <v>111</v>
      </c>
      <c r="C1171" t="s">
        <v>96</v>
      </c>
      <c r="D1171">
        <v>20</v>
      </c>
      <c r="E1171">
        <v>150</v>
      </c>
      <c r="F1171">
        <v>0.04</v>
      </c>
      <c r="G1171" t="s">
        <v>100</v>
      </c>
    </row>
    <row r="1172" spans="1:7" x14ac:dyDescent="0.25">
      <c r="A1172" s="17">
        <v>43301</v>
      </c>
      <c r="B1172" t="s">
        <v>111</v>
      </c>
      <c r="C1172" t="s">
        <v>96</v>
      </c>
      <c r="D1172">
        <v>22</v>
      </c>
      <c r="E1172">
        <v>150</v>
      </c>
      <c r="F1172">
        <v>7.0000000000000007E-2</v>
      </c>
      <c r="G1172" t="s">
        <v>102</v>
      </c>
    </row>
    <row r="1173" spans="1:7" x14ac:dyDescent="0.25">
      <c r="A1173" s="17">
        <v>43301</v>
      </c>
      <c r="B1173" t="s">
        <v>111</v>
      </c>
      <c r="C1173" t="s">
        <v>104</v>
      </c>
      <c r="D1173">
        <v>22</v>
      </c>
      <c r="E1173">
        <v>150</v>
      </c>
      <c r="F1173">
        <v>0.04</v>
      </c>
      <c r="G1173" t="s">
        <v>103</v>
      </c>
    </row>
    <row r="1174" spans="1:7" x14ac:dyDescent="0.25">
      <c r="A1174" s="17">
        <v>43301</v>
      </c>
      <c r="B1174" t="s">
        <v>98</v>
      </c>
      <c r="C1174" t="s">
        <v>96</v>
      </c>
      <c r="D1174">
        <v>23</v>
      </c>
      <c r="E1174">
        <v>40</v>
      </c>
      <c r="F1174">
        <v>7.0000000000000007E-2</v>
      </c>
      <c r="G1174" t="s">
        <v>105</v>
      </c>
    </row>
    <row r="1175" spans="1:7" x14ac:dyDescent="0.25">
      <c r="A1175" s="17">
        <v>43302</v>
      </c>
      <c r="B1175" t="s">
        <v>108</v>
      </c>
      <c r="C1175" t="s">
        <v>104</v>
      </c>
      <c r="D1175">
        <v>11</v>
      </c>
      <c r="E1175">
        <v>16</v>
      </c>
      <c r="F1175">
        <v>0.04</v>
      </c>
      <c r="G1175" t="s">
        <v>107</v>
      </c>
    </row>
    <row r="1176" spans="1:7" x14ac:dyDescent="0.25">
      <c r="A1176" s="17">
        <v>43302</v>
      </c>
      <c r="B1176" t="s">
        <v>101</v>
      </c>
      <c r="C1176" t="s">
        <v>99</v>
      </c>
      <c r="D1176">
        <v>11</v>
      </c>
      <c r="E1176">
        <v>230</v>
      </c>
      <c r="F1176">
        <v>0.1</v>
      </c>
      <c r="G1176" t="s">
        <v>110</v>
      </c>
    </row>
    <row r="1177" spans="1:7" x14ac:dyDescent="0.25">
      <c r="A1177" s="17">
        <v>43302</v>
      </c>
      <c r="B1177" t="s">
        <v>101</v>
      </c>
      <c r="C1177" t="s">
        <v>96</v>
      </c>
      <c r="D1177">
        <v>7</v>
      </c>
      <c r="E1177">
        <v>230</v>
      </c>
      <c r="F1177">
        <v>0.08</v>
      </c>
      <c r="G1177" t="s">
        <v>112</v>
      </c>
    </row>
    <row r="1178" spans="1:7" x14ac:dyDescent="0.25">
      <c r="A1178" s="17">
        <v>43302</v>
      </c>
      <c r="B1178" t="s">
        <v>111</v>
      </c>
      <c r="C1178" t="s">
        <v>99</v>
      </c>
      <c r="D1178">
        <v>13</v>
      </c>
      <c r="E1178">
        <v>150</v>
      </c>
      <c r="F1178">
        <v>0.08</v>
      </c>
      <c r="G1178" t="s">
        <v>113</v>
      </c>
    </row>
    <row r="1179" spans="1:7" x14ac:dyDescent="0.25">
      <c r="A1179" s="17">
        <v>43302</v>
      </c>
      <c r="B1179" t="s">
        <v>101</v>
      </c>
      <c r="C1179" t="s">
        <v>106</v>
      </c>
      <c r="D1179">
        <v>16</v>
      </c>
      <c r="E1179">
        <v>230</v>
      </c>
      <c r="F1179">
        <v>0.11</v>
      </c>
      <c r="G1179" t="s">
        <v>114</v>
      </c>
    </row>
    <row r="1180" spans="1:7" x14ac:dyDescent="0.25">
      <c r="A1180" s="17">
        <v>43302</v>
      </c>
      <c r="B1180" t="s">
        <v>101</v>
      </c>
      <c r="C1180" t="s">
        <v>109</v>
      </c>
      <c r="D1180">
        <v>20</v>
      </c>
      <c r="E1180">
        <v>230</v>
      </c>
      <c r="F1180">
        <v>0.09</v>
      </c>
      <c r="G1180" t="s">
        <v>115</v>
      </c>
    </row>
    <row r="1181" spans="1:7" x14ac:dyDescent="0.25">
      <c r="A1181" s="17">
        <v>43302</v>
      </c>
      <c r="B1181" t="s">
        <v>98</v>
      </c>
      <c r="C1181" t="s">
        <v>104</v>
      </c>
      <c r="D1181">
        <v>20</v>
      </c>
      <c r="E1181">
        <v>40</v>
      </c>
      <c r="F1181">
        <v>0.01</v>
      </c>
      <c r="G1181" t="s">
        <v>116</v>
      </c>
    </row>
    <row r="1182" spans="1:7" x14ac:dyDescent="0.25">
      <c r="A1182" s="17">
        <v>43302</v>
      </c>
      <c r="B1182" t="s">
        <v>95</v>
      </c>
      <c r="C1182" t="s">
        <v>96</v>
      </c>
      <c r="D1182">
        <v>20</v>
      </c>
      <c r="E1182">
        <v>80</v>
      </c>
      <c r="F1182">
        <v>0.01</v>
      </c>
      <c r="G1182" t="s">
        <v>97</v>
      </c>
    </row>
    <row r="1183" spans="1:7" x14ac:dyDescent="0.25">
      <c r="A1183" s="17">
        <v>43302</v>
      </c>
      <c r="B1183" t="s">
        <v>111</v>
      </c>
      <c r="C1183" t="s">
        <v>96</v>
      </c>
      <c r="D1183">
        <v>5</v>
      </c>
      <c r="E1183">
        <v>150</v>
      </c>
      <c r="F1183">
        <v>0.11</v>
      </c>
      <c r="G1183" t="s">
        <v>100</v>
      </c>
    </row>
    <row r="1184" spans="1:7" x14ac:dyDescent="0.25">
      <c r="A1184" s="17">
        <v>43303</v>
      </c>
      <c r="B1184" t="s">
        <v>98</v>
      </c>
      <c r="C1184" t="s">
        <v>104</v>
      </c>
      <c r="D1184">
        <v>4</v>
      </c>
      <c r="E1184">
        <v>40</v>
      </c>
      <c r="F1184">
        <v>0.11</v>
      </c>
      <c r="G1184" t="s">
        <v>102</v>
      </c>
    </row>
    <row r="1185" spans="1:7" x14ac:dyDescent="0.25">
      <c r="A1185" s="17">
        <v>43303</v>
      </c>
      <c r="B1185" t="s">
        <v>108</v>
      </c>
      <c r="C1185" t="s">
        <v>96</v>
      </c>
      <c r="D1185">
        <v>7</v>
      </c>
      <c r="E1185">
        <v>16</v>
      </c>
      <c r="F1185">
        <v>0.12</v>
      </c>
      <c r="G1185" t="s">
        <v>103</v>
      </c>
    </row>
    <row r="1186" spans="1:7" x14ac:dyDescent="0.25">
      <c r="A1186" s="17">
        <v>43303</v>
      </c>
      <c r="B1186" t="s">
        <v>108</v>
      </c>
      <c r="C1186" t="s">
        <v>99</v>
      </c>
      <c r="D1186">
        <v>22</v>
      </c>
      <c r="E1186">
        <v>16</v>
      </c>
      <c r="F1186">
        <v>0.01</v>
      </c>
      <c r="G1186" t="s">
        <v>105</v>
      </c>
    </row>
    <row r="1187" spans="1:7" x14ac:dyDescent="0.25">
      <c r="A1187" s="17">
        <v>43303</v>
      </c>
      <c r="B1187" t="s">
        <v>98</v>
      </c>
      <c r="C1187" t="s">
        <v>106</v>
      </c>
      <c r="D1187">
        <v>15</v>
      </c>
      <c r="E1187">
        <v>40</v>
      </c>
      <c r="F1187">
        <v>0.03</v>
      </c>
      <c r="G1187" t="s">
        <v>107</v>
      </c>
    </row>
    <row r="1188" spans="1:7" x14ac:dyDescent="0.25">
      <c r="A1188" s="17">
        <v>43303</v>
      </c>
      <c r="B1188" t="s">
        <v>95</v>
      </c>
      <c r="C1188" t="s">
        <v>99</v>
      </c>
      <c r="D1188">
        <v>14</v>
      </c>
      <c r="E1188">
        <v>80</v>
      </c>
      <c r="F1188">
        <v>0.11</v>
      </c>
      <c r="G1188" t="s">
        <v>100</v>
      </c>
    </row>
    <row r="1189" spans="1:7" x14ac:dyDescent="0.25">
      <c r="A1189" s="17">
        <v>43303</v>
      </c>
      <c r="B1189" t="s">
        <v>108</v>
      </c>
      <c r="C1189" t="s">
        <v>99</v>
      </c>
      <c r="D1189">
        <v>15</v>
      </c>
      <c r="E1189">
        <v>16</v>
      </c>
      <c r="F1189">
        <v>0.02</v>
      </c>
      <c r="G1189" t="s">
        <v>102</v>
      </c>
    </row>
    <row r="1190" spans="1:7" x14ac:dyDescent="0.25">
      <c r="A1190" s="17">
        <v>43304</v>
      </c>
      <c r="B1190" t="s">
        <v>95</v>
      </c>
      <c r="C1190" t="s">
        <v>106</v>
      </c>
      <c r="D1190">
        <v>19</v>
      </c>
      <c r="E1190">
        <v>80</v>
      </c>
      <c r="F1190">
        <v>0.02</v>
      </c>
      <c r="G1190" t="s">
        <v>103</v>
      </c>
    </row>
    <row r="1191" spans="1:7" x14ac:dyDescent="0.25">
      <c r="A1191" s="17">
        <v>43304</v>
      </c>
      <c r="B1191" t="s">
        <v>98</v>
      </c>
      <c r="C1191" t="s">
        <v>109</v>
      </c>
      <c r="D1191">
        <v>20</v>
      </c>
      <c r="E1191">
        <v>40</v>
      </c>
      <c r="F1191">
        <v>0.05</v>
      </c>
      <c r="G1191" t="s">
        <v>105</v>
      </c>
    </row>
    <row r="1192" spans="1:7" x14ac:dyDescent="0.25">
      <c r="A1192" s="17">
        <v>43304</v>
      </c>
      <c r="B1192" t="s">
        <v>98</v>
      </c>
      <c r="C1192" t="s">
        <v>106</v>
      </c>
      <c r="D1192">
        <v>11</v>
      </c>
      <c r="E1192">
        <v>40</v>
      </c>
      <c r="F1192">
        <v>0.06</v>
      </c>
      <c r="G1192" t="s">
        <v>107</v>
      </c>
    </row>
    <row r="1193" spans="1:7" x14ac:dyDescent="0.25">
      <c r="A1193" s="17">
        <v>43304</v>
      </c>
      <c r="B1193" t="s">
        <v>111</v>
      </c>
      <c r="C1193" t="s">
        <v>104</v>
      </c>
      <c r="D1193">
        <v>11</v>
      </c>
      <c r="E1193">
        <v>150</v>
      </c>
      <c r="F1193">
        <v>0.05</v>
      </c>
      <c r="G1193" t="s">
        <v>110</v>
      </c>
    </row>
    <row r="1194" spans="1:7" x14ac:dyDescent="0.25">
      <c r="A1194" s="17">
        <v>43304</v>
      </c>
      <c r="B1194" t="s">
        <v>95</v>
      </c>
      <c r="C1194" t="s">
        <v>106</v>
      </c>
      <c r="D1194">
        <v>23</v>
      </c>
      <c r="E1194">
        <v>80</v>
      </c>
      <c r="F1194">
        <v>0.11</v>
      </c>
      <c r="G1194" t="s">
        <v>112</v>
      </c>
    </row>
    <row r="1195" spans="1:7" x14ac:dyDescent="0.25">
      <c r="A1195" s="17">
        <v>43304</v>
      </c>
      <c r="B1195" t="s">
        <v>95</v>
      </c>
      <c r="C1195" t="s">
        <v>96</v>
      </c>
      <c r="D1195">
        <v>8</v>
      </c>
      <c r="E1195">
        <v>80</v>
      </c>
      <c r="F1195">
        <v>0.09</v>
      </c>
      <c r="G1195" t="s">
        <v>113</v>
      </c>
    </row>
    <row r="1196" spans="1:7" x14ac:dyDescent="0.25">
      <c r="A1196" s="17">
        <v>43304</v>
      </c>
      <c r="B1196" t="s">
        <v>98</v>
      </c>
      <c r="C1196" t="s">
        <v>106</v>
      </c>
      <c r="D1196">
        <v>9</v>
      </c>
      <c r="E1196">
        <v>40</v>
      </c>
      <c r="F1196">
        <v>0.06</v>
      </c>
      <c r="G1196" t="s">
        <v>114</v>
      </c>
    </row>
    <row r="1197" spans="1:7" x14ac:dyDescent="0.25">
      <c r="A1197" s="17">
        <v>43304</v>
      </c>
      <c r="B1197" t="s">
        <v>101</v>
      </c>
      <c r="C1197" t="s">
        <v>109</v>
      </c>
      <c r="D1197">
        <v>13</v>
      </c>
      <c r="E1197">
        <v>230</v>
      </c>
      <c r="F1197">
        <v>0.06</v>
      </c>
      <c r="G1197" t="s">
        <v>115</v>
      </c>
    </row>
    <row r="1198" spans="1:7" x14ac:dyDescent="0.25">
      <c r="A1198" s="17">
        <v>43304</v>
      </c>
      <c r="B1198" t="s">
        <v>98</v>
      </c>
      <c r="C1198" t="s">
        <v>106</v>
      </c>
      <c r="D1198">
        <v>22</v>
      </c>
      <c r="E1198">
        <v>40</v>
      </c>
      <c r="F1198">
        <v>0.01</v>
      </c>
      <c r="G1198" t="s">
        <v>116</v>
      </c>
    </row>
    <row r="1199" spans="1:7" x14ac:dyDescent="0.25">
      <c r="A1199" s="17">
        <v>43304</v>
      </c>
      <c r="B1199" t="s">
        <v>108</v>
      </c>
      <c r="C1199" t="s">
        <v>109</v>
      </c>
      <c r="D1199">
        <v>14</v>
      </c>
      <c r="E1199">
        <v>16</v>
      </c>
      <c r="F1199">
        <v>0.06</v>
      </c>
      <c r="G1199" t="s">
        <v>97</v>
      </c>
    </row>
    <row r="1200" spans="1:7" x14ac:dyDescent="0.25">
      <c r="A1200" s="17">
        <v>43305</v>
      </c>
      <c r="B1200" t="s">
        <v>95</v>
      </c>
      <c r="C1200" t="s">
        <v>99</v>
      </c>
      <c r="D1200">
        <v>5</v>
      </c>
      <c r="E1200">
        <v>80</v>
      </c>
      <c r="F1200">
        <v>0.04</v>
      </c>
      <c r="G1200" t="s">
        <v>100</v>
      </c>
    </row>
    <row r="1201" spans="1:7" x14ac:dyDescent="0.25">
      <c r="A1201" s="17">
        <v>43305</v>
      </c>
      <c r="B1201" t="s">
        <v>111</v>
      </c>
      <c r="C1201" t="s">
        <v>109</v>
      </c>
      <c r="D1201">
        <v>18</v>
      </c>
      <c r="E1201">
        <v>150</v>
      </c>
      <c r="F1201">
        <v>0.12</v>
      </c>
      <c r="G1201" t="s">
        <v>102</v>
      </c>
    </row>
    <row r="1202" spans="1:7" x14ac:dyDescent="0.25">
      <c r="A1202" s="17">
        <v>43305</v>
      </c>
      <c r="B1202" t="s">
        <v>101</v>
      </c>
      <c r="C1202" t="s">
        <v>104</v>
      </c>
      <c r="D1202">
        <v>14</v>
      </c>
      <c r="E1202">
        <v>230</v>
      </c>
      <c r="F1202">
        <v>0.12</v>
      </c>
      <c r="G1202" t="s">
        <v>103</v>
      </c>
    </row>
    <row r="1203" spans="1:7" x14ac:dyDescent="0.25">
      <c r="A1203" s="17">
        <v>43305</v>
      </c>
      <c r="B1203" t="s">
        <v>101</v>
      </c>
      <c r="C1203" t="s">
        <v>109</v>
      </c>
      <c r="D1203">
        <v>20</v>
      </c>
      <c r="E1203">
        <v>230</v>
      </c>
      <c r="F1203">
        <v>0.11</v>
      </c>
      <c r="G1203" t="s">
        <v>105</v>
      </c>
    </row>
    <row r="1204" spans="1:7" x14ac:dyDescent="0.25">
      <c r="A1204" s="17">
        <v>43305</v>
      </c>
      <c r="B1204" t="s">
        <v>108</v>
      </c>
      <c r="C1204" t="s">
        <v>109</v>
      </c>
      <c r="D1204">
        <v>3</v>
      </c>
      <c r="E1204">
        <v>16</v>
      </c>
      <c r="F1204">
        <v>0.03</v>
      </c>
      <c r="G1204" t="s">
        <v>107</v>
      </c>
    </row>
    <row r="1205" spans="1:7" x14ac:dyDescent="0.25">
      <c r="A1205" s="17">
        <v>43305</v>
      </c>
      <c r="B1205" t="s">
        <v>101</v>
      </c>
      <c r="C1205" t="s">
        <v>104</v>
      </c>
      <c r="D1205">
        <v>20</v>
      </c>
      <c r="E1205">
        <v>230</v>
      </c>
      <c r="F1205">
        <v>0.06</v>
      </c>
      <c r="G1205" t="s">
        <v>100</v>
      </c>
    </row>
    <row r="1206" spans="1:7" x14ac:dyDescent="0.25">
      <c r="A1206" s="17">
        <v>43305</v>
      </c>
      <c r="B1206" t="s">
        <v>95</v>
      </c>
      <c r="C1206" t="s">
        <v>109</v>
      </c>
      <c r="D1206">
        <v>9</v>
      </c>
      <c r="E1206">
        <v>80</v>
      </c>
      <c r="F1206">
        <v>0.02</v>
      </c>
      <c r="G1206" t="s">
        <v>102</v>
      </c>
    </row>
    <row r="1207" spans="1:7" x14ac:dyDescent="0.25">
      <c r="A1207" s="17">
        <v>43305</v>
      </c>
      <c r="B1207" t="s">
        <v>108</v>
      </c>
      <c r="C1207" t="s">
        <v>106</v>
      </c>
      <c r="D1207">
        <v>22</v>
      </c>
      <c r="E1207">
        <v>16</v>
      </c>
      <c r="F1207">
        <v>0.03</v>
      </c>
      <c r="G1207" t="s">
        <v>103</v>
      </c>
    </row>
    <row r="1208" spans="1:7" x14ac:dyDescent="0.25">
      <c r="A1208" s="17">
        <v>43305</v>
      </c>
      <c r="B1208" t="s">
        <v>95</v>
      </c>
      <c r="C1208" t="s">
        <v>99</v>
      </c>
      <c r="D1208">
        <v>15</v>
      </c>
      <c r="E1208">
        <v>80</v>
      </c>
      <c r="F1208">
        <v>0.12</v>
      </c>
      <c r="G1208" t="s">
        <v>105</v>
      </c>
    </row>
    <row r="1209" spans="1:7" x14ac:dyDescent="0.25">
      <c r="A1209" s="17">
        <v>43305</v>
      </c>
      <c r="B1209" t="s">
        <v>111</v>
      </c>
      <c r="C1209" t="s">
        <v>96</v>
      </c>
      <c r="D1209">
        <v>11</v>
      </c>
      <c r="E1209">
        <v>150</v>
      </c>
      <c r="F1209">
        <v>0.05</v>
      </c>
      <c r="G1209" t="s">
        <v>107</v>
      </c>
    </row>
    <row r="1210" spans="1:7" x14ac:dyDescent="0.25">
      <c r="A1210" s="17">
        <v>43305</v>
      </c>
      <c r="B1210" t="s">
        <v>101</v>
      </c>
      <c r="C1210" t="s">
        <v>106</v>
      </c>
      <c r="D1210">
        <v>11</v>
      </c>
      <c r="E1210">
        <v>230</v>
      </c>
      <c r="F1210">
        <v>0.12</v>
      </c>
      <c r="G1210" t="s">
        <v>110</v>
      </c>
    </row>
    <row r="1211" spans="1:7" x14ac:dyDescent="0.25">
      <c r="A1211" s="17">
        <v>43305</v>
      </c>
      <c r="B1211" t="s">
        <v>111</v>
      </c>
      <c r="C1211" t="s">
        <v>96</v>
      </c>
      <c r="D1211">
        <v>20</v>
      </c>
      <c r="E1211">
        <v>150</v>
      </c>
      <c r="F1211">
        <v>0.01</v>
      </c>
      <c r="G1211" t="s">
        <v>112</v>
      </c>
    </row>
    <row r="1212" spans="1:7" x14ac:dyDescent="0.25">
      <c r="A1212" s="17">
        <v>43305</v>
      </c>
      <c r="B1212" t="s">
        <v>98</v>
      </c>
      <c r="C1212" t="s">
        <v>104</v>
      </c>
      <c r="D1212">
        <v>11</v>
      </c>
      <c r="E1212">
        <v>40</v>
      </c>
      <c r="F1212">
        <v>0.12</v>
      </c>
      <c r="G1212" t="s">
        <v>113</v>
      </c>
    </row>
    <row r="1213" spans="1:7" x14ac:dyDescent="0.25">
      <c r="A1213" s="17">
        <v>43306</v>
      </c>
      <c r="B1213" t="s">
        <v>101</v>
      </c>
      <c r="C1213" t="s">
        <v>104</v>
      </c>
      <c r="D1213">
        <v>12</v>
      </c>
      <c r="E1213">
        <v>230</v>
      </c>
      <c r="F1213">
        <v>0.06</v>
      </c>
      <c r="G1213" t="s">
        <v>114</v>
      </c>
    </row>
    <row r="1214" spans="1:7" x14ac:dyDescent="0.25">
      <c r="A1214" s="17">
        <v>43306</v>
      </c>
      <c r="B1214" t="s">
        <v>98</v>
      </c>
      <c r="C1214" t="s">
        <v>96</v>
      </c>
      <c r="D1214">
        <v>15</v>
      </c>
      <c r="E1214">
        <v>40</v>
      </c>
      <c r="F1214">
        <v>0.06</v>
      </c>
      <c r="G1214" t="s">
        <v>115</v>
      </c>
    </row>
    <row r="1215" spans="1:7" x14ac:dyDescent="0.25">
      <c r="A1215" s="17">
        <v>43306</v>
      </c>
      <c r="B1215" t="s">
        <v>98</v>
      </c>
      <c r="C1215" t="s">
        <v>106</v>
      </c>
      <c r="D1215">
        <v>13</v>
      </c>
      <c r="E1215">
        <v>40</v>
      </c>
      <c r="F1215">
        <v>0.09</v>
      </c>
      <c r="G1215" t="s">
        <v>116</v>
      </c>
    </row>
    <row r="1216" spans="1:7" x14ac:dyDescent="0.25">
      <c r="A1216" s="17">
        <v>43306</v>
      </c>
      <c r="B1216" t="s">
        <v>98</v>
      </c>
      <c r="C1216" t="s">
        <v>109</v>
      </c>
      <c r="D1216">
        <v>4</v>
      </c>
      <c r="E1216">
        <v>40</v>
      </c>
      <c r="F1216">
        <v>0.09</v>
      </c>
      <c r="G1216" t="s">
        <v>97</v>
      </c>
    </row>
    <row r="1217" spans="1:7" x14ac:dyDescent="0.25">
      <c r="A1217" s="17">
        <v>43306</v>
      </c>
      <c r="B1217" t="s">
        <v>101</v>
      </c>
      <c r="C1217" t="s">
        <v>106</v>
      </c>
      <c r="D1217">
        <v>18</v>
      </c>
      <c r="E1217">
        <v>230</v>
      </c>
      <c r="F1217">
        <v>0.01</v>
      </c>
      <c r="G1217" t="s">
        <v>100</v>
      </c>
    </row>
    <row r="1218" spans="1:7" x14ac:dyDescent="0.25">
      <c r="A1218" s="17">
        <v>43306</v>
      </c>
      <c r="B1218" t="s">
        <v>108</v>
      </c>
      <c r="C1218" t="s">
        <v>96</v>
      </c>
      <c r="D1218">
        <v>7</v>
      </c>
      <c r="E1218">
        <v>16</v>
      </c>
      <c r="F1218">
        <v>0.02</v>
      </c>
      <c r="G1218" t="s">
        <v>102</v>
      </c>
    </row>
    <row r="1219" spans="1:7" x14ac:dyDescent="0.25">
      <c r="A1219" s="17">
        <v>43306</v>
      </c>
      <c r="B1219" t="s">
        <v>108</v>
      </c>
      <c r="C1219" t="s">
        <v>104</v>
      </c>
      <c r="D1219">
        <v>6</v>
      </c>
      <c r="E1219">
        <v>16</v>
      </c>
      <c r="F1219">
        <v>7.0000000000000007E-2</v>
      </c>
      <c r="G1219" t="s">
        <v>103</v>
      </c>
    </row>
    <row r="1220" spans="1:7" x14ac:dyDescent="0.25">
      <c r="A1220" s="17">
        <v>43306</v>
      </c>
      <c r="B1220" t="s">
        <v>101</v>
      </c>
      <c r="C1220" t="s">
        <v>106</v>
      </c>
      <c r="D1220">
        <v>8</v>
      </c>
      <c r="E1220">
        <v>230</v>
      </c>
      <c r="F1220">
        <v>0.05</v>
      </c>
      <c r="G1220" t="s">
        <v>105</v>
      </c>
    </row>
    <row r="1221" spans="1:7" x14ac:dyDescent="0.25">
      <c r="A1221" s="17">
        <v>43306</v>
      </c>
      <c r="B1221" t="s">
        <v>108</v>
      </c>
      <c r="C1221" t="s">
        <v>104</v>
      </c>
      <c r="D1221">
        <v>12</v>
      </c>
      <c r="E1221">
        <v>16</v>
      </c>
      <c r="F1221">
        <v>0.11</v>
      </c>
      <c r="G1221" t="s">
        <v>107</v>
      </c>
    </row>
    <row r="1222" spans="1:7" x14ac:dyDescent="0.25">
      <c r="A1222" s="17">
        <v>43306</v>
      </c>
      <c r="B1222" t="s">
        <v>101</v>
      </c>
      <c r="C1222" t="s">
        <v>96</v>
      </c>
      <c r="D1222">
        <v>11</v>
      </c>
      <c r="E1222">
        <v>230</v>
      </c>
      <c r="F1222">
        <v>0.02</v>
      </c>
      <c r="G1222" t="s">
        <v>100</v>
      </c>
    </row>
    <row r="1223" spans="1:7" x14ac:dyDescent="0.25">
      <c r="A1223" s="17">
        <v>43306</v>
      </c>
      <c r="B1223" t="s">
        <v>108</v>
      </c>
      <c r="C1223" t="s">
        <v>104</v>
      </c>
      <c r="D1223">
        <v>3</v>
      </c>
      <c r="E1223">
        <v>16</v>
      </c>
      <c r="F1223">
        <v>0.05</v>
      </c>
      <c r="G1223" t="s">
        <v>102</v>
      </c>
    </row>
    <row r="1224" spans="1:7" x14ac:dyDescent="0.25">
      <c r="A1224" s="17">
        <v>43307</v>
      </c>
      <c r="B1224" t="s">
        <v>111</v>
      </c>
      <c r="C1224" t="s">
        <v>99</v>
      </c>
      <c r="D1224">
        <v>16</v>
      </c>
      <c r="E1224">
        <v>150</v>
      </c>
      <c r="F1224">
        <v>0.05</v>
      </c>
      <c r="G1224" t="s">
        <v>103</v>
      </c>
    </row>
    <row r="1225" spans="1:7" x14ac:dyDescent="0.25">
      <c r="A1225" s="17">
        <v>43307</v>
      </c>
      <c r="B1225" t="s">
        <v>101</v>
      </c>
      <c r="C1225" t="s">
        <v>106</v>
      </c>
      <c r="D1225">
        <v>8</v>
      </c>
      <c r="E1225">
        <v>230</v>
      </c>
      <c r="F1225">
        <v>0.01</v>
      </c>
      <c r="G1225" t="s">
        <v>105</v>
      </c>
    </row>
    <row r="1226" spans="1:7" x14ac:dyDescent="0.25">
      <c r="A1226" s="17">
        <v>43307</v>
      </c>
      <c r="B1226" t="s">
        <v>95</v>
      </c>
      <c r="C1226" t="s">
        <v>104</v>
      </c>
      <c r="D1226">
        <v>16</v>
      </c>
      <c r="E1226">
        <v>80</v>
      </c>
      <c r="F1226">
        <v>0.04</v>
      </c>
      <c r="G1226" t="s">
        <v>107</v>
      </c>
    </row>
    <row r="1227" spans="1:7" x14ac:dyDescent="0.25">
      <c r="A1227" s="17">
        <v>43307</v>
      </c>
      <c r="B1227" t="s">
        <v>108</v>
      </c>
      <c r="C1227" t="s">
        <v>106</v>
      </c>
      <c r="D1227">
        <v>18</v>
      </c>
      <c r="E1227">
        <v>16</v>
      </c>
      <c r="F1227">
        <v>0.04</v>
      </c>
      <c r="G1227" t="s">
        <v>110</v>
      </c>
    </row>
    <row r="1228" spans="1:7" x14ac:dyDescent="0.25">
      <c r="A1228" s="17">
        <v>43307</v>
      </c>
      <c r="B1228" t="s">
        <v>98</v>
      </c>
      <c r="C1228" t="s">
        <v>109</v>
      </c>
      <c r="D1228">
        <v>14</v>
      </c>
      <c r="E1228">
        <v>40</v>
      </c>
      <c r="F1228">
        <v>0.11</v>
      </c>
      <c r="G1228" t="s">
        <v>112</v>
      </c>
    </row>
    <row r="1229" spans="1:7" x14ac:dyDescent="0.25">
      <c r="A1229" s="17">
        <v>43307</v>
      </c>
      <c r="B1229" t="s">
        <v>108</v>
      </c>
      <c r="C1229" t="s">
        <v>99</v>
      </c>
      <c r="D1229">
        <v>21</v>
      </c>
      <c r="E1229">
        <v>16</v>
      </c>
      <c r="F1229">
        <v>0.02</v>
      </c>
      <c r="G1229" t="s">
        <v>113</v>
      </c>
    </row>
    <row r="1230" spans="1:7" x14ac:dyDescent="0.25">
      <c r="A1230" s="17">
        <v>43307</v>
      </c>
      <c r="B1230" t="s">
        <v>108</v>
      </c>
      <c r="C1230" t="s">
        <v>99</v>
      </c>
      <c r="D1230">
        <v>7</v>
      </c>
      <c r="E1230">
        <v>16</v>
      </c>
      <c r="F1230">
        <v>0.08</v>
      </c>
      <c r="G1230" t="s">
        <v>114</v>
      </c>
    </row>
    <row r="1231" spans="1:7" x14ac:dyDescent="0.25">
      <c r="A1231" s="17">
        <v>43307</v>
      </c>
      <c r="B1231" t="s">
        <v>95</v>
      </c>
      <c r="C1231" t="s">
        <v>104</v>
      </c>
      <c r="D1231">
        <v>7</v>
      </c>
      <c r="E1231">
        <v>80</v>
      </c>
      <c r="F1231">
        <v>0.05</v>
      </c>
      <c r="G1231" t="s">
        <v>115</v>
      </c>
    </row>
    <row r="1232" spans="1:7" x14ac:dyDescent="0.25">
      <c r="A1232" s="17">
        <v>43307</v>
      </c>
      <c r="B1232" t="s">
        <v>98</v>
      </c>
      <c r="C1232" t="s">
        <v>109</v>
      </c>
      <c r="D1232">
        <v>16</v>
      </c>
      <c r="E1232">
        <v>40</v>
      </c>
      <c r="F1232">
        <v>0.09</v>
      </c>
      <c r="G1232" t="s">
        <v>116</v>
      </c>
    </row>
    <row r="1233" spans="1:7" x14ac:dyDescent="0.25">
      <c r="A1233" s="17">
        <v>43307</v>
      </c>
      <c r="B1233" t="s">
        <v>101</v>
      </c>
      <c r="C1233" t="s">
        <v>109</v>
      </c>
      <c r="D1233">
        <v>22</v>
      </c>
      <c r="E1233">
        <v>230</v>
      </c>
      <c r="F1233">
        <v>0.1</v>
      </c>
      <c r="G1233" t="s">
        <v>97</v>
      </c>
    </row>
    <row r="1234" spans="1:7" x14ac:dyDescent="0.25">
      <c r="A1234" s="17">
        <v>43307</v>
      </c>
      <c r="B1234" t="s">
        <v>98</v>
      </c>
      <c r="C1234" t="s">
        <v>99</v>
      </c>
      <c r="D1234">
        <v>4</v>
      </c>
      <c r="E1234">
        <v>40</v>
      </c>
      <c r="F1234">
        <v>0.03</v>
      </c>
      <c r="G1234" t="s">
        <v>100</v>
      </c>
    </row>
    <row r="1235" spans="1:7" x14ac:dyDescent="0.25">
      <c r="A1235" s="17">
        <v>43307</v>
      </c>
      <c r="B1235" t="s">
        <v>101</v>
      </c>
      <c r="C1235" t="s">
        <v>109</v>
      </c>
      <c r="D1235">
        <v>3</v>
      </c>
      <c r="E1235">
        <v>230</v>
      </c>
      <c r="F1235">
        <v>0.1</v>
      </c>
      <c r="G1235" t="s">
        <v>102</v>
      </c>
    </row>
    <row r="1236" spans="1:7" x14ac:dyDescent="0.25">
      <c r="A1236" s="17">
        <v>43307</v>
      </c>
      <c r="B1236" t="s">
        <v>95</v>
      </c>
      <c r="C1236" t="s">
        <v>99</v>
      </c>
      <c r="D1236">
        <v>14</v>
      </c>
      <c r="E1236">
        <v>80</v>
      </c>
      <c r="F1236">
        <v>0.11</v>
      </c>
      <c r="G1236" t="s">
        <v>103</v>
      </c>
    </row>
    <row r="1237" spans="1:7" x14ac:dyDescent="0.25">
      <c r="A1237" s="17">
        <v>43308</v>
      </c>
      <c r="B1237" t="s">
        <v>98</v>
      </c>
      <c r="C1237" t="s">
        <v>109</v>
      </c>
      <c r="D1237">
        <v>21</v>
      </c>
      <c r="E1237">
        <v>40</v>
      </c>
      <c r="F1237">
        <v>0.01</v>
      </c>
      <c r="G1237" t="s">
        <v>105</v>
      </c>
    </row>
    <row r="1238" spans="1:7" x14ac:dyDescent="0.25">
      <c r="A1238" s="17">
        <v>43308</v>
      </c>
      <c r="B1238" t="s">
        <v>108</v>
      </c>
      <c r="C1238" t="s">
        <v>99</v>
      </c>
      <c r="D1238">
        <v>20</v>
      </c>
      <c r="E1238">
        <v>16</v>
      </c>
      <c r="F1238">
        <v>0.06</v>
      </c>
      <c r="G1238" t="s">
        <v>107</v>
      </c>
    </row>
    <row r="1239" spans="1:7" x14ac:dyDescent="0.25">
      <c r="A1239" s="17">
        <v>43308</v>
      </c>
      <c r="B1239" t="s">
        <v>95</v>
      </c>
      <c r="C1239" t="s">
        <v>109</v>
      </c>
      <c r="D1239">
        <v>22</v>
      </c>
      <c r="E1239">
        <v>80</v>
      </c>
      <c r="F1239">
        <v>0.11</v>
      </c>
      <c r="G1239" t="s">
        <v>100</v>
      </c>
    </row>
    <row r="1240" spans="1:7" x14ac:dyDescent="0.25">
      <c r="A1240" s="17">
        <v>43308</v>
      </c>
      <c r="B1240" t="s">
        <v>98</v>
      </c>
      <c r="C1240" t="s">
        <v>96</v>
      </c>
      <c r="D1240">
        <v>7</v>
      </c>
      <c r="E1240">
        <v>40</v>
      </c>
      <c r="F1240">
        <v>0.1</v>
      </c>
      <c r="G1240" t="s">
        <v>102</v>
      </c>
    </row>
    <row r="1241" spans="1:7" x14ac:dyDescent="0.25">
      <c r="A1241" s="17">
        <v>43308</v>
      </c>
      <c r="B1241" t="s">
        <v>111</v>
      </c>
      <c r="C1241" t="s">
        <v>99</v>
      </c>
      <c r="D1241">
        <v>16</v>
      </c>
      <c r="E1241">
        <v>150</v>
      </c>
      <c r="F1241">
        <v>0.05</v>
      </c>
      <c r="G1241" t="s">
        <v>103</v>
      </c>
    </row>
    <row r="1242" spans="1:7" x14ac:dyDescent="0.25">
      <c r="A1242" s="17">
        <v>43308</v>
      </c>
      <c r="B1242" t="s">
        <v>101</v>
      </c>
      <c r="C1242" t="s">
        <v>99</v>
      </c>
      <c r="D1242">
        <v>7</v>
      </c>
      <c r="E1242">
        <v>230</v>
      </c>
      <c r="F1242">
        <v>0.05</v>
      </c>
      <c r="G1242" t="s">
        <v>105</v>
      </c>
    </row>
    <row r="1243" spans="1:7" x14ac:dyDescent="0.25">
      <c r="A1243" s="17">
        <v>43308</v>
      </c>
      <c r="B1243" t="s">
        <v>111</v>
      </c>
      <c r="C1243" t="s">
        <v>96</v>
      </c>
      <c r="D1243">
        <v>20</v>
      </c>
      <c r="E1243">
        <v>150</v>
      </c>
      <c r="F1243">
        <v>0.03</v>
      </c>
      <c r="G1243" t="s">
        <v>107</v>
      </c>
    </row>
    <row r="1244" spans="1:7" x14ac:dyDescent="0.25">
      <c r="A1244" s="17">
        <v>43308</v>
      </c>
      <c r="B1244" t="s">
        <v>111</v>
      </c>
      <c r="C1244" t="s">
        <v>99</v>
      </c>
      <c r="D1244">
        <v>16</v>
      </c>
      <c r="E1244">
        <v>150</v>
      </c>
      <c r="F1244">
        <v>0.03</v>
      </c>
      <c r="G1244" t="s">
        <v>110</v>
      </c>
    </row>
    <row r="1245" spans="1:7" x14ac:dyDescent="0.25">
      <c r="A1245" s="17">
        <v>43308</v>
      </c>
      <c r="B1245" t="s">
        <v>108</v>
      </c>
      <c r="C1245" t="s">
        <v>106</v>
      </c>
      <c r="D1245">
        <v>10</v>
      </c>
      <c r="E1245">
        <v>16</v>
      </c>
      <c r="F1245">
        <v>0.04</v>
      </c>
      <c r="G1245" t="s">
        <v>112</v>
      </c>
    </row>
    <row r="1246" spans="1:7" x14ac:dyDescent="0.25">
      <c r="A1246" s="17">
        <v>43308</v>
      </c>
      <c r="B1246" t="s">
        <v>95</v>
      </c>
      <c r="C1246" t="s">
        <v>109</v>
      </c>
      <c r="D1246">
        <v>6</v>
      </c>
      <c r="E1246">
        <v>80</v>
      </c>
      <c r="F1246">
        <v>0.09</v>
      </c>
      <c r="G1246" t="s">
        <v>113</v>
      </c>
    </row>
    <row r="1247" spans="1:7" x14ac:dyDescent="0.25">
      <c r="A1247" s="17">
        <v>43308</v>
      </c>
      <c r="B1247" t="s">
        <v>95</v>
      </c>
      <c r="C1247" t="s">
        <v>96</v>
      </c>
      <c r="D1247">
        <v>17</v>
      </c>
      <c r="E1247">
        <v>80</v>
      </c>
      <c r="F1247">
        <v>0.09</v>
      </c>
      <c r="G1247" t="s">
        <v>114</v>
      </c>
    </row>
    <row r="1248" spans="1:7" x14ac:dyDescent="0.25">
      <c r="A1248" s="17">
        <v>43308</v>
      </c>
      <c r="B1248" t="s">
        <v>98</v>
      </c>
      <c r="C1248" t="s">
        <v>96</v>
      </c>
      <c r="D1248">
        <v>19</v>
      </c>
      <c r="E1248">
        <v>40</v>
      </c>
      <c r="F1248">
        <v>0.04</v>
      </c>
      <c r="G1248" t="s">
        <v>115</v>
      </c>
    </row>
    <row r="1249" spans="1:7" x14ac:dyDescent="0.25">
      <c r="A1249" s="17">
        <v>43308</v>
      </c>
      <c r="B1249" t="s">
        <v>98</v>
      </c>
      <c r="C1249" t="s">
        <v>109</v>
      </c>
      <c r="D1249">
        <v>16</v>
      </c>
      <c r="E1249">
        <v>40</v>
      </c>
      <c r="F1249">
        <v>0.09</v>
      </c>
      <c r="G1249" t="s">
        <v>116</v>
      </c>
    </row>
    <row r="1250" spans="1:7" x14ac:dyDescent="0.25">
      <c r="A1250" s="17">
        <v>43308</v>
      </c>
      <c r="B1250" t="s">
        <v>108</v>
      </c>
      <c r="C1250" t="s">
        <v>96</v>
      </c>
      <c r="D1250">
        <v>4</v>
      </c>
      <c r="E1250">
        <v>16</v>
      </c>
      <c r="F1250">
        <v>0.12</v>
      </c>
      <c r="G1250" t="s">
        <v>97</v>
      </c>
    </row>
    <row r="1251" spans="1:7" x14ac:dyDescent="0.25">
      <c r="A1251" s="17">
        <v>43308</v>
      </c>
      <c r="B1251" t="s">
        <v>111</v>
      </c>
      <c r="C1251" t="s">
        <v>106</v>
      </c>
      <c r="D1251">
        <v>9</v>
      </c>
      <c r="E1251">
        <v>150</v>
      </c>
      <c r="F1251">
        <v>0.02</v>
      </c>
      <c r="G1251" t="s">
        <v>100</v>
      </c>
    </row>
    <row r="1252" spans="1:7" x14ac:dyDescent="0.25">
      <c r="A1252" s="17">
        <v>43308</v>
      </c>
      <c r="B1252" t="s">
        <v>108</v>
      </c>
      <c r="C1252" t="s">
        <v>96</v>
      </c>
      <c r="D1252">
        <v>11</v>
      </c>
      <c r="E1252">
        <v>16</v>
      </c>
      <c r="F1252">
        <v>0.09</v>
      </c>
      <c r="G1252" t="s">
        <v>102</v>
      </c>
    </row>
    <row r="1253" spans="1:7" x14ac:dyDescent="0.25">
      <c r="A1253" s="17">
        <v>43308</v>
      </c>
      <c r="B1253" t="s">
        <v>95</v>
      </c>
      <c r="C1253" t="s">
        <v>99</v>
      </c>
      <c r="D1253">
        <v>17</v>
      </c>
      <c r="E1253">
        <v>80</v>
      </c>
      <c r="F1253">
        <v>0.03</v>
      </c>
      <c r="G1253" t="s">
        <v>103</v>
      </c>
    </row>
    <row r="1254" spans="1:7" x14ac:dyDescent="0.25">
      <c r="A1254" s="17">
        <v>43309</v>
      </c>
      <c r="B1254" t="s">
        <v>111</v>
      </c>
      <c r="C1254" t="s">
        <v>96</v>
      </c>
      <c r="D1254">
        <v>3</v>
      </c>
      <c r="E1254">
        <v>150</v>
      </c>
      <c r="F1254">
        <v>0.03</v>
      </c>
      <c r="G1254" t="s">
        <v>105</v>
      </c>
    </row>
    <row r="1255" spans="1:7" x14ac:dyDescent="0.25">
      <c r="A1255" s="17">
        <v>43309</v>
      </c>
      <c r="B1255" t="s">
        <v>101</v>
      </c>
      <c r="C1255" t="s">
        <v>106</v>
      </c>
      <c r="D1255">
        <v>2</v>
      </c>
      <c r="E1255">
        <v>230</v>
      </c>
      <c r="F1255">
        <v>0.08</v>
      </c>
      <c r="G1255" t="s">
        <v>107</v>
      </c>
    </row>
    <row r="1256" spans="1:7" x14ac:dyDescent="0.25">
      <c r="A1256" s="17">
        <v>43309</v>
      </c>
      <c r="B1256" t="s">
        <v>101</v>
      </c>
      <c r="C1256" t="s">
        <v>106</v>
      </c>
      <c r="D1256">
        <v>17</v>
      </c>
      <c r="E1256">
        <v>230</v>
      </c>
      <c r="F1256">
        <v>0.12</v>
      </c>
      <c r="G1256" t="s">
        <v>100</v>
      </c>
    </row>
    <row r="1257" spans="1:7" x14ac:dyDescent="0.25">
      <c r="A1257" s="17">
        <v>43309</v>
      </c>
      <c r="B1257" t="s">
        <v>111</v>
      </c>
      <c r="C1257" t="s">
        <v>99</v>
      </c>
      <c r="D1257">
        <v>2</v>
      </c>
      <c r="E1257">
        <v>150</v>
      </c>
      <c r="F1257">
        <v>0.09</v>
      </c>
      <c r="G1257" t="s">
        <v>102</v>
      </c>
    </row>
    <row r="1258" spans="1:7" x14ac:dyDescent="0.25">
      <c r="A1258" s="17">
        <v>43309</v>
      </c>
      <c r="B1258" t="s">
        <v>98</v>
      </c>
      <c r="C1258" t="s">
        <v>106</v>
      </c>
      <c r="D1258">
        <v>18</v>
      </c>
      <c r="E1258">
        <v>40</v>
      </c>
      <c r="F1258">
        <v>0.06</v>
      </c>
      <c r="G1258" t="s">
        <v>103</v>
      </c>
    </row>
    <row r="1259" spans="1:7" x14ac:dyDescent="0.25">
      <c r="A1259" s="17">
        <v>43309</v>
      </c>
      <c r="B1259" t="s">
        <v>111</v>
      </c>
      <c r="C1259" t="s">
        <v>104</v>
      </c>
      <c r="D1259">
        <v>18</v>
      </c>
      <c r="E1259">
        <v>150</v>
      </c>
      <c r="F1259">
        <v>0.06</v>
      </c>
      <c r="G1259" t="s">
        <v>105</v>
      </c>
    </row>
    <row r="1260" spans="1:7" x14ac:dyDescent="0.25">
      <c r="A1260" s="17">
        <v>43309</v>
      </c>
      <c r="B1260" t="s">
        <v>98</v>
      </c>
      <c r="C1260" t="s">
        <v>99</v>
      </c>
      <c r="D1260">
        <v>12</v>
      </c>
      <c r="E1260">
        <v>40</v>
      </c>
      <c r="F1260">
        <v>0.1</v>
      </c>
      <c r="G1260" t="s">
        <v>107</v>
      </c>
    </row>
    <row r="1261" spans="1:7" x14ac:dyDescent="0.25">
      <c r="A1261" s="17">
        <v>43309</v>
      </c>
      <c r="B1261" t="s">
        <v>95</v>
      </c>
      <c r="C1261" t="s">
        <v>96</v>
      </c>
      <c r="D1261">
        <v>21</v>
      </c>
      <c r="E1261">
        <v>80</v>
      </c>
      <c r="F1261">
        <v>0.04</v>
      </c>
      <c r="G1261" t="s">
        <v>110</v>
      </c>
    </row>
    <row r="1262" spans="1:7" x14ac:dyDescent="0.25">
      <c r="A1262" s="17">
        <v>43309</v>
      </c>
      <c r="B1262" t="s">
        <v>98</v>
      </c>
      <c r="C1262" t="s">
        <v>109</v>
      </c>
      <c r="D1262">
        <v>3</v>
      </c>
      <c r="E1262">
        <v>40</v>
      </c>
      <c r="F1262">
        <v>0.03</v>
      </c>
      <c r="G1262" t="s">
        <v>112</v>
      </c>
    </row>
    <row r="1263" spans="1:7" x14ac:dyDescent="0.25">
      <c r="A1263" s="17">
        <v>43309</v>
      </c>
      <c r="B1263" t="s">
        <v>95</v>
      </c>
      <c r="C1263" t="s">
        <v>109</v>
      </c>
      <c r="D1263">
        <v>22</v>
      </c>
      <c r="E1263">
        <v>80</v>
      </c>
      <c r="F1263">
        <v>0.1</v>
      </c>
      <c r="G1263" t="s">
        <v>113</v>
      </c>
    </row>
    <row r="1264" spans="1:7" x14ac:dyDescent="0.25">
      <c r="A1264" s="17">
        <v>43309</v>
      </c>
      <c r="B1264" t="s">
        <v>98</v>
      </c>
      <c r="C1264" t="s">
        <v>109</v>
      </c>
      <c r="D1264">
        <v>16</v>
      </c>
      <c r="E1264">
        <v>40</v>
      </c>
      <c r="F1264">
        <v>0.11</v>
      </c>
      <c r="G1264" t="s">
        <v>114</v>
      </c>
    </row>
    <row r="1265" spans="1:7" x14ac:dyDescent="0.25">
      <c r="A1265" s="17">
        <v>43309</v>
      </c>
      <c r="B1265" t="s">
        <v>108</v>
      </c>
      <c r="C1265" t="s">
        <v>96</v>
      </c>
      <c r="D1265">
        <v>11</v>
      </c>
      <c r="E1265">
        <v>16</v>
      </c>
      <c r="F1265">
        <v>0.09</v>
      </c>
      <c r="G1265" t="s">
        <v>115</v>
      </c>
    </row>
    <row r="1266" spans="1:7" x14ac:dyDescent="0.25">
      <c r="A1266" s="17">
        <v>43310</v>
      </c>
      <c r="B1266" t="s">
        <v>95</v>
      </c>
      <c r="C1266" t="s">
        <v>104</v>
      </c>
      <c r="D1266">
        <v>10</v>
      </c>
      <c r="E1266">
        <v>80</v>
      </c>
      <c r="F1266">
        <v>0.08</v>
      </c>
      <c r="G1266" t="s">
        <v>116</v>
      </c>
    </row>
    <row r="1267" spans="1:7" x14ac:dyDescent="0.25">
      <c r="A1267" s="17">
        <v>43310</v>
      </c>
      <c r="B1267" t="s">
        <v>108</v>
      </c>
      <c r="C1267" t="s">
        <v>104</v>
      </c>
      <c r="D1267">
        <v>12</v>
      </c>
      <c r="E1267">
        <v>16</v>
      </c>
      <c r="F1267">
        <v>0.03</v>
      </c>
      <c r="G1267" t="s">
        <v>97</v>
      </c>
    </row>
    <row r="1268" spans="1:7" x14ac:dyDescent="0.25">
      <c r="A1268" s="17">
        <v>43310</v>
      </c>
      <c r="B1268" t="s">
        <v>111</v>
      </c>
      <c r="C1268" t="s">
        <v>96</v>
      </c>
      <c r="D1268">
        <v>8</v>
      </c>
      <c r="E1268">
        <v>150</v>
      </c>
      <c r="F1268">
        <v>0.09</v>
      </c>
      <c r="G1268" t="s">
        <v>100</v>
      </c>
    </row>
    <row r="1269" spans="1:7" x14ac:dyDescent="0.25">
      <c r="A1269" s="17">
        <v>43310</v>
      </c>
      <c r="B1269" t="s">
        <v>98</v>
      </c>
      <c r="C1269" t="s">
        <v>109</v>
      </c>
      <c r="D1269">
        <v>10</v>
      </c>
      <c r="E1269">
        <v>40</v>
      </c>
      <c r="F1269">
        <v>0.03</v>
      </c>
      <c r="G1269" t="s">
        <v>102</v>
      </c>
    </row>
    <row r="1270" spans="1:7" x14ac:dyDescent="0.25">
      <c r="A1270" s="17">
        <v>43310</v>
      </c>
      <c r="B1270" t="s">
        <v>111</v>
      </c>
      <c r="C1270" t="s">
        <v>96</v>
      </c>
      <c r="D1270">
        <v>7</v>
      </c>
      <c r="E1270">
        <v>150</v>
      </c>
      <c r="F1270">
        <v>0.02</v>
      </c>
      <c r="G1270" t="s">
        <v>103</v>
      </c>
    </row>
    <row r="1271" spans="1:7" x14ac:dyDescent="0.25">
      <c r="A1271" s="17">
        <v>43310</v>
      </c>
      <c r="B1271" t="s">
        <v>108</v>
      </c>
      <c r="C1271" t="s">
        <v>104</v>
      </c>
      <c r="D1271">
        <v>6</v>
      </c>
      <c r="E1271">
        <v>16</v>
      </c>
      <c r="F1271">
        <v>0.01</v>
      </c>
      <c r="G1271" t="s">
        <v>105</v>
      </c>
    </row>
    <row r="1272" spans="1:7" x14ac:dyDescent="0.25">
      <c r="A1272" s="17">
        <v>43310</v>
      </c>
      <c r="B1272" t="s">
        <v>95</v>
      </c>
      <c r="C1272" t="s">
        <v>106</v>
      </c>
      <c r="D1272">
        <v>15</v>
      </c>
      <c r="E1272">
        <v>80</v>
      </c>
      <c r="F1272">
        <v>0.08</v>
      </c>
      <c r="G1272" t="s">
        <v>107</v>
      </c>
    </row>
    <row r="1273" spans="1:7" x14ac:dyDescent="0.25">
      <c r="A1273" s="17">
        <v>43310</v>
      </c>
      <c r="B1273" t="s">
        <v>108</v>
      </c>
      <c r="C1273" t="s">
        <v>109</v>
      </c>
      <c r="D1273">
        <v>13</v>
      </c>
      <c r="E1273">
        <v>16</v>
      </c>
      <c r="F1273">
        <v>7.0000000000000007E-2</v>
      </c>
      <c r="G1273" t="s">
        <v>100</v>
      </c>
    </row>
    <row r="1274" spans="1:7" x14ac:dyDescent="0.25">
      <c r="A1274" s="17">
        <v>43310</v>
      </c>
      <c r="B1274" t="s">
        <v>101</v>
      </c>
      <c r="C1274" t="s">
        <v>106</v>
      </c>
      <c r="D1274">
        <v>19</v>
      </c>
      <c r="E1274">
        <v>230</v>
      </c>
      <c r="F1274">
        <v>0.06</v>
      </c>
      <c r="G1274" t="s">
        <v>102</v>
      </c>
    </row>
    <row r="1275" spans="1:7" x14ac:dyDescent="0.25">
      <c r="A1275" s="17">
        <v>43310</v>
      </c>
      <c r="B1275" t="s">
        <v>95</v>
      </c>
      <c r="C1275" t="s">
        <v>106</v>
      </c>
      <c r="D1275">
        <v>21</v>
      </c>
      <c r="E1275">
        <v>80</v>
      </c>
      <c r="F1275">
        <v>0.05</v>
      </c>
      <c r="G1275" t="s">
        <v>103</v>
      </c>
    </row>
    <row r="1276" spans="1:7" x14ac:dyDescent="0.25">
      <c r="A1276" s="17">
        <v>43310</v>
      </c>
      <c r="B1276" t="s">
        <v>95</v>
      </c>
      <c r="C1276" t="s">
        <v>99</v>
      </c>
      <c r="D1276">
        <v>5</v>
      </c>
      <c r="E1276">
        <v>80</v>
      </c>
      <c r="F1276">
        <v>7.0000000000000007E-2</v>
      </c>
      <c r="G1276" t="s">
        <v>105</v>
      </c>
    </row>
    <row r="1277" spans="1:7" x14ac:dyDescent="0.25">
      <c r="A1277" s="17">
        <v>43310</v>
      </c>
      <c r="B1277" t="s">
        <v>108</v>
      </c>
      <c r="C1277" t="s">
        <v>104</v>
      </c>
      <c r="D1277">
        <v>8</v>
      </c>
      <c r="E1277">
        <v>16</v>
      </c>
      <c r="F1277">
        <v>0.03</v>
      </c>
      <c r="G1277" t="s">
        <v>107</v>
      </c>
    </row>
    <row r="1278" spans="1:7" x14ac:dyDescent="0.25">
      <c r="A1278" s="17">
        <v>43310</v>
      </c>
      <c r="B1278" t="s">
        <v>108</v>
      </c>
      <c r="C1278" t="s">
        <v>104</v>
      </c>
      <c r="D1278">
        <v>12</v>
      </c>
      <c r="E1278">
        <v>16</v>
      </c>
      <c r="F1278">
        <v>0.11</v>
      </c>
      <c r="G1278" t="s">
        <v>110</v>
      </c>
    </row>
    <row r="1279" spans="1:7" x14ac:dyDescent="0.25">
      <c r="A1279" s="17">
        <v>43310</v>
      </c>
      <c r="B1279" t="s">
        <v>95</v>
      </c>
      <c r="C1279" t="s">
        <v>106</v>
      </c>
      <c r="D1279">
        <v>22</v>
      </c>
      <c r="E1279">
        <v>80</v>
      </c>
      <c r="F1279">
        <v>0.03</v>
      </c>
      <c r="G1279" t="s">
        <v>112</v>
      </c>
    </row>
    <row r="1280" spans="1:7" x14ac:dyDescent="0.25">
      <c r="A1280" s="17">
        <v>43310</v>
      </c>
      <c r="B1280" t="s">
        <v>98</v>
      </c>
      <c r="C1280" t="s">
        <v>96</v>
      </c>
      <c r="D1280">
        <v>5</v>
      </c>
      <c r="E1280">
        <v>40</v>
      </c>
      <c r="F1280">
        <v>0.09</v>
      </c>
      <c r="G1280" t="s">
        <v>113</v>
      </c>
    </row>
    <row r="1281" spans="1:7" x14ac:dyDescent="0.25">
      <c r="A1281" s="17">
        <v>43311</v>
      </c>
      <c r="B1281" t="s">
        <v>111</v>
      </c>
      <c r="C1281" t="s">
        <v>99</v>
      </c>
      <c r="D1281">
        <v>23</v>
      </c>
      <c r="E1281">
        <v>150</v>
      </c>
      <c r="F1281">
        <v>0.11</v>
      </c>
      <c r="G1281" t="s">
        <v>114</v>
      </c>
    </row>
    <row r="1282" spans="1:7" x14ac:dyDescent="0.25">
      <c r="A1282" s="17">
        <v>43311</v>
      </c>
      <c r="B1282" t="s">
        <v>95</v>
      </c>
      <c r="C1282" t="s">
        <v>96</v>
      </c>
      <c r="D1282">
        <v>16</v>
      </c>
      <c r="E1282">
        <v>80</v>
      </c>
      <c r="F1282">
        <v>0.03</v>
      </c>
      <c r="G1282" t="s">
        <v>115</v>
      </c>
    </row>
    <row r="1283" spans="1:7" x14ac:dyDescent="0.25">
      <c r="A1283" s="17">
        <v>43311</v>
      </c>
      <c r="B1283" t="s">
        <v>111</v>
      </c>
      <c r="C1283" t="s">
        <v>109</v>
      </c>
      <c r="D1283">
        <v>15</v>
      </c>
      <c r="E1283">
        <v>150</v>
      </c>
      <c r="F1283">
        <v>7.0000000000000007E-2</v>
      </c>
      <c r="G1283" t="s">
        <v>116</v>
      </c>
    </row>
    <row r="1284" spans="1:7" x14ac:dyDescent="0.25">
      <c r="A1284" s="17">
        <v>43311</v>
      </c>
      <c r="B1284" t="s">
        <v>98</v>
      </c>
      <c r="C1284" t="s">
        <v>96</v>
      </c>
      <c r="D1284">
        <v>20</v>
      </c>
      <c r="E1284">
        <v>40</v>
      </c>
      <c r="F1284">
        <v>0.04</v>
      </c>
      <c r="G1284" t="s">
        <v>97</v>
      </c>
    </row>
    <row r="1285" spans="1:7" x14ac:dyDescent="0.25">
      <c r="A1285" s="17">
        <v>43311</v>
      </c>
      <c r="B1285" t="s">
        <v>101</v>
      </c>
      <c r="C1285" t="s">
        <v>104</v>
      </c>
      <c r="D1285">
        <v>10</v>
      </c>
      <c r="E1285">
        <v>230</v>
      </c>
      <c r="F1285">
        <v>0.02</v>
      </c>
      <c r="G1285" t="s">
        <v>100</v>
      </c>
    </row>
    <row r="1286" spans="1:7" x14ac:dyDescent="0.25">
      <c r="A1286" s="17">
        <v>43311</v>
      </c>
      <c r="B1286" t="s">
        <v>95</v>
      </c>
      <c r="C1286" t="s">
        <v>99</v>
      </c>
      <c r="D1286">
        <v>9</v>
      </c>
      <c r="E1286">
        <v>80</v>
      </c>
      <c r="F1286">
        <v>0.03</v>
      </c>
      <c r="G1286" t="s">
        <v>102</v>
      </c>
    </row>
    <row r="1287" spans="1:7" x14ac:dyDescent="0.25">
      <c r="A1287" s="17">
        <v>43311</v>
      </c>
      <c r="B1287" t="s">
        <v>101</v>
      </c>
      <c r="C1287" t="s">
        <v>96</v>
      </c>
      <c r="D1287">
        <v>16</v>
      </c>
      <c r="E1287">
        <v>230</v>
      </c>
      <c r="F1287">
        <v>7.0000000000000007E-2</v>
      </c>
      <c r="G1287" t="s">
        <v>103</v>
      </c>
    </row>
    <row r="1288" spans="1:7" x14ac:dyDescent="0.25">
      <c r="A1288" s="17">
        <v>43311</v>
      </c>
      <c r="B1288" t="s">
        <v>95</v>
      </c>
      <c r="C1288" t="s">
        <v>99</v>
      </c>
      <c r="D1288">
        <v>21</v>
      </c>
      <c r="E1288">
        <v>80</v>
      </c>
      <c r="F1288">
        <v>0.04</v>
      </c>
      <c r="G1288" t="s">
        <v>105</v>
      </c>
    </row>
    <row r="1289" spans="1:7" x14ac:dyDescent="0.25">
      <c r="A1289" s="17">
        <v>43311</v>
      </c>
      <c r="B1289" t="s">
        <v>95</v>
      </c>
      <c r="C1289" t="s">
        <v>99</v>
      </c>
      <c r="D1289">
        <v>9</v>
      </c>
      <c r="E1289">
        <v>80</v>
      </c>
      <c r="F1289">
        <v>0.03</v>
      </c>
      <c r="G1289" t="s">
        <v>107</v>
      </c>
    </row>
    <row r="1290" spans="1:7" x14ac:dyDescent="0.25">
      <c r="A1290" s="17">
        <v>43311</v>
      </c>
      <c r="B1290" t="s">
        <v>98</v>
      </c>
      <c r="C1290" t="s">
        <v>99</v>
      </c>
      <c r="D1290">
        <v>4</v>
      </c>
      <c r="E1290">
        <v>40</v>
      </c>
      <c r="F1290">
        <v>0.12</v>
      </c>
      <c r="G1290" t="s">
        <v>100</v>
      </c>
    </row>
    <row r="1291" spans="1:7" x14ac:dyDescent="0.25">
      <c r="A1291" s="17">
        <v>43311</v>
      </c>
      <c r="B1291" t="s">
        <v>101</v>
      </c>
      <c r="C1291" t="s">
        <v>104</v>
      </c>
      <c r="D1291">
        <v>5</v>
      </c>
      <c r="E1291">
        <v>230</v>
      </c>
      <c r="F1291">
        <v>0.01</v>
      </c>
      <c r="G1291" t="s">
        <v>102</v>
      </c>
    </row>
    <row r="1292" spans="1:7" x14ac:dyDescent="0.25">
      <c r="A1292" s="17">
        <v>43311</v>
      </c>
      <c r="B1292" t="s">
        <v>108</v>
      </c>
      <c r="C1292" t="s">
        <v>96</v>
      </c>
      <c r="D1292">
        <v>18</v>
      </c>
      <c r="E1292">
        <v>16</v>
      </c>
      <c r="F1292">
        <v>0.05</v>
      </c>
      <c r="G1292" t="s">
        <v>103</v>
      </c>
    </row>
    <row r="1293" spans="1:7" x14ac:dyDescent="0.25">
      <c r="A1293" s="17">
        <v>43312</v>
      </c>
      <c r="B1293" t="s">
        <v>95</v>
      </c>
      <c r="C1293" t="s">
        <v>104</v>
      </c>
      <c r="D1293">
        <v>6</v>
      </c>
      <c r="E1293">
        <v>80</v>
      </c>
      <c r="F1293">
        <v>0.01</v>
      </c>
      <c r="G1293" t="s">
        <v>105</v>
      </c>
    </row>
    <row r="1294" spans="1:7" x14ac:dyDescent="0.25">
      <c r="A1294" s="17">
        <v>43312</v>
      </c>
      <c r="B1294" t="s">
        <v>111</v>
      </c>
      <c r="C1294" t="s">
        <v>109</v>
      </c>
      <c r="D1294">
        <v>4</v>
      </c>
      <c r="E1294">
        <v>150</v>
      </c>
      <c r="F1294">
        <v>0.05</v>
      </c>
      <c r="G1294" t="s">
        <v>107</v>
      </c>
    </row>
    <row r="1295" spans="1:7" x14ac:dyDescent="0.25">
      <c r="A1295" s="17">
        <v>43312</v>
      </c>
      <c r="B1295" t="s">
        <v>101</v>
      </c>
      <c r="C1295" t="s">
        <v>109</v>
      </c>
      <c r="D1295">
        <v>21</v>
      </c>
      <c r="E1295">
        <v>230</v>
      </c>
      <c r="F1295">
        <v>0.05</v>
      </c>
      <c r="G1295" t="s">
        <v>110</v>
      </c>
    </row>
    <row r="1296" spans="1:7" x14ac:dyDescent="0.25">
      <c r="A1296" s="17">
        <v>43312</v>
      </c>
      <c r="B1296" t="s">
        <v>111</v>
      </c>
      <c r="C1296" t="s">
        <v>96</v>
      </c>
      <c r="D1296">
        <v>4</v>
      </c>
      <c r="E1296">
        <v>150</v>
      </c>
      <c r="F1296">
        <v>0.06</v>
      </c>
      <c r="G1296" t="s">
        <v>112</v>
      </c>
    </row>
    <row r="1297" spans="1:7" x14ac:dyDescent="0.25">
      <c r="A1297" s="17">
        <v>43312</v>
      </c>
      <c r="B1297" t="s">
        <v>95</v>
      </c>
      <c r="C1297" t="s">
        <v>99</v>
      </c>
      <c r="D1297">
        <v>2</v>
      </c>
      <c r="E1297">
        <v>80</v>
      </c>
      <c r="F1297">
        <v>0.04</v>
      </c>
      <c r="G1297" t="s">
        <v>113</v>
      </c>
    </row>
    <row r="1298" spans="1:7" x14ac:dyDescent="0.25">
      <c r="A1298" s="17">
        <v>43312</v>
      </c>
      <c r="B1298" t="s">
        <v>108</v>
      </c>
      <c r="C1298" t="s">
        <v>99</v>
      </c>
      <c r="D1298">
        <v>5</v>
      </c>
      <c r="E1298">
        <v>16</v>
      </c>
      <c r="F1298">
        <v>0.11</v>
      </c>
      <c r="G1298" t="s">
        <v>114</v>
      </c>
    </row>
    <row r="1299" spans="1:7" x14ac:dyDescent="0.25">
      <c r="A1299" s="17">
        <v>43312</v>
      </c>
      <c r="B1299" t="s">
        <v>111</v>
      </c>
      <c r="C1299" t="s">
        <v>109</v>
      </c>
      <c r="D1299">
        <v>23</v>
      </c>
      <c r="E1299">
        <v>150</v>
      </c>
      <c r="F1299">
        <v>0.08</v>
      </c>
      <c r="G1299" t="s">
        <v>115</v>
      </c>
    </row>
    <row r="1300" spans="1:7" x14ac:dyDescent="0.25">
      <c r="A1300" s="17">
        <v>43312</v>
      </c>
      <c r="B1300" t="s">
        <v>95</v>
      </c>
      <c r="C1300" t="s">
        <v>99</v>
      </c>
      <c r="D1300">
        <v>3</v>
      </c>
      <c r="E1300">
        <v>80</v>
      </c>
      <c r="F1300">
        <v>0.02</v>
      </c>
      <c r="G1300" t="s">
        <v>116</v>
      </c>
    </row>
    <row r="1301" spans="1:7" x14ac:dyDescent="0.25">
      <c r="A1301" s="17">
        <v>43312</v>
      </c>
      <c r="B1301" t="s">
        <v>101</v>
      </c>
      <c r="C1301" t="s">
        <v>109</v>
      </c>
      <c r="D1301">
        <v>17</v>
      </c>
      <c r="E1301">
        <v>230</v>
      </c>
      <c r="F1301">
        <v>0.11</v>
      </c>
      <c r="G1301" t="s">
        <v>97</v>
      </c>
    </row>
    <row r="1302" spans="1:7" x14ac:dyDescent="0.25">
      <c r="A1302" s="17">
        <v>43312</v>
      </c>
      <c r="B1302" t="s">
        <v>98</v>
      </c>
      <c r="C1302" t="s">
        <v>104</v>
      </c>
      <c r="D1302">
        <v>11</v>
      </c>
      <c r="E1302">
        <v>40</v>
      </c>
      <c r="F1302">
        <v>0.05</v>
      </c>
      <c r="G1302" t="s">
        <v>100</v>
      </c>
    </row>
    <row r="1303" spans="1:7" x14ac:dyDescent="0.25">
      <c r="A1303" s="17">
        <v>43312</v>
      </c>
      <c r="B1303" t="s">
        <v>101</v>
      </c>
      <c r="C1303" t="s">
        <v>96</v>
      </c>
      <c r="D1303">
        <v>7</v>
      </c>
      <c r="E1303">
        <v>230</v>
      </c>
      <c r="F1303">
        <v>0.02</v>
      </c>
      <c r="G1303" t="s">
        <v>102</v>
      </c>
    </row>
    <row r="1304" spans="1:7" x14ac:dyDescent="0.25">
      <c r="A1304" s="17">
        <v>43312</v>
      </c>
      <c r="B1304" t="s">
        <v>98</v>
      </c>
      <c r="C1304" t="s">
        <v>104</v>
      </c>
      <c r="D1304">
        <v>13</v>
      </c>
      <c r="E1304">
        <v>40</v>
      </c>
      <c r="F1304">
        <v>0.02</v>
      </c>
      <c r="G1304" t="s">
        <v>103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9665-9B4A-45E7-BAB0-C5DC2044BE5D}">
  <dimension ref="A1:J1301"/>
  <sheetViews>
    <sheetView zoomScale="70" zoomScaleNormal="70" workbookViewId="0">
      <selection activeCell="M31" sqref="M31"/>
    </sheetView>
  </sheetViews>
  <sheetFormatPr defaultRowHeight="15" x14ac:dyDescent="0.25"/>
  <cols>
    <col min="1" max="1" width="14.28515625" bestFit="1" customWidth="1"/>
    <col min="2" max="2" width="15.42578125" bestFit="1" customWidth="1"/>
    <col min="3" max="3" width="12.85546875" bestFit="1" customWidth="1"/>
    <col min="4" max="4" width="16.42578125" bestFit="1" customWidth="1"/>
    <col min="5" max="5" width="14.5703125" bestFit="1" customWidth="1"/>
    <col min="6" max="6" width="11" bestFit="1" customWidth="1"/>
    <col min="7" max="7" width="17.85546875" bestFit="1" customWidth="1"/>
    <col min="8" max="8" width="18.28515625" bestFit="1" customWidth="1"/>
    <col min="9" max="9" width="25.7109375" bestFit="1" customWidth="1"/>
    <col min="10" max="10" width="14.28515625" bestFit="1" customWidth="1"/>
    <col min="11" max="11" width="13.140625" bestFit="1" customWidth="1"/>
  </cols>
  <sheetData>
    <row r="1" spans="1:10" x14ac:dyDescent="0.25">
      <c r="A1" t="s">
        <v>124</v>
      </c>
      <c r="B1" t="s">
        <v>88</v>
      </c>
      <c r="C1" t="s">
        <v>89</v>
      </c>
      <c r="D1" t="s">
        <v>90</v>
      </c>
      <c r="E1" t="s">
        <v>91</v>
      </c>
      <c r="F1" t="s">
        <v>92</v>
      </c>
      <c r="G1" t="s">
        <v>123</v>
      </c>
      <c r="H1" t="s">
        <v>93</v>
      </c>
      <c r="I1" t="s">
        <v>125</v>
      </c>
      <c r="J1" t="s">
        <v>94</v>
      </c>
    </row>
    <row r="2" spans="1:10" x14ac:dyDescent="0.25">
      <c r="A2" t="s">
        <v>126</v>
      </c>
      <c r="B2" s="18">
        <v>43282</v>
      </c>
      <c r="C2" t="s">
        <v>95</v>
      </c>
      <c r="D2" t="s">
        <v>96</v>
      </c>
      <c r="E2">
        <v>6</v>
      </c>
      <c r="F2">
        <v>80</v>
      </c>
      <c r="G2">
        <v>480</v>
      </c>
      <c r="H2">
        <v>0.01</v>
      </c>
      <c r="I2">
        <v>4.8</v>
      </c>
      <c r="J2" t="s">
        <v>97</v>
      </c>
    </row>
    <row r="3" spans="1:10" x14ac:dyDescent="0.25">
      <c r="A3" t="s">
        <v>127</v>
      </c>
      <c r="B3" s="18">
        <v>43282</v>
      </c>
      <c r="C3" t="s">
        <v>98</v>
      </c>
      <c r="D3" t="s">
        <v>99</v>
      </c>
      <c r="E3">
        <v>14</v>
      </c>
      <c r="F3">
        <v>40</v>
      </c>
      <c r="G3">
        <v>560</v>
      </c>
      <c r="H3">
        <v>0.06</v>
      </c>
      <c r="I3">
        <v>33.6</v>
      </c>
      <c r="J3" t="s">
        <v>100</v>
      </c>
    </row>
    <row r="4" spans="1:10" x14ac:dyDescent="0.25">
      <c r="A4" t="s">
        <v>128</v>
      </c>
      <c r="B4" s="18">
        <v>43282</v>
      </c>
      <c r="C4" t="s">
        <v>101</v>
      </c>
      <c r="D4" t="s">
        <v>99</v>
      </c>
      <c r="E4">
        <v>22</v>
      </c>
      <c r="F4">
        <v>230</v>
      </c>
      <c r="G4">
        <v>5060</v>
      </c>
      <c r="H4">
        <v>0.11</v>
      </c>
      <c r="I4">
        <v>556.6</v>
      </c>
      <c r="J4" t="s">
        <v>102</v>
      </c>
    </row>
    <row r="5" spans="1:10" x14ac:dyDescent="0.25">
      <c r="A5" t="s">
        <v>129</v>
      </c>
      <c r="B5" s="18">
        <v>43282</v>
      </c>
      <c r="C5" t="s">
        <v>101</v>
      </c>
      <c r="D5" t="s">
        <v>96</v>
      </c>
      <c r="E5">
        <v>8</v>
      </c>
      <c r="F5">
        <v>230</v>
      </c>
      <c r="G5">
        <v>1840</v>
      </c>
      <c r="H5">
        <v>0.03</v>
      </c>
      <c r="I5">
        <v>55.199999999999996</v>
      </c>
      <c r="J5" t="s">
        <v>103</v>
      </c>
    </row>
    <row r="6" spans="1:10" x14ac:dyDescent="0.25">
      <c r="A6" t="s">
        <v>130</v>
      </c>
      <c r="B6" s="18">
        <v>43282</v>
      </c>
      <c r="C6" t="s">
        <v>101</v>
      </c>
      <c r="D6" t="s">
        <v>104</v>
      </c>
      <c r="E6">
        <v>12</v>
      </c>
      <c r="F6">
        <v>230</v>
      </c>
      <c r="G6">
        <v>2760</v>
      </c>
      <c r="H6">
        <v>0.03</v>
      </c>
      <c r="I6">
        <v>82.8</v>
      </c>
      <c r="J6" t="s">
        <v>105</v>
      </c>
    </row>
    <row r="7" spans="1:10" x14ac:dyDescent="0.25">
      <c r="A7" t="s">
        <v>131</v>
      </c>
      <c r="B7" s="18">
        <v>43282</v>
      </c>
      <c r="C7" t="s">
        <v>95</v>
      </c>
      <c r="D7" t="s">
        <v>106</v>
      </c>
      <c r="E7">
        <v>19</v>
      </c>
      <c r="F7">
        <v>80</v>
      </c>
      <c r="G7">
        <v>1520</v>
      </c>
      <c r="H7">
        <v>0.02</v>
      </c>
      <c r="I7">
        <v>30.400000000000002</v>
      </c>
      <c r="J7" t="s">
        <v>107</v>
      </c>
    </row>
    <row r="8" spans="1:10" x14ac:dyDescent="0.25">
      <c r="A8" t="s">
        <v>132</v>
      </c>
      <c r="B8" s="18">
        <v>43282</v>
      </c>
      <c r="C8" t="s">
        <v>108</v>
      </c>
      <c r="D8" t="s">
        <v>109</v>
      </c>
      <c r="E8">
        <v>17</v>
      </c>
      <c r="F8">
        <v>16</v>
      </c>
      <c r="G8">
        <v>272</v>
      </c>
      <c r="H8">
        <v>0.08</v>
      </c>
      <c r="I8">
        <v>21.76</v>
      </c>
      <c r="J8" t="s">
        <v>110</v>
      </c>
    </row>
    <row r="9" spans="1:10" x14ac:dyDescent="0.25">
      <c r="A9" t="s">
        <v>133</v>
      </c>
      <c r="B9" s="18">
        <v>43282</v>
      </c>
      <c r="C9" t="s">
        <v>111</v>
      </c>
      <c r="D9" t="s">
        <v>106</v>
      </c>
      <c r="E9">
        <v>7</v>
      </c>
      <c r="F9">
        <v>150</v>
      </c>
      <c r="G9">
        <v>1050</v>
      </c>
      <c r="H9">
        <v>0.05</v>
      </c>
      <c r="I9">
        <v>52.5</v>
      </c>
      <c r="J9" t="s">
        <v>112</v>
      </c>
    </row>
    <row r="10" spans="1:10" x14ac:dyDescent="0.25">
      <c r="A10" t="s">
        <v>134</v>
      </c>
      <c r="B10" s="18">
        <v>43282</v>
      </c>
      <c r="C10" t="s">
        <v>111</v>
      </c>
      <c r="D10" t="s">
        <v>106</v>
      </c>
      <c r="E10">
        <v>20</v>
      </c>
      <c r="F10">
        <v>150</v>
      </c>
      <c r="G10">
        <v>3000</v>
      </c>
      <c r="H10">
        <v>0.1</v>
      </c>
      <c r="I10">
        <v>300</v>
      </c>
      <c r="J10" t="s">
        <v>113</v>
      </c>
    </row>
    <row r="11" spans="1:10" x14ac:dyDescent="0.25">
      <c r="A11" t="s">
        <v>135</v>
      </c>
      <c r="B11" s="18">
        <v>43282</v>
      </c>
      <c r="C11" t="s">
        <v>108</v>
      </c>
      <c r="D11" t="s">
        <v>96</v>
      </c>
      <c r="E11">
        <v>21</v>
      </c>
      <c r="F11">
        <v>16</v>
      </c>
      <c r="G11">
        <v>336</v>
      </c>
      <c r="H11">
        <v>0.09</v>
      </c>
      <c r="I11">
        <v>30.24</v>
      </c>
      <c r="J11" t="s">
        <v>114</v>
      </c>
    </row>
    <row r="12" spans="1:10" x14ac:dyDescent="0.25">
      <c r="A12" t="s">
        <v>136</v>
      </c>
      <c r="B12" s="18">
        <v>43282</v>
      </c>
      <c r="C12" t="s">
        <v>101</v>
      </c>
      <c r="D12" t="s">
        <v>99</v>
      </c>
      <c r="E12">
        <v>7</v>
      </c>
      <c r="F12">
        <v>230</v>
      </c>
      <c r="G12">
        <v>1610</v>
      </c>
      <c r="H12">
        <v>0.01</v>
      </c>
      <c r="I12">
        <v>16.100000000000001</v>
      </c>
      <c r="J12" t="s">
        <v>115</v>
      </c>
    </row>
    <row r="13" spans="1:10" x14ac:dyDescent="0.25">
      <c r="A13" t="s">
        <v>137</v>
      </c>
      <c r="B13" s="18">
        <v>43283</v>
      </c>
      <c r="C13" t="s">
        <v>95</v>
      </c>
      <c r="D13" t="s">
        <v>106</v>
      </c>
      <c r="E13">
        <v>7</v>
      </c>
      <c r="F13">
        <v>80</v>
      </c>
      <c r="G13">
        <v>560</v>
      </c>
      <c r="H13">
        <v>7.0000000000000007E-2</v>
      </c>
      <c r="I13">
        <v>39.200000000000003</v>
      </c>
      <c r="J13" t="s">
        <v>116</v>
      </c>
    </row>
    <row r="14" spans="1:10" x14ac:dyDescent="0.25">
      <c r="A14" t="s">
        <v>138</v>
      </c>
      <c r="B14" s="18">
        <v>43283</v>
      </c>
      <c r="C14" t="s">
        <v>95</v>
      </c>
      <c r="D14" t="s">
        <v>109</v>
      </c>
      <c r="E14">
        <v>9</v>
      </c>
      <c r="F14">
        <v>80</v>
      </c>
      <c r="G14">
        <v>720</v>
      </c>
      <c r="H14">
        <v>0.02</v>
      </c>
      <c r="I14">
        <v>14.4</v>
      </c>
      <c r="J14" t="s">
        <v>97</v>
      </c>
    </row>
    <row r="15" spans="1:10" x14ac:dyDescent="0.25">
      <c r="A15" t="s">
        <v>139</v>
      </c>
      <c r="B15" s="18">
        <v>43283</v>
      </c>
      <c r="C15" t="s">
        <v>98</v>
      </c>
      <c r="D15" t="s">
        <v>109</v>
      </c>
      <c r="E15">
        <v>16</v>
      </c>
      <c r="F15">
        <v>40</v>
      </c>
      <c r="G15">
        <v>640</v>
      </c>
      <c r="H15">
        <v>0.09</v>
      </c>
      <c r="I15">
        <v>57.599999999999994</v>
      </c>
      <c r="J15" t="s">
        <v>100</v>
      </c>
    </row>
    <row r="16" spans="1:10" x14ac:dyDescent="0.25">
      <c r="A16" t="s">
        <v>140</v>
      </c>
      <c r="B16" s="18">
        <v>43283</v>
      </c>
      <c r="C16" t="s">
        <v>111</v>
      </c>
      <c r="D16" t="s">
        <v>99</v>
      </c>
      <c r="E16">
        <v>23</v>
      </c>
      <c r="F16">
        <v>150</v>
      </c>
      <c r="G16">
        <v>3450</v>
      </c>
      <c r="H16">
        <v>0.11</v>
      </c>
      <c r="I16">
        <v>379.5</v>
      </c>
      <c r="J16" t="s">
        <v>102</v>
      </c>
    </row>
    <row r="17" spans="1:10" x14ac:dyDescent="0.25">
      <c r="A17" t="s">
        <v>141</v>
      </c>
      <c r="B17" s="18">
        <v>43283</v>
      </c>
      <c r="C17" t="s">
        <v>108</v>
      </c>
      <c r="D17" t="s">
        <v>106</v>
      </c>
      <c r="E17">
        <v>22</v>
      </c>
      <c r="F17">
        <v>16</v>
      </c>
      <c r="G17">
        <v>352</v>
      </c>
      <c r="H17">
        <v>0.03</v>
      </c>
      <c r="I17">
        <v>10.559999999999999</v>
      </c>
      <c r="J17" t="s">
        <v>103</v>
      </c>
    </row>
    <row r="18" spans="1:10" x14ac:dyDescent="0.25">
      <c r="A18" t="s">
        <v>142</v>
      </c>
      <c r="B18" s="18">
        <v>43283</v>
      </c>
      <c r="C18" t="s">
        <v>98</v>
      </c>
      <c r="D18" t="s">
        <v>106</v>
      </c>
      <c r="E18">
        <v>23</v>
      </c>
      <c r="F18">
        <v>40</v>
      </c>
      <c r="G18">
        <v>920</v>
      </c>
      <c r="H18">
        <v>0.06</v>
      </c>
      <c r="I18">
        <v>55.199999999999996</v>
      </c>
      <c r="J18" t="s">
        <v>105</v>
      </c>
    </row>
    <row r="19" spans="1:10" x14ac:dyDescent="0.25">
      <c r="A19" t="s">
        <v>143</v>
      </c>
      <c r="B19" s="18">
        <v>43283</v>
      </c>
      <c r="C19" t="s">
        <v>95</v>
      </c>
      <c r="D19" t="s">
        <v>96</v>
      </c>
      <c r="E19">
        <v>20</v>
      </c>
      <c r="F19">
        <v>80</v>
      </c>
      <c r="G19">
        <v>1600</v>
      </c>
      <c r="H19">
        <v>0.01</v>
      </c>
      <c r="I19">
        <v>16</v>
      </c>
      <c r="J19" t="s">
        <v>107</v>
      </c>
    </row>
    <row r="20" spans="1:10" x14ac:dyDescent="0.25">
      <c r="A20" t="s">
        <v>144</v>
      </c>
      <c r="B20" s="18">
        <v>43284</v>
      </c>
      <c r="C20" t="s">
        <v>95</v>
      </c>
      <c r="D20" t="s">
        <v>106</v>
      </c>
      <c r="E20">
        <v>11</v>
      </c>
      <c r="F20">
        <v>80</v>
      </c>
      <c r="G20">
        <v>880</v>
      </c>
      <c r="H20">
        <v>0.01</v>
      </c>
      <c r="I20">
        <v>8.8000000000000007</v>
      </c>
      <c r="J20" t="s">
        <v>110</v>
      </c>
    </row>
    <row r="21" spans="1:10" x14ac:dyDescent="0.25">
      <c r="A21" t="s">
        <v>145</v>
      </c>
      <c r="B21" s="18">
        <v>43284</v>
      </c>
      <c r="C21" t="s">
        <v>98</v>
      </c>
      <c r="D21" t="s">
        <v>106</v>
      </c>
      <c r="E21">
        <v>9</v>
      </c>
      <c r="F21">
        <v>40</v>
      </c>
      <c r="G21">
        <v>360</v>
      </c>
      <c r="H21">
        <v>0.06</v>
      </c>
      <c r="I21">
        <v>21.599999999999998</v>
      </c>
      <c r="J21" t="s">
        <v>112</v>
      </c>
    </row>
    <row r="22" spans="1:10" x14ac:dyDescent="0.25">
      <c r="A22" t="s">
        <v>146</v>
      </c>
      <c r="B22" s="18">
        <v>43284</v>
      </c>
      <c r="C22" t="s">
        <v>95</v>
      </c>
      <c r="D22" t="s">
        <v>109</v>
      </c>
      <c r="E22">
        <v>16</v>
      </c>
      <c r="F22">
        <v>80</v>
      </c>
      <c r="G22">
        <v>1280</v>
      </c>
      <c r="H22">
        <v>0.09</v>
      </c>
      <c r="I22">
        <v>115.19999999999999</v>
      </c>
      <c r="J22" t="s">
        <v>113</v>
      </c>
    </row>
    <row r="23" spans="1:10" x14ac:dyDescent="0.25">
      <c r="A23" t="s">
        <v>147</v>
      </c>
      <c r="B23" s="18">
        <v>43284</v>
      </c>
      <c r="C23" t="s">
        <v>95</v>
      </c>
      <c r="D23" t="s">
        <v>104</v>
      </c>
      <c r="E23">
        <v>10</v>
      </c>
      <c r="F23">
        <v>80</v>
      </c>
      <c r="G23">
        <v>800</v>
      </c>
      <c r="H23">
        <v>0.08</v>
      </c>
      <c r="I23">
        <v>64</v>
      </c>
      <c r="J23" t="s">
        <v>114</v>
      </c>
    </row>
    <row r="24" spans="1:10" x14ac:dyDescent="0.25">
      <c r="A24" t="s">
        <v>148</v>
      </c>
      <c r="B24" s="18">
        <v>43284</v>
      </c>
      <c r="C24" t="s">
        <v>108</v>
      </c>
      <c r="D24" t="s">
        <v>104</v>
      </c>
      <c r="E24">
        <v>12</v>
      </c>
      <c r="F24">
        <v>16</v>
      </c>
      <c r="G24">
        <v>192</v>
      </c>
      <c r="H24">
        <v>0.11</v>
      </c>
      <c r="I24">
        <v>21.12</v>
      </c>
      <c r="J24" t="s">
        <v>115</v>
      </c>
    </row>
    <row r="25" spans="1:10" x14ac:dyDescent="0.25">
      <c r="A25" t="s">
        <v>149</v>
      </c>
      <c r="B25" s="18">
        <v>43284</v>
      </c>
      <c r="C25" t="s">
        <v>111</v>
      </c>
      <c r="D25" t="s">
        <v>106</v>
      </c>
      <c r="E25">
        <v>6</v>
      </c>
      <c r="F25">
        <v>150</v>
      </c>
      <c r="G25">
        <v>900</v>
      </c>
      <c r="H25">
        <v>0.03</v>
      </c>
      <c r="I25">
        <v>27</v>
      </c>
      <c r="J25" t="s">
        <v>116</v>
      </c>
    </row>
    <row r="26" spans="1:10" x14ac:dyDescent="0.25">
      <c r="A26" t="s">
        <v>150</v>
      </c>
      <c r="B26" s="18">
        <v>43284</v>
      </c>
      <c r="C26" t="s">
        <v>108</v>
      </c>
      <c r="D26" t="s">
        <v>104</v>
      </c>
      <c r="E26">
        <v>11</v>
      </c>
      <c r="F26">
        <v>16</v>
      </c>
      <c r="G26">
        <v>176</v>
      </c>
      <c r="H26">
        <v>0.04</v>
      </c>
      <c r="I26">
        <v>7.04</v>
      </c>
      <c r="J26" t="s">
        <v>97</v>
      </c>
    </row>
    <row r="27" spans="1:10" x14ac:dyDescent="0.25">
      <c r="A27" t="s">
        <v>151</v>
      </c>
      <c r="B27" s="18">
        <v>43284</v>
      </c>
      <c r="C27" t="s">
        <v>95</v>
      </c>
      <c r="D27" t="s">
        <v>106</v>
      </c>
      <c r="E27">
        <v>22</v>
      </c>
      <c r="F27">
        <v>80</v>
      </c>
      <c r="G27">
        <v>1760</v>
      </c>
      <c r="H27">
        <v>0.03</v>
      </c>
      <c r="I27">
        <v>52.8</v>
      </c>
      <c r="J27" t="s">
        <v>100</v>
      </c>
    </row>
    <row r="28" spans="1:10" x14ac:dyDescent="0.25">
      <c r="A28" t="s">
        <v>152</v>
      </c>
      <c r="B28" s="18">
        <v>43284</v>
      </c>
      <c r="C28" t="s">
        <v>108</v>
      </c>
      <c r="D28" t="s">
        <v>99</v>
      </c>
      <c r="E28">
        <v>7</v>
      </c>
      <c r="F28">
        <v>16</v>
      </c>
      <c r="G28">
        <v>112</v>
      </c>
      <c r="H28">
        <v>0.08</v>
      </c>
      <c r="I28">
        <v>8.9600000000000009</v>
      </c>
      <c r="J28" t="s">
        <v>102</v>
      </c>
    </row>
    <row r="29" spans="1:10" x14ac:dyDescent="0.25">
      <c r="A29" t="s">
        <v>153</v>
      </c>
      <c r="B29" s="18">
        <v>43284</v>
      </c>
      <c r="C29" t="s">
        <v>98</v>
      </c>
      <c r="D29" t="s">
        <v>106</v>
      </c>
      <c r="E29">
        <v>13</v>
      </c>
      <c r="F29">
        <v>40</v>
      </c>
      <c r="G29">
        <v>520</v>
      </c>
      <c r="H29">
        <v>0.09</v>
      </c>
      <c r="I29">
        <v>46.8</v>
      </c>
      <c r="J29" t="s">
        <v>103</v>
      </c>
    </row>
    <row r="30" spans="1:10" x14ac:dyDescent="0.25">
      <c r="A30" t="s">
        <v>154</v>
      </c>
      <c r="B30" s="18">
        <v>43284</v>
      </c>
      <c r="C30" t="s">
        <v>101</v>
      </c>
      <c r="D30" t="s">
        <v>106</v>
      </c>
      <c r="E30">
        <v>8</v>
      </c>
      <c r="F30">
        <v>230</v>
      </c>
      <c r="G30">
        <v>1840</v>
      </c>
      <c r="H30">
        <v>0.05</v>
      </c>
      <c r="I30">
        <v>92</v>
      </c>
      <c r="J30" t="s">
        <v>105</v>
      </c>
    </row>
    <row r="31" spans="1:10" x14ac:dyDescent="0.25">
      <c r="A31" t="s">
        <v>155</v>
      </c>
      <c r="B31" s="18">
        <v>43284</v>
      </c>
      <c r="C31" t="s">
        <v>108</v>
      </c>
      <c r="D31" t="s">
        <v>106</v>
      </c>
      <c r="E31">
        <v>14</v>
      </c>
      <c r="F31">
        <v>16</v>
      </c>
      <c r="G31">
        <v>224</v>
      </c>
      <c r="H31">
        <v>0.12</v>
      </c>
      <c r="I31">
        <v>26.88</v>
      </c>
      <c r="J31" t="s">
        <v>107</v>
      </c>
    </row>
    <row r="32" spans="1:10" x14ac:dyDescent="0.25">
      <c r="A32" t="s">
        <v>156</v>
      </c>
      <c r="B32" s="18">
        <v>43284</v>
      </c>
      <c r="C32" t="s">
        <v>98</v>
      </c>
      <c r="D32" t="s">
        <v>109</v>
      </c>
      <c r="E32">
        <v>16</v>
      </c>
      <c r="F32">
        <v>40</v>
      </c>
      <c r="G32">
        <v>640</v>
      </c>
      <c r="H32">
        <v>0.09</v>
      </c>
      <c r="I32">
        <v>57.599999999999994</v>
      </c>
      <c r="J32" t="s">
        <v>110</v>
      </c>
    </row>
    <row r="33" spans="1:10" x14ac:dyDescent="0.25">
      <c r="A33" t="s">
        <v>157</v>
      </c>
      <c r="B33" s="18">
        <v>43285</v>
      </c>
      <c r="C33" t="s">
        <v>111</v>
      </c>
      <c r="D33" t="s">
        <v>99</v>
      </c>
      <c r="E33">
        <v>16</v>
      </c>
      <c r="F33">
        <v>150</v>
      </c>
      <c r="G33">
        <v>2400</v>
      </c>
      <c r="H33">
        <v>0.05</v>
      </c>
      <c r="I33">
        <v>120</v>
      </c>
      <c r="J33" t="s">
        <v>112</v>
      </c>
    </row>
    <row r="34" spans="1:10" x14ac:dyDescent="0.25">
      <c r="A34" t="s">
        <v>158</v>
      </c>
      <c r="B34" s="18">
        <v>43285</v>
      </c>
      <c r="C34" t="s">
        <v>98</v>
      </c>
      <c r="D34" t="s">
        <v>99</v>
      </c>
      <c r="E34">
        <v>12</v>
      </c>
      <c r="F34">
        <v>40</v>
      </c>
      <c r="G34">
        <v>480</v>
      </c>
      <c r="H34">
        <v>0.1</v>
      </c>
      <c r="I34">
        <v>48</v>
      </c>
      <c r="J34" t="s">
        <v>113</v>
      </c>
    </row>
    <row r="35" spans="1:10" x14ac:dyDescent="0.25">
      <c r="A35" t="s">
        <v>159</v>
      </c>
      <c r="B35" s="18">
        <v>43285</v>
      </c>
      <c r="C35" t="s">
        <v>95</v>
      </c>
      <c r="D35" t="s">
        <v>109</v>
      </c>
      <c r="E35">
        <v>17</v>
      </c>
      <c r="F35">
        <v>80</v>
      </c>
      <c r="G35">
        <v>1360</v>
      </c>
      <c r="H35">
        <v>7.0000000000000007E-2</v>
      </c>
      <c r="I35">
        <v>95.2</v>
      </c>
      <c r="J35" t="s">
        <v>114</v>
      </c>
    </row>
    <row r="36" spans="1:10" x14ac:dyDescent="0.25">
      <c r="A36" t="s">
        <v>160</v>
      </c>
      <c r="B36" s="18">
        <v>43285</v>
      </c>
      <c r="C36" t="s">
        <v>101</v>
      </c>
      <c r="D36" t="s">
        <v>106</v>
      </c>
      <c r="E36">
        <v>19</v>
      </c>
      <c r="F36">
        <v>230</v>
      </c>
      <c r="G36">
        <v>4370</v>
      </c>
      <c r="H36">
        <v>0.06</v>
      </c>
      <c r="I36">
        <v>262.2</v>
      </c>
      <c r="J36" t="s">
        <v>115</v>
      </c>
    </row>
    <row r="37" spans="1:10" x14ac:dyDescent="0.25">
      <c r="A37" t="s">
        <v>161</v>
      </c>
      <c r="B37" s="18">
        <v>43285</v>
      </c>
      <c r="C37" t="s">
        <v>101</v>
      </c>
      <c r="D37" t="s">
        <v>109</v>
      </c>
      <c r="E37">
        <v>22</v>
      </c>
      <c r="F37">
        <v>230</v>
      </c>
      <c r="G37">
        <v>5060</v>
      </c>
      <c r="H37">
        <v>0.1</v>
      </c>
      <c r="I37">
        <v>506</v>
      </c>
      <c r="J37" t="s">
        <v>116</v>
      </c>
    </row>
    <row r="38" spans="1:10" x14ac:dyDescent="0.25">
      <c r="A38" t="s">
        <v>162</v>
      </c>
      <c r="B38" s="18">
        <v>43285</v>
      </c>
      <c r="C38" t="s">
        <v>98</v>
      </c>
      <c r="D38" t="s">
        <v>106</v>
      </c>
      <c r="E38">
        <v>22</v>
      </c>
      <c r="F38">
        <v>40</v>
      </c>
      <c r="G38">
        <v>880</v>
      </c>
      <c r="H38">
        <v>0.01</v>
      </c>
      <c r="I38">
        <v>8.8000000000000007</v>
      </c>
      <c r="J38" t="s">
        <v>97</v>
      </c>
    </row>
    <row r="39" spans="1:10" x14ac:dyDescent="0.25">
      <c r="A39" t="s">
        <v>163</v>
      </c>
      <c r="B39" s="18">
        <v>43285</v>
      </c>
      <c r="C39" t="s">
        <v>108</v>
      </c>
      <c r="D39" t="s">
        <v>106</v>
      </c>
      <c r="E39">
        <v>10</v>
      </c>
      <c r="F39">
        <v>16</v>
      </c>
      <c r="G39">
        <v>160</v>
      </c>
      <c r="H39">
        <v>0.04</v>
      </c>
      <c r="I39">
        <v>6.4</v>
      </c>
      <c r="J39" t="s">
        <v>100</v>
      </c>
    </row>
    <row r="40" spans="1:10" x14ac:dyDescent="0.25">
      <c r="A40" t="s">
        <v>164</v>
      </c>
      <c r="B40" s="18">
        <v>43285</v>
      </c>
      <c r="C40" t="s">
        <v>98</v>
      </c>
      <c r="D40" t="s">
        <v>99</v>
      </c>
      <c r="E40">
        <v>4</v>
      </c>
      <c r="F40">
        <v>40</v>
      </c>
      <c r="G40">
        <v>160</v>
      </c>
      <c r="H40">
        <v>0.12</v>
      </c>
      <c r="I40">
        <v>19.2</v>
      </c>
      <c r="J40" t="s">
        <v>102</v>
      </c>
    </row>
    <row r="41" spans="1:10" x14ac:dyDescent="0.25">
      <c r="A41" t="s">
        <v>165</v>
      </c>
      <c r="B41" s="18">
        <v>43285</v>
      </c>
      <c r="C41" t="s">
        <v>98</v>
      </c>
      <c r="D41" t="s">
        <v>109</v>
      </c>
      <c r="E41">
        <v>20</v>
      </c>
      <c r="F41">
        <v>40</v>
      </c>
      <c r="G41">
        <v>800</v>
      </c>
      <c r="H41">
        <v>0.05</v>
      </c>
      <c r="I41">
        <v>40</v>
      </c>
      <c r="J41" t="s">
        <v>103</v>
      </c>
    </row>
    <row r="42" spans="1:10" x14ac:dyDescent="0.25">
      <c r="A42" t="s">
        <v>166</v>
      </c>
      <c r="B42" s="18">
        <v>43286</v>
      </c>
      <c r="C42" t="s">
        <v>101</v>
      </c>
      <c r="D42" t="s">
        <v>106</v>
      </c>
      <c r="E42">
        <v>23</v>
      </c>
      <c r="F42">
        <v>230</v>
      </c>
      <c r="G42">
        <v>5290</v>
      </c>
      <c r="H42">
        <v>0.06</v>
      </c>
      <c r="I42">
        <v>317.39999999999998</v>
      </c>
      <c r="J42" t="s">
        <v>105</v>
      </c>
    </row>
    <row r="43" spans="1:10" x14ac:dyDescent="0.25">
      <c r="A43" t="s">
        <v>167</v>
      </c>
      <c r="B43" s="18">
        <v>43286</v>
      </c>
      <c r="C43" t="s">
        <v>98</v>
      </c>
      <c r="D43" t="s">
        <v>104</v>
      </c>
      <c r="E43">
        <v>20</v>
      </c>
      <c r="F43">
        <v>40</v>
      </c>
      <c r="G43">
        <v>800</v>
      </c>
      <c r="H43">
        <v>0.01</v>
      </c>
      <c r="I43">
        <v>8</v>
      </c>
      <c r="J43" t="s">
        <v>107</v>
      </c>
    </row>
    <row r="44" spans="1:10" x14ac:dyDescent="0.25">
      <c r="A44" t="s">
        <v>168</v>
      </c>
      <c r="B44" s="18">
        <v>43286</v>
      </c>
      <c r="C44" t="s">
        <v>111</v>
      </c>
      <c r="D44" t="s">
        <v>104</v>
      </c>
      <c r="E44">
        <v>20</v>
      </c>
      <c r="F44">
        <v>150</v>
      </c>
      <c r="G44">
        <v>3000</v>
      </c>
      <c r="H44">
        <v>0.04</v>
      </c>
      <c r="I44">
        <v>120</v>
      </c>
      <c r="J44" t="s">
        <v>110</v>
      </c>
    </row>
    <row r="45" spans="1:10" x14ac:dyDescent="0.25">
      <c r="A45" t="s">
        <v>169</v>
      </c>
      <c r="B45" s="18">
        <v>43286</v>
      </c>
      <c r="C45" t="s">
        <v>95</v>
      </c>
      <c r="D45" t="s">
        <v>99</v>
      </c>
      <c r="E45">
        <v>9</v>
      </c>
      <c r="F45">
        <v>80</v>
      </c>
      <c r="G45">
        <v>720</v>
      </c>
      <c r="H45">
        <v>0.03</v>
      </c>
      <c r="I45">
        <v>21.599999999999998</v>
      </c>
      <c r="J45" t="s">
        <v>112</v>
      </c>
    </row>
    <row r="46" spans="1:10" x14ac:dyDescent="0.25">
      <c r="A46" t="s">
        <v>170</v>
      </c>
      <c r="B46" s="18">
        <v>43286</v>
      </c>
      <c r="C46" t="s">
        <v>101</v>
      </c>
      <c r="D46" t="s">
        <v>96</v>
      </c>
      <c r="E46">
        <v>7</v>
      </c>
      <c r="F46">
        <v>230</v>
      </c>
      <c r="G46">
        <v>1610</v>
      </c>
      <c r="H46">
        <v>0.02</v>
      </c>
      <c r="I46">
        <v>32.200000000000003</v>
      </c>
      <c r="J46" t="s">
        <v>113</v>
      </c>
    </row>
    <row r="47" spans="1:10" x14ac:dyDescent="0.25">
      <c r="A47" t="s">
        <v>171</v>
      </c>
      <c r="B47" s="18">
        <v>43286</v>
      </c>
      <c r="C47" t="s">
        <v>101</v>
      </c>
      <c r="D47" t="s">
        <v>96</v>
      </c>
      <c r="E47">
        <v>3</v>
      </c>
      <c r="F47">
        <v>230</v>
      </c>
      <c r="G47">
        <v>690</v>
      </c>
      <c r="H47">
        <v>0.06</v>
      </c>
      <c r="I47">
        <v>41.4</v>
      </c>
      <c r="J47" t="s">
        <v>114</v>
      </c>
    </row>
    <row r="48" spans="1:10" x14ac:dyDescent="0.25">
      <c r="A48" t="s">
        <v>172</v>
      </c>
      <c r="B48" s="18">
        <v>43286</v>
      </c>
      <c r="C48" t="s">
        <v>111</v>
      </c>
      <c r="D48" t="s">
        <v>96</v>
      </c>
      <c r="E48">
        <v>13</v>
      </c>
      <c r="F48">
        <v>150</v>
      </c>
      <c r="G48">
        <v>1950</v>
      </c>
      <c r="H48">
        <v>0.05</v>
      </c>
      <c r="I48">
        <v>97.5</v>
      </c>
      <c r="J48" t="s">
        <v>115</v>
      </c>
    </row>
    <row r="49" spans="1:10" x14ac:dyDescent="0.25">
      <c r="A49" t="s">
        <v>173</v>
      </c>
      <c r="B49" s="18">
        <v>43286</v>
      </c>
      <c r="C49" t="s">
        <v>95</v>
      </c>
      <c r="D49" t="s">
        <v>96</v>
      </c>
      <c r="E49">
        <v>17</v>
      </c>
      <c r="F49">
        <v>80</v>
      </c>
      <c r="G49">
        <v>1360</v>
      </c>
      <c r="H49">
        <v>0.09</v>
      </c>
      <c r="I49">
        <v>122.39999999999999</v>
      </c>
      <c r="J49" t="s">
        <v>116</v>
      </c>
    </row>
    <row r="50" spans="1:10" x14ac:dyDescent="0.25">
      <c r="A50" t="s">
        <v>174</v>
      </c>
      <c r="B50" s="18">
        <v>43287</v>
      </c>
      <c r="C50" t="s">
        <v>98</v>
      </c>
      <c r="D50" t="s">
        <v>106</v>
      </c>
      <c r="E50">
        <v>18</v>
      </c>
      <c r="F50">
        <v>40</v>
      </c>
      <c r="G50">
        <v>720</v>
      </c>
      <c r="H50">
        <v>0.06</v>
      </c>
      <c r="I50">
        <v>43.199999999999996</v>
      </c>
      <c r="J50" t="s">
        <v>97</v>
      </c>
    </row>
    <row r="51" spans="1:10" x14ac:dyDescent="0.25">
      <c r="A51" t="s">
        <v>175</v>
      </c>
      <c r="B51" s="18">
        <v>43287</v>
      </c>
      <c r="C51" t="s">
        <v>108</v>
      </c>
      <c r="D51" t="s">
        <v>104</v>
      </c>
      <c r="E51">
        <v>23</v>
      </c>
      <c r="F51">
        <v>16</v>
      </c>
      <c r="G51">
        <v>368</v>
      </c>
      <c r="H51">
        <v>0.11</v>
      </c>
      <c r="I51">
        <v>40.479999999999997</v>
      </c>
      <c r="J51" t="s">
        <v>100</v>
      </c>
    </row>
    <row r="52" spans="1:10" x14ac:dyDescent="0.25">
      <c r="A52" t="s">
        <v>176</v>
      </c>
      <c r="B52" s="18">
        <v>43287</v>
      </c>
      <c r="C52" t="s">
        <v>101</v>
      </c>
      <c r="D52" t="s">
        <v>104</v>
      </c>
      <c r="E52">
        <v>20</v>
      </c>
      <c r="F52">
        <v>230</v>
      </c>
      <c r="G52">
        <v>4600</v>
      </c>
      <c r="H52">
        <v>0.06</v>
      </c>
      <c r="I52">
        <v>276</v>
      </c>
      <c r="J52" t="s">
        <v>102</v>
      </c>
    </row>
    <row r="53" spans="1:10" x14ac:dyDescent="0.25">
      <c r="A53" t="s">
        <v>177</v>
      </c>
      <c r="B53" s="18">
        <v>43287</v>
      </c>
      <c r="C53" t="s">
        <v>108</v>
      </c>
      <c r="D53" t="s">
        <v>96</v>
      </c>
      <c r="E53">
        <v>11</v>
      </c>
      <c r="F53">
        <v>16</v>
      </c>
      <c r="G53">
        <v>176</v>
      </c>
      <c r="H53">
        <v>0.09</v>
      </c>
      <c r="I53">
        <v>15.84</v>
      </c>
      <c r="J53" t="s">
        <v>103</v>
      </c>
    </row>
    <row r="54" spans="1:10" x14ac:dyDescent="0.25">
      <c r="A54" t="s">
        <v>178</v>
      </c>
      <c r="B54" s="18">
        <v>43287</v>
      </c>
      <c r="C54" t="s">
        <v>111</v>
      </c>
      <c r="D54" t="s">
        <v>109</v>
      </c>
      <c r="E54">
        <v>15</v>
      </c>
      <c r="F54">
        <v>150</v>
      </c>
      <c r="G54">
        <v>2250</v>
      </c>
      <c r="H54">
        <v>7.0000000000000007E-2</v>
      </c>
      <c r="I54">
        <v>157.50000000000003</v>
      </c>
      <c r="J54" t="s">
        <v>105</v>
      </c>
    </row>
    <row r="55" spans="1:10" x14ac:dyDescent="0.25">
      <c r="A55" t="s">
        <v>179</v>
      </c>
      <c r="B55" s="18">
        <v>43287</v>
      </c>
      <c r="C55" t="s">
        <v>101</v>
      </c>
      <c r="D55" t="s">
        <v>99</v>
      </c>
      <c r="E55">
        <v>6</v>
      </c>
      <c r="F55">
        <v>230</v>
      </c>
      <c r="G55">
        <v>1380</v>
      </c>
      <c r="H55">
        <v>0.1</v>
      </c>
      <c r="I55">
        <v>138</v>
      </c>
      <c r="J55" t="s">
        <v>107</v>
      </c>
    </row>
    <row r="56" spans="1:10" x14ac:dyDescent="0.25">
      <c r="A56" t="s">
        <v>180</v>
      </c>
      <c r="B56" s="18">
        <v>43287</v>
      </c>
      <c r="C56" t="s">
        <v>98</v>
      </c>
      <c r="D56" t="s">
        <v>96</v>
      </c>
      <c r="E56">
        <v>22</v>
      </c>
      <c r="F56">
        <v>40</v>
      </c>
      <c r="G56">
        <v>880</v>
      </c>
      <c r="H56">
        <v>0.02</v>
      </c>
      <c r="I56">
        <v>17.600000000000001</v>
      </c>
      <c r="J56" t="s">
        <v>110</v>
      </c>
    </row>
    <row r="57" spans="1:10" x14ac:dyDescent="0.25">
      <c r="A57" t="s">
        <v>181</v>
      </c>
      <c r="B57" s="18">
        <v>43287</v>
      </c>
      <c r="C57" t="s">
        <v>98</v>
      </c>
      <c r="D57" t="s">
        <v>96</v>
      </c>
      <c r="E57">
        <v>15</v>
      </c>
      <c r="F57">
        <v>40</v>
      </c>
      <c r="G57">
        <v>600</v>
      </c>
      <c r="H57">
        <v>0.06</v>
      </c>
      <c r="I57">
        <v>36</v>
      </c>
      <c r="J57" t="s">
        <v>112</v>
      </c>
    </row>
    <row r="58" spans="1:10" x14ac:dyDescent="0.25">
      <c r="A58" t="s">
        <v>182</v>
      </c>
      <c r="B58" s="18">
        <v>43287</v>
      </c>
      <c r="C58" t="s">
        <v>108</v>
      </c>
      <c r="D58" t="s">
        <v>104</v>
      </c>
      <c r="E58">
        <v>12</v>
      </c>
      <c r="F58">
        <v>16</v>
      </c>
      <c r="G58">
        <v>192</v>
      </c>
      <c r="H58">
        <v>0.03</v>
      </c>
      <c r="I58">
        <v>5.76</v>
      </c>
      <c r="J58" t="s">
        <v>113</v>
      </c>
    </row>
    <row r="59" spans="1:10" x14ac:dyDescent="0.25">
      <c r="A59" t="s">
        <v>183</v>
      </c>
      <c r="B59" s="18">
        <v>43287</v>
      </c>
      <c r="C59" t="s">
        <v>108</v>
      </c>
      <c r="D59" t="s">
        <v>109</v>
      </c>
      <c r="E59">
        <v>22</v>
      </c>
      <c r="F59">
        <v>16</v>
      </c>
      <c r="G59">
        <v>352</v>
      </c>
      <c r="H59">
        <v>0.12</v>
      </c>
      <c r="I59">
        <v>42.239999999999995</v>
      </c>
      <c r="J59" t="s">
        <v>114</v>
      </c>
    </row>
    <row r="60" spans="1:10" x14ac:dyDescent="0.25">
      <c r="A60" t="s">
        <v>184</v>
      </c>
      <c r="B60" s="18">
        <v>43287</v>
      </c>
      <c r="C60" t="s">
        <v>95</v>
      </c>
      <c r="D60" t="s">
        <v>96</v>
      </c>
      <c r="E60">
        <v>21</v>
      </c>
      <c r="F60">
        <v>80</v>
      </c>
      <c r="G60">
        <v>1680</v>
      </c>
      <c r="H60">
        <v>0.04</v>
      </c>
      <c r="I60">
        <v>67.2</v>
      </c>
      <c r="J60" t="s">
        <v>115</v>
      </c>
    </row>
    <row r="61" spans="1:10" x14ac:dyDescent="0.25">
      <c r="A61" t="s">
        <v>185</v>
      </c>
      <c r="B61" s="18">
        <v>43287</v>
      </c>
      <c r="C61" t="s">
        <v>111</v>
      </c>
      <c r="D61" t="s">
        <v>96</v>
      </c>
      <c r="E61">
        <v>22</v>
      </c>
      <c r="F61">
        <v>150</v>
      </c>
      <c r="G61">
        <v>3300</v>
      </c>
      <c r="H61">
        <v>0.05</v>
      </c>
      <c r="I61">
        <v>165</v>
      </c>
      <c r="J61" t="s">
        <v>116</v>
      </c>
    </row>
    <row r="62" spans="1:10" x14ac:dyDescent="0.25">
      <c r="A62" t="s">
        <v>186</v>
      </c>
      <c r="B62" s="18">
        <v>43287</v>
      </c>
      <c r="C62" t="s">
        <v>95</v>
      </c>
      <c r="D62" t="s">
        <v>109</v>
      </c>
      <c r="E62">
        <v>21</v>
      </c>
      <c r="F62">
        <v>80</v>
      </c>
      <c r="G62">
        <v>1680</v>
      </c>
      <c r="H62">
        <v>0.09</v>
      </c>
      <c r="I62">
        <v>151.19999999999999</v>
      </c>
      <c r="J62" t="s">
        <v>97</v>
      </c>
    </row>
    <row r="63" spans="1:10" x14ac:dyDescent="0.25">
      <c r="A63" t="s">
        <v>187</v>
      </c>
      <c r="B63" s="18">
        <v>43287</v>
      </c>
      <c r="C63" t="s">
        <v>95</v>
      </c>
      <c r="D63" t="s">
        <v>106</v>
      </c>
      <c r="E63">
        <v>10</v>
      </c>
      <c r="F63">
        <v>80</v>
      </c>
      <c r="G63">
        <v>800</v>
      </c>
      <c r="H63">
        <v>0.1</v>
      </c>
      <c r="I63">
        <v>80</v>
      </c>
      <c r="J63" t="s">
        <v>100</v>
      </c>
    </row>
    <row r="64" spans="1:10" x14ac:dyDescent="0.25">
      <c r="A64" t="s">
        <v>188</v>
      </c>
      <c r="B64" s="18">
        <v>43287</v>
      </c>
      <c r="C64" t="s">
        <v>101</v>
      </c>
      <c r="D64" t="s">
        <v>99</v>
      </c>
      <c r="E64">
        <v>15</v>
      </c>
      <c r="F64">
        <v>230</v>
      </c>
      <c r="G64">
        <v>3450</v>
      </c>
      <c r="H64">
        <v>0.09</v>
      </c>
      <c r="I64">
        <v>310.5</v>
      </c>
      <c r="J64" t="s">
        <v>102</v>
      </c>
    </row>
    <row r="65" spans="1:10" x14ac:dyDescent="0.25">
      <c r="A65" t="s">
        <v>189</v>
      </c>
      <c r="B65" s="18">
        <v>43288</v>
      </c>
      <c r="C65" t="s">
        <v>95</v>
      </c>
      <c r="D65" t="s">
        <v>96</v>
      </c>
      <c r="E65">
        <v>14</v>
      </c>
      <c r="F65">
        <v>80</v>
      </c>
      <c r="G65">
        <v>1120</v>
      </c>
      <c r="H65">
        <v>0.08</v>
      </c>
      <c r="I65">
        <v>89.600000000000009</v>
      </c>
      <c r="J65" t="s">
        <v>103</v>
      </c>
    </row>
    <row r="66" spans="1:10" x14ac:dyDescent="0.25">
      <c r="A66" t="s">
        <v>190</v>
      </c>
      <c r="B66" s="18">
        <v>43288</v>
      </c>
      <c r="C66" t="s">
        <v>95</v>
      </c>
      <c r="D66" t="s">
        <v>109</v>
      </c>
      <c r="E66">
        <v>10</v>
      </c>
      <c r="F66">
        <v>80</v>
      </c>
      <c r="G66">
        <v>800</v>
      </c>
      <c r="H66">
        <v>0.06</v>
      </c>
      <c r="I66">
        <v>48</v>
      </c>
      <c r="J66" t="s">
        <v>105</v>
      </c>
    </row>
    <row r="67" spans="1:10" x14ac:dyDescent="0.25">
      <c r="A67" t="s">
        <v>191</v>
      </c>
      <c r="B67" s="18">
        <v>43288</v>
      </c>
      <c r="C67" t="s">
        <v>111</v>
      </c>
      <c r="D67" t="s">
        <v>96</v>
      </c>
      <c r="E67">
        <v>5</v>
      </c>
      <c r="F67">
        <v>150</v>
      </c>
      <c r="G67">
        <v>750</v>
      </c>
      <c r="H67">
        <v>0.11</v>
      </c>
      <c r="I67">
        <v>82.5</v>
      </c>
      <c r="J67" t="s">
        <v>107</v>
      </c>
    </row>
    <row r="68" spans="1:10" x14ac:dyDescent="0.25">
      <c r="A68" t="s">
        <v>192</v>
      </c>
      <c r="B68" s="18">
        <v>43288</v>
      </c>
      <c r="C68" t="s">
        <v>101</v>
      </c>
      <c r="D68" t="s">
        <v>106</v>
      </c>
      <c r="E68">
        <v>3</v>
      </c>
      <c r="F68">
        <v>230</v>
      </c>
      <c r="G68">
        <v>690</v>
      </c>
      <c r="H68">
        <v>0.01</v>
      </c>
      <c r="I68">
        <v>6.9</v>
      </c>
      <c r="J68" t="s">
        <v>110</v>
      </c>
    </row>
    <row r="69" spans="1:10" x14ac:dyDescent="0.25">
      <c r="A69" t="s">
        <v>193</v>
      </c>
      <c r="B69" s="18">
        <v>43288</v>
      </c>
      <c r="C69" t="s">
        <v>98</v>
      </c>
      <c r="D69" t="s">
        <v>106</v>
      </c>
      <c r="E69">
        <v>4</v>
      </c>
      <c r="F69">
        <v>40</v>
      </c>
      <c r="G69">
        <v>160</v>
      </c>
      <c r="H69">
        <v>0.05</v>
      </c>
      <c r="I69">
        <v>8</v>
      </c>
      <c r="J69" t="s">
        <v>112</v>
      </c>
    </row>
    <row r="70" spans="1:10" x14ac:dyDescent="0.25">
      <c r="A70" t="s">
        <v>194</v>
      </c>
      <c r="B70" s="18">
        <v>43288</v>
      </c>
      <c r="C70" t="s">
        <v>111</v>
      </c>
      <c r="D70" t="s">
        <v>104</v>
      </c>
      <c r="E70">
        <v>18</v>
      </c>
      <c r="F70">
        <v>150</v>
      </c>
      <c r="G70">
        <v>2700</v>
      </c>
      <c r="H70">
        <v>0.06</v>
      </c>
      <c r="I70">
        <v>162</v>
      </c>
      <c r="J70" t="s">
        <v>113</v>
      </c>
    </row>
    <row r="71" spans="1:10" x14ac:dyDescent="0.25">
      <c r="A71" t="s">
        <v>195</v>
      </c>
      <c r="B71" s="18">
        <v>43288</v>
      </c>
      <c r="C71" t="s">
        <v>98</v>
      </c>
      <c r="D71" t="s">
        <v>109</v>
      </c>
      <c r="E71">
        <v>20</v>
      </c>
      <c r="F71">
        <v>40</v>
      </c>
      <c r="G71">
        <v>800</v>
      </c>
      <c r="H71">
        <v>0.1</v>
      </c>
      <c r="I71">
        <v>80</v>
      </c>
      <c r="J71" t="s">
        <v>114</v>
      </c>
    </row>
    <row r="72" spans="1:10" x14ac:dyDescent="0.25">
      <c r="A72" t="s">
        <v>196</v>
      </c>
      <c r="B72" s="18">
        <v>43288</v>
      </c>
      <c r="C72" t="s">
        <v>95</v>
      </c>
      <c r="D72" t="s">
        <v>106</v>
      </c>
      <c r="E72">
        <v>16</v>
      </c>
      <c r="F72">
        <v>80</v>
      </c>
      <c r="G72">
        <v>1280</v>
      </c>
      <c r="H72">
        <v>0.05</v>
      </c>
      <c r="I72">
        <v>64</v>
      </c>
      <c r="J72" t="s">
        <v>97</v>
      </c>
    </row>
    <row r="73" spans="1:10" x14ac:dyDescent="0.25">
      <c r="A73" t="s">
        <v>197</v>
      </c>
      <c r="B73" s="18">
        <v>43288</v>
      </c>
      <c r="C73" t="s">
        <v>98</v>
      </c>
      <c r="D73" t="s">
        <v>104</v>
      </c>
      <c r="E73">
        <v>4</v>
      </c>
      <c r="F73">
        <v>40</v>
      </c>
      <c r="G73">
        <v>160</v>
      </c>
      <c r="H73">
        <v>0.06</v>
      </c>
      <c r="I73">
        <v>9.6</v>
      </c>
      <c r="J73" t="s">
        <v>100</v>
      </c>
    </row>
    <row r="74" spans="1:10" x14ac:dyDescent="0.25">
      <c r="A74" t="s">
        <v>198</v>
      </c>
      <c r="B74" s="18">
        <v>43288</v>
      </c>
      <c r="C74" t="s">
        <v>98</v>
      </c>
      <c r="D74" t="s">
        <v>99</v>
      </c>
      <c r="E74">
        <v>4</v>
      </c>
      <c r="F74">
        <v>40</v>
      </c>
      <c r="G74">
        <v>160</v>
      </c>
      <c r="H74">
        <v>0.03</v>
      </c>
      <c r="I74">
        <v>4.8</v>
      </c>
      <c r="J74" t="s">
        <v>102</v>
      </c>
    </row>
    <row r="75" spans="1:10" x14ac:dyDescent="0.25">
      <c r="A75" t="s">
        <v>199</v>
      </c>
      <c r="B75" s="18">
        <v>43288</v>
      </c>
      <c r="C75" t="s">
        <v>98</v>
      </c>
      <c r="D75" t="s">
        <v>99</v>
      </c>
      <c r="E75">
        <v>15</v>
      </c>
      <c r="F75">
        <v>40</v>
      </c>
      <c r="G75">
        <v>600</v>
      </c>
      <c r="H75">
        <v>0.02</v>
      </c>
      <c r="I75">
        <v>12</v>
      </c>
      <c r="J75" t="s">
        <v>103</v>
      </c>
    </row>
    <row r="76" spans="1:10" x14ac:dyDescent="0.25">
      <c r="A76" t="s">
        <v>200</v>
      </c>
      <c r="B76" s="18">
        <v>43288</v>
      </c>
      <c r="C76" t="s">
        <v>98</v>
      </c>
      <c r="D76" t="s">
        <v>104</v>
      </c>
      <c r="E76">
        <v>20</v>
      </c>
      <c r="F76">
        <v>40</v>
      </c>
      <c r="G76">
        <v>800</v>
      </c>
      <c r="H76">
        <v>0.01</v>
      </c>
      <c r="I76">
        <v>8</v>
      </c>
      <c r="J76" t="s">
        <v>105</v>
      </c>
    </row>
    <row r="77" spans="1:10" x14ac:dyDescent="0.25">
      <c r="A77" t="s">
        <v>201</v>
      </c>
      <c r="B77" s="18">
        <v>43288</v>
      </c>
      <c r="C77" t="s">
        <v>108</v>
      </c>
      <c r="D77" t="s">
        <v>109</v>
      </c>
      <c r="E77">
        <v>14</v>
      </c>
      <c r="F77">
        <v>16</v>
      </c>
      <c r="G77">
        <v>224</v>
      </c>
      <c r="H77">
        <v>0.06</v>
      </c>
      <c r="I77">
        <v>13.44</v>
      </c>
      <c r="J77" t="s">
        <v>107</v>
      </c>
    </row>
    <row r="78" spans="1:10" x14ac:dyDescent="0.25">
      <c r="A78" t="s">
        <v>202</v>
      </c>
      <c r="B78" s="18">
        <v>43289</v>
      </c>
      <c r="C78" t="s">
        <v>111</v>
      </c>
      <c r="D78" t="s">
        <v>104</v>
      </c>
      <c r="E78">
        <v>11</v>
      </c>
      <c r="F78">
        <v>150</v>
      </c>
      <c r="G78">
        <v>1650</v>
      </c>
      <c r="H78">
        <v>0.11</v>
      </c>
      <c r="I78">
        <v>181.5</v>
      </c>
      <c r="J78" t="s">
        <v>110</v>
      </c>
    </row>
    <row r="79" spans="1:10" x14ac:dyDescent="0.25">
      <c r="A79" t="s">
        <v>203</v>
      </c>
      <c r="B79" s="18">
        <v>43289</v>
      </c>
      <c r="C79" t="s">
        <v>111</v>
      </c>
      <c r="D79" t="s">
        <v>104</v>
      </c>
      <c r="E79">
        <v>9</v>
      </c>
      <c r="F79">
        <v>150</v>
      </c>
      <c r="G79">
        <v>1350</v>
      </c>
      <c r="H79">
        <v>0.02</v>
      </c>
      <c r="I79">
        <v>27</v>
      </c>
      <c r="J79" t="s">
        <v>112</v>
      </c>
    </row>
    <row r="80" spans="1:10" x14ac:dyDescent="0.25">
      <c r="A80" t="s">
        <v>204</v>
      </c>
      <c r="B80" s="18">
        <v>43289</v>
      </c>
      <c r="C80" t="s">
        <v>108</v>
      </c>
      <c r="D80" t="s">
        <v>109</v>
      </c>
      <c r="E80">
        <v>11</v>
      </c>
      <c r="F80">
        <v>16</v>
      </c>
      <c r="G80">
        <v>176</v>
      </c>
      <c r="H80">
        <v>0.12</v>
      </c>
      <c r="I80">
        <v>21.119999999999997</v>
      </c>
      <c r="J80" t="s">
        <v>113</v>
      </c>
    </row>
    <row r="81" spans="1:10" x14ac:dyDescent="0.25">
      <c r="A81" t="s">
        <v>205</v>
      </c>
      <c r="B81" s="18">
        <v>43289</v>
      </c>
      <c r="C81" t="s">
        <v>98</v>
      </c>
      <c r="D81" t="s">
        <v>104</v>
      </c>
      <c r="E81">
        <v>13</v>
      </c>
      <c r="F81">
        <v>40</v>
      </c>
      <c r="G81">
        <v>520</v>
      </c>
      <c r="H81">
        <v>0.02</v>
      </c>
      <c r="I81">
        <v>10.4</v>
      </c>
      <c r="J81" t="s">
        <v>114</v>
      </c>
    </row>
    <row r="82" spans="1:10" x14ac:dyDescent="0.25">
      <c r="A82" t="s">
        <v>206</v>
      </c>
      <c r="B82" s="18">
        <v>43289</v>
      </c>
      <c r="C82" t="s">
        <v>98</v>
      </c>
      <c r="D82" t="s">
        <v>104</v>
      </c>
      <c r="E82">
        <v>4</v>
      </c>
      <c r="F82">
        <v>40</v>
      </c>
      <c r="G82">
        <v>160</v>
      </c>
      <c r="H82">
        <v>0.1</v>
      </c>
      <c r="I82">
        <v>16</v>
      </c>
      <c r="J82" t="s">
        <v>115</v>
      </c>
    </row>
    <row r="83" spans="1:10" x14ac:dyDescent="0.25">
      <c r="A83" t="s">
        <v>207</v>
      </c>
      <c r="B83" s="18">
        <v>43289</v>
      </c>
      <c r="C83" t="s">
        <v>101</v>
      </c>
      <c r="D83" t="s">
        <v>96</v>
      </c>
      <c r="E83">
        <v>3</v>
      </c>
      <c r="F83">
        <v>230</v>
      </c>
      <c r="G83">
        <v>690</v>
      </c>
      <c r="H83">
        <v>0.11</v>
      </c>
      <c r="I83">
        <v>75.900000000000006</v>
      </c>
      <c r="J83" t="s">
        <v>116</v>
      </c>
    </row>
    <row r="84" spans="1:10" x14ac:dyDescent="0.25">
      <c r="A84" t="s">
        <v>208</v>
      </c>
      <c r="B84" s="18">
        <v>43289</v>
      </c>
      <c r="C84" t="s">
        <v>95</v>
      </c>
      <c r="D84" t="s">
        <v>104</v>
      </c>
      <c r="E84">
        <v>6</v>
      </c>
      <c r="F84">
        <v>80</v>
      </c>
      <c r="G84">
        <v>480</v>
      </c>
      <c r="H84">
        <v>0.09</v>
      </c>
      <c r="I84">
        <v>43.199999999999996</v>
      </c>
      <c r="J84" t="s">
        <v>97</v>
      </c>
    </row>
    <row r="85" spans="1:10" x14ac:dyDescent="0.25">
      <c r="A85" t="s">
        <v>209</v>
      </c>
      <c r="B85" s="18">
        <v>43289</v>
      </c>
      <c r="C85" t="s">
        <v>111</v>
      </c>
      <c r="D85" t="s">
        <v>96</v>
      </c>
      <c r="E85">
        <v>9</v>
      </c>
      <c r="F85">
        <v>150</v>
      </c>
      <c r="G85">
        <v>1350</v>
      </c>
      <c r="H85">
        <v>0.1</v>
      </c>
      <c r="I85">
        <v>135</v>
      </c>
      <c r="J85" t="s">
        <v>100</v>
      </c>
    </row>
    <row r="86" spans="1:10" x14ac:dyDescent="0.25">
      <c r="A86" t="s">
        <v>210</v>
      </c>
      <c r="B86" s="18">
        <v>43289</v>
      </c>
      <c r="C86" t="s">
        <v>95</v>
      </c>
      <c r="D86" t="s">
        <v>99</v>
      </c>
      <c r="E86">
        <v>14</v>
      </c>
      <c r="F86">
        <v>80</v>
      </c>
      <c r="G86">
        <v>1120</v>
      </c>
      <c r="H86">
        <v>0.11</v>
      </c>
      <c r="I86">
        <v>123.2</v>
      </c>
      <c r="J86" t="s">
        <v>102</v>
      </c>
    </row>
    <row r="87" spans="1:10" x14ac:dyDescent="0.25">
      <c r="A87" t="s">
        <v>211</v>
      </c>
      <c r="B87" s="18">
        <v>43289</v>
      </c>
      <c r="C87" t="s">
        <v>95</v>
      </c>
      <c r="D87" t="s">
        <v>96</v>
      </c>
      <c r="E87">
        <v>18</v>
      </c>
      <c r="F87">
        <v>80</v>
      </c>
      <c r="G87">
        <v>1440</v>
      </c>
      <c r="H87">
        <v>0.02</v>
      </c>
      <c r="I87">
        <v>28.8</v>
      </c>
      <c r="J87" t="s">
        <v>103</v>
      </c>
    </row>
    <row r="88" spans="1:10" x14ac:dyDescent="0.25">
      <c r="A88" t="s">
        <v>212</v>
      </c>
      <c r="B88" s="18">
        <v>43289</v>
      </c>
      <c r="C88" t="s">
        <v>98</v>
      </c>
      <c r="D88" t="s">
        <v>96</v>
      </c>
      <c r="E88">
        <v>20</v>
      </c>
      <c r="F88">
        <v>40</v>
      </c>
      <c r="G88">
        <v>800</v>
      </c>
      <c r="H88">
        <v>0.04</v>
      </c>
      <c r="I88">
        <v>32</v>
      </c>
      <c r="J88" t="s">
        <v>105</v>
      </c>
    </row>
    <row r="89" spans="1:10" x14ac:dyDescent="0.25">
      <c r="A89" t="s">
        <v>213</v>
      </c>
      <c r="B89" s="18">
        <v>43290</v>
      </c>
      <c r="C89" t="s">
        <v>108</v>
      </c>
      <c r="D89" t="s">
        <v>104</v>
      </c>
      <c r="E89">
        <v>8</v>
      </c>
      <c r="F89">
        <v>16</v>
      </c>
      <c r="G89">
        <v>128</v>
      </c>
      <c r="H89">
        <v>0.03</v>
      </c>
      <c r="I89">
        <v>3.84</v>
      </c>
      <c r="J89" t="s">
        <v>107</v>
      </c>
    </row>
    <row r="90" spans="1:10" x14ac:dyDescent="0.25">
      <c r="A90" t="s">
        <v>214</v>
      </c>
      <c r="B90" s="18">
        <v>43290</v>
      </c>
      <c r="C90" t="s">
        <v>95</v>
      </c>
      <c r="D90" t="s">
        <v>99</v>
      </c>
      <c r="E90">
        <v>14</v>
      </c>
      <c r="F90">
        <v>80</v>
      </c>
      <c r="G90">
        <v>1120</v>
      </c>
      <c r="H90">
        <v>0.06</v>
      </c>
      <c r="I90">
        <v>67.2</v>
      </c>
      <c r="J90" t="s">
        <v>110</v>
      </c>
    </row>
    <row r="91" spans="1:10" x14ac:dyDescent="0.25">
      <c r="A91" t="s">
        <v>215</v>
      </c>
      <c r="B91" s="18">
        <v>43290</v>
      </c>
      <c r="C91" t="s">
        <v>111</v>
      </c>
      <c r="D91" t="s">
        <v>96</v>
      </c>
      <c r="E91">
        <v>20</v>
      </c>
      <c r="F91">
        <v>150</v>
      </c>
      <c r="G91">
        <v>3000</v>
      </c>
      <c r="H91">
        <v>0.01</v>
      </c>
      <c r="I91">
        <v>30</v>
      </c>
      <c r="J91" t="s">
        <v>112</v>
      </c>
    </row>
    <row r="92" spans="1:10" x14ac:dyDescent="0.25">
      <c r="A92" t="s">
        <v>216</v>
      </c>
      <c r="B92" s="18">
        <v>43290</v>
      </c>
      <c r="C92" t="s">
        <v>98</v>
      </c>
      <c r="D92" t="s">
        <v>106</v>
      </c>
      <c r="E92">
        <v>15</v>
      </c>
      <c r="F92">
        <v>40</v>
      </c>
      <c r="G92">
        <v>600</v>
      </c>
      <c r="H92">
        <v>0.03</v>
      </c>
      <c r="I92">
        <v>18</v>
      </c>
      <c r="J92" t="s">
        <v>113</v>
      </c>
    </row>
    <row r="93" spans="1:10" x14ac:dyDescent="0.25">
      <c r="A93" t="s">
        <v>217</v>
      </c>
      <c r="B93" s="18">
        <v>43290</v>
      </c>
      <c r="C93" t="s">
        <v>98</v>
      </c>
      <c r="D93" t="s">
        <v>99</v>
      </c>
      <c r="E93">
        <v>18</v>
      </c>
      <c r="F93">
        <v>40</v>
      </c>
      <c r="G93">
        <v>720</v>
      </c>
      <c r="H93">
        <v>0.08</v>
      </c>
      <c r="I93">
        <v>57.6</v>
      </c>
      <c r="J93" t="s">
        <v>114</v>
      </c>
    </row>
    <row r="94" spans="1:10" x14ac:dyDescent="0.25">
      <c r="A94" t="s">
        <v>218</v>
      </c>
      <c r="B94" s="18">
        <v>43290</v>
      </c>
      <c r="C94" t="s">
        <v>98</v>
      </c>
      <c r="D94" t="s">
        <v>109</v>
      </c>
      <c r="E94">
        <v>11</v>
      </c>
      <c r="F94">
        <v>40</v>
      </c>
      <c r="G94">
        <v>440</v>
      </c>
      <c r="H94">
        <v>0.05</v>
      </c>
      <c r="I94">
        <v>22</v>
      </c>
      <c r="J94" t="s">
        <v>115</v>
      </c>
    </row>
    <row r="95" spans="1:10" x14ac:dyDescent="0.25">
      <c r="A95" t="s">
        <v>219</v>
      </c>
      <c r="B95" s="18">
        <v>43291</v>
      </c>
      <c r="C95" t="s">
        <v>98</v>
      </c>
      <c r="D95" t="s">
        <v>109</v>
      </c>
      <c r="E95">
        <v>23</v>
      </c>
      <c r="F95">
        <v>40</v>
      </c>
      <c r="G95">
        <v>920</v>
      </c>
      <c r="H95">
        <v>0.04</v>
      </c>
      <c r="I95">
        <v>36.800000000000004</v>
      </c>
      <c r="J95" t="s">
        <v>116</v>
      </c>
    </row>
    <row r="96" spans="1:10" x14ac:dyDescent="0.25">
      <c r="A96" t="s">
        <v>220</v>
      </c>
      <c r="B96" s="18">
        <v>43291</v>
      </c>
      <c r="C96" t="s">
        <v>108</v>
      </c>
      <c r="D96" t="s">
        <v>109</v>
      </c>
      <c r="E96">
        <v>17</v>
      </c>
      <c r="F96">
        <v>16</v>
      </c>
      <c r="G96">
        <v>272</v>
      </c>
      <c r="H96">
        <v>0.1</v>
      </c>
      <c r="I96">
        <v>27.200000000000003</v>
      </c>
      <c r="J96" t="s">
        <v>97</v>
      </c>
    </row>
    <row r="97" spans="1:10" x14ac:dyDescent="0.25">
      <c r="A97" t="s">
        <v>221</v>
      </c>
      <c r="B97" s="18">
        <v>43291</v>
      </c>
      <c r="C97" t="s">
        <v>108</v>
      </c>
      <c r="D97" t="s">
        <v>99</v>
      </c>
      <c r="E97">
        <v>4</v>
      </c>
      <c r="F97">
        <v>16</v>
      </c>
      <c r="G97">
        <v>64</v>
      </c>
      <c r="H97">
        <v>7.0000000000000007E-2</v>
      </c>
      <c r="I97">
        <v>4.4800000000000004</v>
      </c>
      <c r="J97" t="s">
        <v>100</v>
      </c>
    </row>
    <row r="98" spans="1:10" x14ac:dyDescent="0.25">
      <c r="A98" t="s">
        <v>222</v>
      </c>
      <c r="B98" s="18">
        <v>43291</v>
      </c>
      <c r="C98" t="s">
        <v>95</v>
      </c>
      <c r="D98" t="s">
        <v>104</v>
      </c>
      <c r="E98">
        <v>23</v>
      </c>
      <c r="F98">
        <v>80</v>
      </c>
      <c r="G98">
        <v>1840</v>
      </c>
      <c r="H98">
        <v>0.05</v>
      </c>
      <c r="I98">
        <v>92</v>
      </c>
      <c r="J98" t="s">
        <v>102</v>
      </c>
    </row>
    <row r="99" spans="1:10" x14ac:dyDescent="0.25">
      <c r="A99" t="s">
        <v>223</v>
      </c>
      <c r="B99" s="18">
        <v>43291</v>
      </c>
      <c r="C99" t="s">
        <v>101</v>
      </c>
      <c r="D99" t="s">
        <v>104</v>
      </c>
      <c r="E99">
        <v>10</v>
      </c>
      <c r="F99">
        <v>230</v>
      </c>
      <c r="G99">
        <v>2300</v>
      </c>
      <c r="H99">
        <v>0.02</v>
      </c>
      <c r="I99">
        <v>46</v>
      </c>
      <c r="J99" t="s">
        <v>103</v>
      </c>
    </row>
    <row r="100" spans="1:10" x14ac:dyDescent="0.25">
      <c r="A100" t="s">
        <v>224</v>
      </c>
      <c r="B100" s="18">
        <v>43291</v>
      </c>
      <c r="C100" t="s">
        <v>108</v>
      </c>
      <c r="D100" t="s">
        <v>104</v>
      </c>
      <c r="E100">
        <v>14</v>
      </c>
      <c r="F100">
        <v>16</v>
      </c>
      <c r="G100">
        <v>224</v>
      </c>
      <c r="H100">
        <v>0.01</v>
      </c>
      <c r="I100">
        <v>2.2400000000000002</v>
      </c>
      <c r="J100" t="s">
        <v>105</v>
      </c>
    </row>
    <row r="101" spans="1:10" x14ac:dyDescent="0.25">
      <c r="A101" t="s">
        <v>225</v>
      </c>
      <c r="B101" s="18">
        <v>43291</v>
      </c>
      <c r="C101" t="s">
        <v>98</v>
      </c>
      <c r="D101" t="s">
        <v>99</v>
      </c>
      <c r="E101">
        <v>19</v>
      </c>
      <c r="F101">
        <v>40</v>
      </c>
      <c r="G101">
        <v>760</v>
      </c>
      <c r="H101">
        <v>0.1</v>
      </c>
      <c r="I101">
        <v>76</v>
      </c>
      <c r="J101" t="s">
        <v>107</v>
      </c>
    </row>
    <row r="102" spans="1:10" x14ac:dyDescent="0.25">
      <c r="A102" t="s">
        <v>226</v>
      </c>
      <c r="B102" s="18">
        <v>43291</v>
      </c>
      <c r="C102" t="s">
        <v>95</v>
      </c>
      <c r="D102" t="s">
        <v>109</v>
      </c>
      <c r="E102">
        <v>22</v>
      </c>
      <c r="F102">
        <v>80</v>
      </c>
      <c r="G102">
        <v>1760</v>
      </c>
      <c r="H102">
        <v>0.09</v>
      </c>
      <c r="I102">
        <v>158.4</v>
      </c>
      <c r="J102" t="s">
        <v>110</v>
      </c>
    </row>
    <row r="103" spans="1:10" x14ac:dyDescent="0.25">
      <c r="A103" t="s">
        <v>227</v>
      </c>
      <c r="B103" s="18">
        <v>43291</v>
      </c>
      <c r="C103" t="s">
        <v>108</v>
      </c>
      <c r="D103" t="s">
        <v>96</v>
      </c>
      <c r="E103">
        <v>18</v>
      </c>
      <c r="F103">
        <v>16</v>
      </c>
      <c r="G103">
        <v>288</v>
      </c>
      <c r="H103">
        <v>0.05</v>
      </c>
      <c r="I103">
        <v>14.4</v>
      </c>
      <c r="J103" t="s">
        <v>112</v>
      </c>
    </row>
    <row r="104" spans="1:10" x14ac:dyDescent="0.25">
      <c r="A104" t="s">
        <v>228</v>
      </c>
      <c r="B104" s="18">
        <v>43291</v>
      </c>
      <c r="C104" t="s">
        <v>98</v>
      </c>
      <c r="D104" t="s">
        <v>96</v>
      </c>
      <c r="E104">
        <v>18</v>
      </c>
      <c r="F104">
        <v>40</v>
      </c>
      <c r="G104">
        <v>720</v>
      </c>
      <c r="H104">
        <v>0.11</v>
      </c>
      <c r="I104">
        <v>79.2</v>
      </c>
      <c r="J104" t="s">
        <v>113</v>
      </c>
    </row>
    <row r="105" spans="1:10" x14ac:dyDescent="0.25">
      <c r="A105" t="s">
        <v>229</v>
      </c>
      <c r="B105" s="18">
        <v>43291</v>
      </c>
      <c r="C105" t="s">
        <v>98</v>
      </c>
      <c r="D105" t="s">
        <v>109</v>
      </c>
      <c r="E105">
        <v>21</v>
      </c>
      <c r="F105">
        <v>40</v>
      </c>
      <c r="G105">
        <v>840</v>
      </c>
      <c r="H105">
        <v>0.01</v>
      </c>
      <c r="I105">
        <v>8.4</v>
      </c>
      <c r="J105" t="s">
        <v>114</v>
      </c>
    </row>
    <row r="106" spans="1:10" x14ac:dyDescent="0.25">
      <c r="A106" t="s">
        <v>230</v>
      </c>
      <c r="B106" s="18">
        <v>43291</v>
      </c>
      <c r="C106" t="s">
        <v>95</v>
      </c>
      <c r="D106" t="s">
        <v>96</v>
      </c>
      <c r="E106">
        <v>6</v>
      </c>
      <c r="F106">
        <v>80</v>
      </c>
      <c r="G106">
        <v>480</v>
      </c>
      <c r="H106">
        <v>7.0000000000000007E-2</v>
      </c>
      <c r="I106">
        <v>33.6</v>
      </c>
      <c r="J106" t="s">
        <v>115</v>
      </c>
    </row>
    <row r="107" spans="1:10" x14ac:dyDescent="0.25">
      <c r="A107" t="s">
        <v>231</v>
      </c>
      <c r="B107" s="18">
        <v>43291</v>
      </c>
      <c r="C107" t="s">
        <v>111</v>
      </c>
      <c r="D107" t="s">
        <v>109</v>
      </c>
      <c r="E107">
        <v>17</v>
      </c>
      <c r="F107">
        <v>150</v>
      </c>
      <c r="G107">
        <v>2550</v>
      </c>
      <c r="H107">
        <v>0.02</v>
      </c>
      <c r="I107">
        <v>51</v>
      </c>
      <c r="J107" t="s">
        <v>116</v>
      </c>
    </row>
    <row r="108" spans="1:10" x14ac:dyDescent="0.25">
      <c r="A108" t="s">
        <v>232</v>
      </c>
      <c r="B108" s="18">
        <v>43291</v>
      </c>
      <c r="C108" t="s">
        <v>95</v>
      </c>
      <c r="D108" t="s">
        <v>104</v>
      </c>
      <c r="E108">
        <v>16</v>
      </c>
      <c r="F108">
        <v>80</v>
      </c>
      <c r="G108">
        <v>1280</v>
      </c>
      <c r="H108">
        <v>0.02</v>
      </c>
      <c r="I108">
        <v>25.6</v>
      </c>
      <c r="J108" t="s">
        <v>97</v>
      </c>
    </row>
    <row r="109" spans="1:10" x14ac:dyDescent="0.25">
      <c r="A109" t="s">
        <v>233</v>
      </c>
      <c r="B109" s="18">
        <v>43291</v>
      </c>
      <c r="C109" t="s">
        <v>98</v>
      </c>
      <c r="D109" t="s">
        <v>99</v>
      </c>
      <c r="E109">
        <v>15</v>
      </c>
      <c r="F109">
        <v>40</v>
      </c>
      <c r="G109">
        <v>600</v>
      </c>
      <c r="H109">
        <v>0.04</v>
      </c>
      <c r="I109">
        <v>24</v>
      </c>
      <c r="J109" t="s">
        <v>100</v>
      </c>
    </row>
    <row r="110" spans="1:10" x14ac:dyDescent="0.25">
      <c r="A110" t="s">
        <v>234</v>
      </c>
      <c r="B110" s="18">
        <v>43291</v>
      </c>
      <c r="C110" t="s">
        <v>101</v>
      </c>
      <c r="D110" t="s">
        <v>106</v>
      </c>
      <c r="E110">
        <v>2</v>
      </c>
      <c r="F110">
        <v>230</v>
      </c>
      <c r="G110">
        <v>460</v>
      </c>
      <c r="H110">
        <v>0.08</v>
      </c>
      <c r="I110">
        <v>36.800000000000004</v>
      </c>
      <c r="J110" t="s">
        <v>102</v>
      </c>
    </row>
    <row r="111" spans="1:10" x14ac:dyDescent="0.25">
      <c r="A111" t="s">
        <v>235</v>
      </c>
      <c r="B111" s="18">
        <v>43291</v>
      </c>
      <c r="C111" t="s">
        <v>98</v>
      </c>
      <c r="D111" t="s">
        <v>109</v>
      </c>
      <c r="E111">
        <v>3</v>
      </c>
      <c r="F111">
        <v>40</v>
      </c>
      <c r="G111">
        <v>120</v>
      </c>
      <c r="H111">
        <v>0.03</v>
      </c>
      <c r="I111">
        <v>3.5999999999999996</v>
      </c>
      <c r="J111" t="s">
        <v>103</v>
      </c>
    </row>
    <row r="112" spans="1:10" x14ac:dyDescent="0.25">
      <c r="A112" t="s">
        <v>236</v>
      </c>
      <c r="B112" s="18">
        <v>43291</v>
      </c>
      <c r="C112" t="s">
        <v>101</v>
      </c>
      <c r="D112" t="s">
        <v>109</v>
      </c>
      <c r="E112">
        <v>21</v>
      </c>
      <c r="F112">
        <v>230</v>
      </c>
      <c r="G112">
        <v>4830</v>
      </c>
      <c r="H112">
        <v>0.05</v>
      </c>
      <c r="I112">
        <v>241.5</v>
      </c>
      <c r="J112" t="s">
        <v>105</v>
      </c>
    </row>
    <row r="113" spans="1:10" x14ac:dyDescent="0.25">
      <c r="A113" t="s">
        <v>237</v>
      </c>
      <c r="B113" s="18">
        <v>43291</v>
      </c>
      <c r="C113" t="s">
        <v>111</v>
      </c>
      <c r="D113" t="s">
        <v>96</v>
      </c>
      <c r="E113">
        <v>11</v>
      </c>
      <c r="F113">
        <v>150</v>
      </c>
      <c r="G113">
        <v>1650</v>
      </c>
      <c r="H113">
        <v>0.05</v>
      </c>
      <c r="I113">
        <v>82.5</v>
      </c>
      <c r="J113" t="s">
        <v>107</v>
      </c>
    </row>
    <row r="114" spans="1:10" x14ac:dyDescent="0.25">
      <c r="A114" t="s">
        <v>238</v>
      </c>
      <c r="B114" s="18">
        <v>43292</v>
      </c>
      <c r="C114" t="s">
        <v>111</v>
      </c>
      <c r="D114" t="s">
        <v>99</v>
      </c>
      <c r="E114">
        <v>15</v>
      </c>
      <c r="F114">
        <v>150</v>
      </c>
      <c r="G114">
        <v>2250</v>
      </c>
      <c r="H114">
        <v>0.02</v>
      </c>
      <c r="I114">
        <v>45</v>
      </c>
      <c r="J114" t="s">
        <v>110</v>
      </c>
    </row>
    <row r="115" spans="1:10" x14ac:dyDescent="0.25">
      <c r="A115" t="s">
        <v>239</v>
      </c>
      <c r="B115" s="18">
        <v>43292</v>
      </c>
      <c r="C115" t="s">
        <v>95</v>
      </c>
      <c r="D115" t="s">
        <v>106</v>
      </c>
      <c r="E115">
        <v>16</v>
      </c>
      <c r="F115">
        <v>80</v>
      </c>
      <c r="G115">
        <v>1280</v>
      </c>
      <c r="H115">
        <v>0.1</v>
      </c>
      <c r="I115">
        <v>128</v>
      </c>
      <c r="J115" t="s">
        <v>112</v>
      </c>
    </row>
    <row r="116" spans="1:10" x14ac:dyDescent="0.25">
      <c r="A116" t="s">
        <v>240</v>
      </c>
      <c r="B116" s="18">
        <v>43292</v>
      </c>
      <c r="C116" t="s">
        <v>101</v>
      </c>
      <c r="D116" t="s">
        <v>109</v>
      </c>
      <c r="E116">
        <v>17</v>
      </c>
      <c r="F116">
        <v>230</v>
      </c>
      <c r="G116">
        <v>3910</v>
      </c>
      <c r="H116">
        <v>0.11</v>
      </c>
      <c r="I116">
        <v>430.1</v>
      </c>
      <c r="J116" t="s">
        <v>113</v>
      </c>
    </row>
    <row r="117" spans="1:10" x14ac:dyDescent="0.25">
      <c r="A117" t="s">
        <v>241</v>
      </c>
      <c r="B117" s="18">
        <v>43292</v>
      </c>
      <c r="C117" t="s">
        <v>98</v>
      </c>
      <c r="D117" t="s">
        <v>109</v>
      </c>
      <c r="E117">
        <v>16</v>
      </c>
      <c r="F117">
        <v>40</v>
      </c>
      <c r="G117">
        <v>640</v>
      </c>
      <c r="H117">
        <v>0.11</v>
      </c>
      <c r="I117">
        <v>70.400000000000006</v>
      </c>
      <c r="J117" t="s">
        <v>114</v>
      </c>
    </row>
    <row r="118" spans="1:10" x14ac:dyDescent="0.25">
      <c r="A118" t="s">
        <v>242</v>
      </c>
      <c r="B118" s="18">
        <v>43292</v>
      </c>
      <c r="C118" t="s">
        <v>95</v>
      </c>
      <c r="D118" t="s">
        <v>106</v>
      </c>
      <c r="E118">
        <v>2</v>
      </c>
      <c r="F118">
        <v>80</v>
      </c>
      <c r="G118">
        <v>160</v>
      </c>
      <c r="H118">
        <v>0.08</v>
      </c>
      <c r="I118">
        <v>12.8</v>
      </c>
      <c r="J118" t="s">
        <v>115</v>
      </c>
    </row>
    <row r="119" spans="1:10" x14ac:dyDescent="0.25">
      <c r="A119" t="s">
        <v>243</v>
      </c>
      <c r="B119" s="18">
        <v>43292</v>
      </c>
      <c r="C119" t="s">
        <v>111</v>
      </c>
      <c r="D119" t="s">
        <v>99</v>
      </c>
      <c r="E119">
        <v>22</v>
      </c>
      <c r="F119">
        <v>150</v>
      </c>
      <c r="G119">
        <v>3300</v>
      </c>
      <c r="H119">
        <v>0.02</v>
      </c>
      <c r="I119">
        <v>66</v>
      </c>
      <c r="J119" t="s">
        <v>116</v>
      </c>
    </row>
    <row r="120" spans="1:10" x14ac:dyDescent="0.25">
      <c r="A120" t="s">
        <v>244</v>
      </c>
      <c r="B120" s="18">
        <v>43292</v>
      </c>
      <c r="C120" t="s">
        <v>95</v>
      </c>
      <c r="D120" t="s">
        <v>96</v>
      </c>
      <c r="E120">
        <v>16</v>
      </c>
      <c r="F120">
        <v>80</v>
      </c>
      <c r="G120">
        <v>1280</v>
      </c>
      <c r="H120">
        <v>0.03</v>
      </c>
      <c r="I120">
        <v>38.4</v>
      </c>
      <c r="J120" t="s">
        <v>97</v>
      </c>
    </row>
    <row r="121" spans="1:10" x14ac:dyDescent="0.25">
      <c r="A121" t="s">
        <v>245</v>
      </c>
      <c r="B121" s="18">
        <v>43293</v>
      </c>
      <c r="C121" t="s">
        <v>108</v>
      </c>
      <c r="D121" t="s">
        <v>96</v>
      </c>
      <c r="E121">
        <v>20</v>
      </c>
      <c r="F121">
        <v>16</v>
      </c>
      <c r="G121">
        <v>320</v>
      </c>
      <c r="H121">
        <v>0.11</v>
      </c>
      <c r="I121">
        <v>35.200000000000003</v>
      </c>
      <c r="J121" t="s">
        <v>100</v>
      </c>
    </row>
    <row r="122" spans="1:10" x14ac:dyDescent="0.25">
      <c r="A122" t="s">
        <v>246</v>
      </c>
      <c r="B122" s="18">
        <v>43293</v>
      </c>
      <c r="C122" t="s">
        <v>95</v>
      </c>
      <c r="D122" t="s">
        <v>109</v>
      </c>
      <c r="E122">
        <v>9</v>
      </c>
      <c r="F122">
        <v>80</v>
      </c>
      <c r="G122">
        <v>720</v>
      </c>
      <c r="H122">
        <v>7.0000000000000007E-2</v>
      </c>
      <c r="I122">
        <v>50.400000000000006</v>
      </c>
      <c r="J122" t="s">
        <v>102</v>
      </c>
    </row>
    <row r="123" spans="1:10" x14ac:dyDescent="0.25">
      <c r="A123" t="s">
        <v>247</v>
      </c>
      <c r="B123" s="18">
        <v>43293</v>
      </c>
      <c r="C123" t="s">
        <v>101</v>
      </c>
      <c r="D123" t="s">
        <v>109</v>
      </c>
      <c r="E123">
        <v>5</v>
      </c>
      <c r="F123">
        <v>230</v>
      </c>
      <c r="G123">
        <v>1150</v>
      </c>
      <c r="H123">
        <v>0.12</v>
      </c>
      <c r="I123">
        <v>138</v>
      </c>
      <c r="J123" t="s">
        <v>103</v>
      </c>
    </row>
    <row r="124" spans="1:10" x14ac:dyDescent="0.25">
      <c r="A124" t="s">
        <v>248</v>
      </c>
      <c r="B124" s="18">
        <v>43293</v>
      </c>
      <c r="C124" t="s">
        <v>108</v>
      </c>
      <c r="D124" t="s">
        <v>96</v>
      </c>
      <c r="E124">
        <v>20</v>
      </c>
      <c r="F124">
        <v>16</v>
      </c>
      <c r="G124">
        <v>320</v>
      </c>
      <c r="H124">
        <v>0.01</v>
      </c>
      <c r="I124">
        <v>3.2</v>
      </c>
      <c r="J124" t="s">
        <v>105</v>
      </c>
    </row>
    <row r="125" spans="1:10" x14ac:dyDescent="0.25">
      <c r="A125" t="s">
        <v>249</v>
      </c>
      <c r="B125" s="18">
        <v>43293</v>
      </c>
      <c r="C125" t="s">
        <v>108</v>
      </c>
      <c r="D125" t="s">
        <v>96</v>
      </c>
      <c r="E125">
        <v>16</v>
      </c>
      <c r="F125">
        <v>16</v>
      </c>
      <c r="G125">
        <v>256</v>
      </c>
      <c r="H125">
        <v>0.03</v>
      </c>
      <c r="I125">
        <v>7.68</v>
      </c>
      <c r="J125" t="s">
        <v>107</v>
      </c>
    </row>
    <row r="126" spans="1:10" x14ac:dyDescent="0.25">
      <c r="A126" t="s">
        <v>250</v>
      </c>
      <c r="B126" s="18">
        <v>43293</v>
      </c>
      <c r="C126" t="s">
        <v>111</v>
      </c>
      <c r="D126" t="s">
        <v>106</v>
      </c>
      <c r="E126">
        <v>15</v>
      </c>
      <c r="F126">
        <v>150</v>
      </c>
      <c r="G126">
        <v>2250</v>
      </c>
      <c r="H126">
        <v>0.05</v>
      </c>
      <c r="I126">
        <v>112.5</v>
      </c>
      <c r="J126" t="s">
        <v>110</v>
      </c>
    </row>
    <row r="127" spans="1:10" x14ac:dyDescent="0.25">
      <c r="A127" t="s">
        <v>251</v>
      </c>
      <c r="B127" s="18">
        <v>43293</v>
      </c>
      <c r="C127" t="s">
        <v>101</v>
      </c>
      <c r="D127" t="s">
        <v>99</v>
      </c>
      <c r="E127">
        <v>19</v>
      </c>
      <c r="F127">
        <v>230</v>
      </c>
      <c r="G127">
        <v>4370</v>
      </c>
      <c r="H127">
        <v>0.11</v>
      </c>
      <c r="I127">
        <v>480.7</v>
      </c>
      <c r="J127" t="s">
        <v>112</v>
      </c>
    </row>
    <row r="128" spans="1:10" x14ac:dyDescent="0.25">
      <c r="A128" t="s">
        <v>252</v>
      </c>
      <c r="B128" s="18">
        <v>43294</v>
      </c>
      <c r="C128" t="s">
        <v>111</v>
      </c>
      <c r="D128" t="s">
        <v>104</v>
      </c>
      <c r="E128">
        <v>2</v>
      </c>
      <c r="F128">
        <v>150</v>
      </c>
      <c r="G128">
        <v>300</v>
      </c>
      <c r="H128">
        <v>0.02</v>
      </c>
      <c r="I128">
        <v>6</v>
      </c>
      <c r="J128" t="s">
        <v>113</v>
      </c>
    </row>
    <row r="129" spans="1:10" x14ac:dyDescent="0.25">
      <c r="A129" t="s">
        <v>253</v>
      </c>
      <c r="B129" s="18">
        <v>43294</v>
      </c>
      <c r="C129" t="s">
        <v>95</v>
      </c>
      <c r="D129" t="s">
        <v>109</v>
      </c>
      <c r="E129">
        <v>16</v>
      </c>
      <c r="F129">
        <v>80</v>
      </c>
      <c r="G129">
        <v>1280</v>
      </c>
      <c r="H129">
        <v>0.05</v>
      </c>
      <c r="I129">
        <v>64</v>
      </c>
      <c r="J129" t="s">
        <v>114</v>
      </c>
    </row>
    <row r="130" spans="1:10" x14ac:dyDescent="0.25">
      <c r="A130" t="s">
        <v>254</v>
      </c>
      <c r="B130" s="18">
        <v>43294</v>
      </c>
      <c r="C130" t="s">
        <v>98</v>
      </c>
      <c r="D130" t="s">
        <v>104</v>
      </c>
      <c r="E130">
        <v>2</v>
      </c>
      <c r="F130">
        <v>40</v>
      </c>
      <c r="G130">
        <v>80</v>
      </c>
      <c r="H130">
        <v>0.03</v>
      </c>
      <c r="I130">
        <v>2.4</v>
      </c>
      <c r="J130" t="s">
        <v>115</v>
      </c>
    </row>
    <row r="131" spans="1:10" x14ac:dyDescent="0.25">
      <c r="A131" t="s">
        <v>255</v>
      </c>
      <c r="B131" s="18">
        <v>43294</v>
      </c>
      <c r="C131" t="s">
        <v>95</v>
      </c>
      <c r="D131" t="s">
        <v>99</v>
      </c>
      <c r="E131">
        <v>5</v>
      </c>
      <c r="F131">
        <v>80</v>
      </c>
      <c r="G131">
        <v>400</v>
      </c>
      <c r="H131">
        <v>0.04</v>
      </c>
      <c r="I131">
        <v>16</v>
      </c>
      <c r="J131" t="s">
        <v>116</v>
      </c>
    </row>
    <row r="132" spans="1:10" x14ac:dyDescent="0.25">
      <c r="A132" t="s">
        <v>256</v>
      </c>
      <c r="B132" s="18">
        <v>43294</v>
      </c>
      <c r="C132" t="s">
        <v>101</v>
      </c>
      <c r="D132" t="s">
        <v>106</v>
      </c>
      <c r="E132">
        <v>17</v>
      </c>
      <c r="F132">
        <v>230</v>
      </c>
      <c r="G132">
        <v>3910</v>
      </c>
      <c r="H132">
        <v>0.12</v>
      </c>
      <c r="I132">
        <v>469.2</v>
      </c>
      <c r="J132" t="s">
        <v>97</v>
      </c>
    </row>
    <row r="133" spans="1:10" x14ac:dyDescent="0.25">
      <c r="A133" t="s">
        <v>257</v>
      </c>
      <c r="B133" s="18">
        <v>43294</v>
      </c>
      <c r="C133" t="s">
        <v>95</v>
      </c>
      <c r="D133" t="s">
        <v>96</v>
      </c>
      <c r="E133">
        <v>8</v>
      </c>
      <c r="F133">
        <v>80</v>
      </c>
      <c r="G133">
        <v>640</v>
      </c>
      <c r="H133">
        <v>0.08</v>
      </c>
      <c r="I133">
        <v>51.2</v>
      </c>
      <c r="J133" t="s">
        <v>100</v>
      </c>
    </row>
    <row r="134" spans="1:10" x14ac:dyDescent="0.25">
      <c r="A134" t="s">
        <v>258</v>
      </c>
      <c r="B134" s="18">
        <v>43294</v>
      </c>
      <c r="C134" t="s">
        <v>98</v>
      </c>
      <c r="D134" t="s">
        <v>99</v>
      </c>
      <c r="E134">
        <v>4</v>
      </c>
      <c r="F134">
        <v>40</v>
      </c>
      <c r="G134">
        <v>160</v>
      </c>
      <c r="H134">
        <v>0.06</v>
      </c>
      <c r="I134">
        <v>9.6</v>
      </c>
      <c r="J134" t="s">
        <v>102</v>
      </c>
    </row>
    <row r="135" spans="1:10" x14ac:dyDescent="0.25">
      <c r="A135" t="s">
        <v>259</v>
      </c>
      <c r="B135" s="18">
        <v>43294</v>
      </c>
      <c r="C135" t="s">
        <v>108</v>
      </c>
      <c r="D135" t="s">
        <v>104</v>
      </c>
      <c r="E135">
        <v>17</v>
      </c>
      <c r="F135">
        <v>16</v>
      </c>
      <c r="G135">
        <v>272</v>
      </c>
      <c r="H135">
        <v>0.05</v>
      </c>
      <c r="I135">
        <v>13.600000000000001</v>
      </c>
      <c r="J135" t="s">
        <v>103</v>
      </c>
    </row>
    <row r="136" spans="1:10" x14ac:dyDescent="0.25">
      <c r="A136" t="s">
        <v>260</v>
      </c>
      <c r="B136" s="18">
        <v>43294</v>
      </c>
      <c r="C136" t="s">
        <v>101</v>
      </c>
      <c r="D136" t="s">
        <v>106</v>
      </c>
      <c r="E136">
        <v>8</v>
      </c>
      <c r="F136">
        <v>230</v>
      </c>
      <c r="G136">
        <v>1840</v>
      </c>
      <c r="H136">
        <v>0.01</v>
      </c>
      <c r="I136">
        <v>18.400000000000002</v>
      </c>
      <c r="J136" t="s">
        <v>105</v>
      </c>
    </row>
    <row r="137" spans="1:10" x14ac:dyDescent="0.25">
      <c r="A137" t="s">
        <v>261</v>
      </c>
      <c r="B137" s="18">
        <v>43294</v>
      </c>
      <c r="C137" t="s">
        <v>108</v>
      </c>
      <c r="D137" t="s">
        <v>109</v>
      </c>
      <c r="E137">
        <v>19</v>
      </c>
      <c r="F137">
        <v>16</v>
      </c>
      <c r="G137">
        <v>304</v>
      </c>
      <c r="H137">
        <v>0.02</v>
      </c>
      <c r="I137">
        <v>6.08</v>
      </c>
      <c r="J137" t="s">
        <v>107</v>
      </c>
    </row>
    <row r="138" spans="1:10" x14ac:dyDescent="0.25">
      <c r="A138" t="s">
        <v>262</v>
      </c>
      <c r="B138" s="18">
        <v>43295</v>
      </c>
      <c r="C138" t="s">
        <v>98</v>
      </c>
      <c r="D138" t="s">
        <v>96</v>
      </c>
      <c r="E138">
        <v>18</v>
      </c>
      <c r="F138">
        <v>40</v>
      </c>
      <c r="G138">
        <v>720</v>
      </c>
      <c r="H138">
        <v>0.06</v>
      </c>
      <c r="I138">
        <v>43.199999999999996</v>
      </c>
      <c r="J138" t="s">
        <v>110</v>
      </c>
    </row>
    <row r="139" spans="1:10" x14ac:dyDescent="0.25">
      <c r="A139" t="s">
        <v>263</v>
      </c>
      <c r="B139" s="18">
        <v>43295</v>
      </c>
      <c r="C139" t="s">
        <v>111</v>
      </c>
      <c r="D139" t="s">
        <v>109</v>
      </c>
      <c r="E139">
        <v>23</v>
      </c>
      <c r="F139">
        <v>150</v>
      </c>
      <c r="G139">
        <v>3450</v>
      </c>
      <c r="H139">
        <v>0.08</v>
      </c>
      <c r="I139">
        <v>276</v>
      </c>
      <c r="J139" t="s">
        <v>112</v>
      </c>
    </row>
    <row r="140" spans="1:10" x14ac:dyDescent="0.25">
      <c r="A140" t="s">
        <v>264</v>
      </c>
      <c r="B140" s="18">
        <v>43295</v>
      </c>
      <c r="C140" t="s">
        <v>101</v>
      </c>
      <c r="D140" t="s">
        <v>96</v>
      </c>
      <c r="E140">
        <v>5</v>
      </c>
      <c r="F140">
        <v>230</v>
      </c>
      <c r="G140">
        <v>1150</v>
      </c>
      <c r="H140">
        <v>0.1</v>
      </c>
      <c r="I140">
        <v>115</v>
      </c>
      <c r="J140" t="s">
        <v>113</v>
      </c>
    </row>
    <row r="141" spans="1:10" x14ac:dyDescent="0.25">
      <c r="A141" t="s">
        <v>265</v>
      </c>
      <c r="B141" s="18">
        <v>43295</v>
      </c>
      <c r="C141" t="s">
        <v>95</v>
      </c>
      <c r="D141" t="s">
        <v>106</v>
      </c>
      <c r="E141">
        <v>21</v>
      </c>
      <c r="F141">
        <v>80</v>
      </c>
      <c r="G141">
        <v>1680</v>
      </c>
      <c r="H141">
        <v>0.02</v>
      </c>
      <c r="I141">
        <v>33.6</v>
      </c>
      <c r="J141" t="s">
        <v>114</v>
      </c>
    </row>
    <row r="142" spans="1:10" x14ac:dyDescent="0.25">
      <c r="A142" t="s">
        <v>266</v>
      </c>
      <c r="B142" s="18">
        <v>43295</v>
      </c>
      <c r="C142" t="s">
        <v>108</v>
      </c>
      <c r="D142" t="s">
        <v>104</v>
      </c>
      <c r="E142">
        <v>6</v>
      </c>
      <c r="F142">
        <v>16</v>
      </c>
      <c r="G142">
        <v>96</v>
      </c>
      <c r="H142">
        <v>7.0000000000000007E-2</v>
      </c>
      <c r="I142">
        <v>6.7200000000000006</v>
      </c>
      <c r="J142" t="s">
        <v>97</v>
      </c>
    </row>
    <row r="143" spans="1:10" x14ac:dyDescent="0.25">
      <c r="A143" t="s">
        <v>267</v>
      </c>
      <c r="B143" s="18">
        <v>43295</v>
      </c>
      <c r="C143" t="s">
        <v>98</v>
      </c>
      <c r="D143" t="s">
        <v>96</v>
      </c>
      <c r="E143">
        <v>9</v>
      </c>
      <c r="F143">
        <v>40</v>
      </c>
      <c r="G143">
        <v>360</v>
      </c>
      <c r="H143">
        <v>0.01</v>
      </c>
      <c r="I143">
        <v>3.6</v>
      </c>
      <c r="J143" t="s">
        <v>100</v>
      </c>
    </row>
    <row r="144" spans="1:10" x14ac:dyDescent="0.25">
      <c r="A144" t="s">
        <v>268</v>
      </c>
      <c r="B144" s="18">
        <v>43295</v>
      </c>
      <c r="C144" t="s">
        <v>101</v>
      </c>
      <c r="D144" t="s">
        <v>99</v>
      </c>
      <c r="E144">
        <v>9</v>
      </c>
      <c r="F144">
        <v>230</v>
      </c>
      <c r="G144">
        <v>2070</v>
      </c>
      <c r="H144">
        <v>0.03</v>
      </c>
      <c r="I144">
        <v>62.099999999999994</v>
      </c>
      <c r="J144" t="s">
        <v>102</v>
      </c>
    </row>
    <row r="145" spans="1:10" x14ac:dyDescent="0.25">
      <c r="A145" t="s">
        <v>269</v>
      </c>
      <c r="B145" s="18">
        <v>43295</v>
      </c>
      <c r="C145" t="s">
        <v>101</v>
      </c>
      <c r="D145" t="s">
        <v>104</v>
      </c>
      <c r="E145">
        <v>5</v>
      </c>
      <c r="F145">
        <v>230</v>
      </c>
      <c r="G145">
        <v>1150</v>
      </c>
      <c r="H145">
        <v>0.1</v>
      </c>
      <c r="I145">
        <v>115</v>
      </c>
      <c r="J145" t="s">
        <v>103</v>
      </c>
    </row>
    <row r="146" spans="1:10" x14ac:dyDescent="0.25">
      <c r="A146" t="s">
        <v>270</v>
      </c>
      <c r="B146" s="18">
        <v>43295</v>
      </c>
      <c r="C146" t="s">
        <v>98</v>
      </c>
      <c r="D146" t="s">
        <v>106</v>
      </c>
      <c r="E146">
        <v>7</v>
      </c>
      <c r="F146">
        <v>40</v>
      </c>
      <c r="G146">
        <v>280</v>
      </c>
      <c r="H146">
        <v>0.11</v>
      </c>
      <c r="I146">
        <v>30.8</v>
      </c>
      <c r="J146" t="s">
        <v>105</v>
      </c>
    </row>
    <row r="147" spans="1:10" x14ac:dyDescent="0.25">
      <c r="A147" t="s">
        <v>271</v>
      </c>
      <c r="B147" s="18">
        <v>43295</v>
      </c>
      <c r="C147" t="s">
        <v>101</v>
      </c>
      <c r="D147" t="s">
        <v>96</v>
      </c>
      <c r="E147">
        <v>20</v>
      </c>
      <c r="F147">
        <v>230</v>
      </c>
      <c r="G147">
        <v>4600</v>
      </c>
      <c r="H147">
        <v>0.04</v>
      </c>
      <c r="I147">
        <v>184</v>
      </c>
      <c r="J147" t="s">
        <v>107</v>
      </c>
    </row>
    <row r="148" spans="1:10" x14ac:dyDescent="0.25">
      <c r="A148" t="s">
        <v>272</v>
      </c>
      <c r="B148" s="18">
        <v>43295</v>
      </c>
      <c r="C148" t="s">
        <v>111</v>
      </c>
      <c r="D148" t="s">
        <v>96</v>
      </c>
      <c r="E148">
        <v>22</v>
      </c>
      <c r="F148">
        <v>150</v>
      </c>
      <c r="G148">
        <v>3300</v>
      </c>
      <c r="H148">
        <v>7.0000000000000007E-2</v>
      </c>
      <c r="I148">
        <v>231.00000000000003</v>
      </c>
      <c r="J148" t="s">
        <v>110</v>
      </c>
    </row>
    <row r="149" spans="1:10" x14ac:dyDescent="0.25">
      <c r="A149" t="s">
        <v>273</v>
      </c>
      <c r="B149" s="18">
        <v>43296</v>
      </c>
      <c r="C149" t="s">
        <v>101</v>
      </c>
      <c r="D149" t="s">
        <v>104</v>
      </c>
      <c r="E149">
        <v>6</v>
      </c>
      <c r="F149">
        <v>230</v>
      </c>
      <c r="G149">
        <v>1380</v>
      </c>
      <c r="H149">
        <v>0.05</v>
      </c>
      <c r="I149">
        <v>69</v>
      </c>
      <c r="J149" t="s">
        <v>112</v>
      </c>
    </row>
    <row r="150" spans="1:10" x14ac:dyDescent="0.25">
      <c r="A150" t="s">
        <v>274</v>
      </c>
      <c r="B150" s="18">
        <v>43296</v>
      </c>
      <c r="C150" t="s">
        <v>101</v>
      </c>
      <c r="D150" t="s">
        <v>104</v>
      </c>
      <c r="E150">
        <v>15</v>
      </c>
      <c r="F150">
        <v>230</v>
      </c>
      <c r="G150">
        <v>3450</v>
      </c>
      <c r="H150">
        <v>0.11</v>
      </c>
      <c r="I150">
        <v>379.5</v>
      </c>
      <c r="J150" t="s">
        <v>113</v>
      </c>
    </row>
    <row r="151" spans="1:10" x14ac:dyDescent="0.25">
      <c r="A151" t="s">
        <v>275</v>
      </c>
      <c r="B151" s="18">
        <v>43296</v>
      </c>
      <c r="C151" t="s">
        <v>98</v>
      </c>
      <c r="D151" t="s">
        <v>99</v>
      </c>
      <c r="E151">
        <v>8</v>
      </c>
      <c r="F151">
        <v>40</v>
      </c>
      <c r="G151">
        <v>320</v>
      </c>
      <c r="H151">
        <v>0.09</v>
      </c>
      <c r="I151">
        <v>28.799999999999997</v>
      </c>
      <c r="J151" t="s">
        <v>114</v>
      </c>
    </row>
    <row r="152" spans="1:10" x14ac:dyDescent="0.25">
      <c r="A152" t="s">
        <v>276</v>
      </c>
      <c r="B152" s="18">
        <v>43296</v>
      </c>
      <c r="C152" t="s">
        <v>98</v>
      </c>
      <c r="D152" t="s">
        <v>96</v>
      </c>
      <c r="E152">
        <v>5</v>
      </c>
      <c r="F152">
        <v>40</v>
      </c>
      <c r="G152">
        <v>200</v>
      </c>
      <c r="H152">
        <v>0.06</v>
      </c>
      <c r="I152">
        <v>12</v>
      </c>
      <c r="J152" t="s">
        <v>115</v>
      </c>
    </row>
    <row r="153" spans="1:10" x14ac:dyDescent="0.25">
      <c r="A153" t="s">
        <v>277</v>
      </c>
      <c r="B153" s="18">
        <v>43296</v>
      </c>
      <c r="C153" t="s">
        <v>95</v>
      </c>
      <c r="D153" t="s">
        <v>109</v>
      </c>
      <c r="E153">
        <v>6</v>
      </c>
      <c r="F153">
        <v>80</v>
      </c>
      <c r="G153">
        <v>480</v>
      </c>
      <c r="H153">
        <v>0.09</v>
      </c>
      <c r="I153">
        <v>43.199999999999996</v>
      </c>
      <c r="J153" t="s">
        <v>116</v>
      </c>
    </row>
    <row r="154" spans="1:10" x14ac:dyDescent="0.25">
      <c r="A154" t="s">
        <v>278</v>
      </c>
      <c r="B154" s="18">
        <v>43296</v>
      </c>
      <c r="C154" t="s">
        <v>98</v>
      </c>
      <c r="D154" t="s">
        <v>106</v>
      </c>
      <c r="E154">
        <v>22</v>
      </c>
      <c r="F154">
        <v>40</v>
      </c>
      <c r="G154">
        <v>880</v>
      </c>
      <c r="H154">
        <v>0.01</v>
      </c>
      <c r="I154">
        <v>8.8000000000000007</v>
      </c>
      <c r="J154" t="s">
        <v>97</v>
      </c>
    </row>
    <row r="155" spans="1:10" x14ac:dyDescent="0.25">
      <c r="A155" t="s">
        <v>279</v>
      </c>
      <c r="B155" s="18">
        <v>43296</v>
      </c>
      <c r="C155" t="s">
        <v>108</v>
      </c>
      <c r="D155" t="s">
        <v>96</v>
      </c>
      <c r="E155">
        <v>7</v>
      </c>
      <c r="F155">
        <v>16</v>
      </c>
      <c r="G155">
        <v>112</v>
      </c>
      <c r="H155">
        <v>0.08</v>
      </c>
      <c r="I155">
        <v>8.9600000000000009</v>
      </c>
      <c r="J155" t="s">
        <v>100</v>
      </c>
    </row>
    <row r="156" spans="1:10" x14ac:dyDescent="0.25">
      <c r="A156" t="s">
        <v>280</v>
      </c>
      <c r="B156" s="18">
        <v>43296</v>
      </c>
      <c r="C156" t="s">
        <v>111</v>
      </c>
      <c r="D156" t="s">
        <v>104</v>
      </c>
      <c r="E156">
        <v>22</v>
      </c>
      <c r="F156">
        <v>150</v>
      </c>
      <c r="G156">
        <v>3300</v>
      </c>
      <c r="H156">
        <v>0.04</v>
      </c>
      <c r="I156">
        <v>132</v>
      </c>
      <c r="J156" t="s">
        <v>102</v>
      </c>
    </row>
    <row r="157" spans="1:10" x14ac:dyDescent="0.25">
      <c r="A157" t="s">
        <v>281</v>
      </c>
      <c r="B157" s="18">
        <v>43296</v>
      </c>
      <c r="C157" t="s">
        <v>108</v>
      </c>
      <c r="D157" t="s">
        <v>106</v>
      </c>
      <c r="E157">
        <v>15</v>
      </c>
      <c r="F157">
        <v>16</v>
      </c>
      <c r="G157">
        <v>240</v>
      </c>
      <c r="H157">
        <v>0.12</v>
      </c>
      <c r="I157">
        <v>28.799999999999997</v>
      </c>
      <c r="J157" t="s">
        <v>103</v>
      </c>
    </row>
    <row r="158" spans="1:10" x14ac:dyDescent="0.25">
      <c r="A158" t="s">
        <v>282</v>
      </c>
      <c r="B158" s="18">
        <v>43296</v>
      </c>
      <c r="C158" t="s">
        <v>95</v>
      </c>
      <c r="D158" t="s">
        <v>104</v>
      </c>
      <c r="E158">
        <v>20</v>
      </c>
      <c r="F158">
        <v>80</v>
      </c>
      <c r="G158">
        <v>1600</v>
      </c>
      <c r="H158">
        <v>7.0000000000000007E-2</v>
      </c>
      <c r="I158">
        <v>112.00000000000001</v>
      </c>
      <c r="J158" t="s">
        <v>105</v>
      </c>
    </row>
    <row r="159" spans="1:10" x14ac:dyDescent="0.25">
      <c r="A159" t="s">
        <v>283</v>
      </c>
      <c r="B159" s="18">
        <v>43296</v>
      </c>
      <c r="C159" t="s">
        <v>95</v>
      </c>
      <c r="D159" t="s">
        <v>104</v>
      </c>
      <c r="E159">
        <v>7</v>
      </c>
      <c r="F159">
        <v>80</v>
      </c>
      <c r="G159">
        <v>560</v>
      </c>
      <c r="H159">
        <v>0.05</v>
      </c>
      <c r="I159">
        <v>28</v>
      </c>
      <c r="J159" t="s">
        <v>107</v>
      </c>
    </row>
    <row r="160" spans="1:10" x14ac:dyDescent="0.25">
      <c r="A160" t="s">
        <v>284</v>
      </c>
      <c r="B160" s="18">
        <v>43296</v>
      </c>
      <c r="C160" t="s">
        <v>95</v>
      </c>
      <c r="D160" t="s">
        <v>99</v>
      </c>
      <c r="E160">
        <v>10</v>
      </c>
      <c r="F160">
        <v>80</v>
      </c>
      <c r="G160">
        <v>800</v>
      </c>
      <c r="H160">
        <v>0.11</v>
      </c>
      <c r="I160">
        <v>88</v>
      </c>
      <c r="J160" t="s">
        <v>110</v>
      </c>
    </row>
    <row r="161" spans="1:10" x14ac:dyDescent="0.25">
      <c r="A161" t="s">
        <v>285</v>
      </c>
      <c r="B161" s="18">
        <v>43296</v>
      </c>
      <c r="C161" t="s">
        <v>95</v>
      </c>
      <c r="D161" t="s">
        <v>99</v>
      </c>
      <c r="E161">
        <v>2</v>
      </c>
      <c r="F161">
        <v>80</v>
      </c>
      <c r="G161">
        <v>160</v>
      </c>
      <c r="H161">
        <v>7.0000000000000007E-2</v>
      </c>
      <c r="I161">
        <v>11.200000000000001</v>
      </c>
      <c r="J161" t="s">
        <v>112</v>
      </c>
    </row>
    <row r="162" spans="1:10" x14ac:dyDescent="0.25">
      <c r="A162" t="s">
        <v>286</v>
      </c>
      <c r="B162" s="18">
        <v>43296</v>
      </c>
      <c r="C162" t="s">
        <v>108</v>
      </c>
      <c r="D162" t="s">
        <v>109</v>
      </c>
      <c r="E162">
        <v>23</v>
      </c>
      <c r="F162">
        <v>16</v>
      </c>
      <c r="G162">
        <v>368</v>
      </c>
      <c r="H162">
        <v>0.01</v>
      </c>
      <c r="I162">
        <v>3.68</v>
      </c>
      <c r="J162" t="s">
        <v>113</v>
      </c>
    </row>
    <row r="163" spans="1:10" x14ac:dyDescent="0.25">
      <c r="A163" t="s">
        <v>287</v>
      </c>
      <c r="B163" s="18">
        <v>43296</v>
      </c>
      <c r="C163" t="s">
        <v>101</v>
      </c>
      <c r="D163" t="s">
        <v>99</v>
      </c>
      <c r="E163">
        <v>12</v>
      </c>
      <c r="F163">
        <v>230</v>
      </c>
      <c r="G163">
        <v>2760</v>
      </c>
      <c r="H163">
        <v>0.03</v>
      </c>
      <c r="I163">
        <v>82.8</v>
      </c>
      <c r="J163" t="s">
        <v>114</v>
      </c>
    </row>
    <row r="164" spans="1:10" x14ac:dyDescent="0.25">
      <c r="A164" t="s">
        <v>288</v>
      </c>
      <c r="B164" s="18">
        <v>43297</v>
      </c>
      <c r="C164" t="s">
        <v>101</v>
      </c>
      <c r="D164" t="s">
        <v>96</v>
      </c>
      <c r="E164">
        <v>7</v>
      </c>
      <c r="F164">
        <v>230</v>
      </c>
      <c r="G164">
        <v>1610</v>
      </c>
      <c r="H164">
        <v>0.08</v>
      </c>
      <c r="I164">
        <v>128.80000000000001</v>
      </c>
      <c r="J164" t="s">
        <v>115</v>
      </c>
    </row>
    <row r="165" spans="1:10" x14ac:dyDescent="0.25">
      <c r="A165" t="s">
        <v>289</v>
      </c>
      <c r="B165" s="18">
        <v>43297</v>
      </c>
      <c r="C165" t="s">
        <v>98</v>
      </c>
      <c r="D165" t="s">
        <v>106</v>
      </c>
      <c r="E165">
        <v>11</v>
      </c>
      <c r="F165">
        <v>40</v>
      </c>
      <c r="G165">
        <v>440</v>
      </c>
      <c r="H165">
        <v>0.06</v>
      </c>
      <c r="I165">
        <v>26.4</v>
      </c>
      <c r="J165" t="s">
        <v>116</v>
      </c>
    </row>
    <row r="166" spans="1:10" x14ac:dyDescent="0.25">
      <c r="A166" t="s">
        <v>290</v>
      </c>
      <c r="B166" s="18">
        <v>43297</v>
      </c>
      <c r="C166" t="s">
        <v>101</v>
      </c>
      <c r="D166" t="s">
        <v>99</v>
      </c>
      <c r="E166">
        <v>7</v>
      </c>
      <c r="F166">
        <v>230</v>
      </c>
      <c r="G166">
        <v>1610</v>
      </c>
      <c r="H166">
        <v>0.08</v>
      </c>
      <c r="I166">
        <v>128.80000000000001</v>
      </c>
      <c r="J166" t="s">
        <v>97</v>
      </c>
    </row>
    <row r="167" spans="1:10" x14ac:dyDescent="0.25">
      <c r="A167" t="s">
        <v>291</v>
      </c>
      <c r="B167" s="18">
        <v>43297</v>
      </c>
      <c r="C167" t="s">
        <v>95</v>
      </c>
      <c r="D167" t="s">
        <v>96</v>
      </c>
      <c r="E167">
        <v>8</v>
      </c>
      <c r="F167">
        <v>80</v>
      </c>
      <c r="G167">
        <v>640</v>
      </c>
      <c r="H167">
        <v>0.09</v>
      </c>
      <c r="I167">
        <v>57.599999999999994</v>
      </c>
      <c r="J167" t="s">
        <v>100</v>
      </c>
    </row>
    <row r="168" spans="1:10" x14ac:dyDescent="0.25">
      <c r="A168" t="s">
        <v>292</v>
      </c>
      <c r="B168" s="18">
        <v>43297</v>
      </c>
      <c r="C168" t="s">
        <v>95</v>
      </c>
      <c r="D168" t="s">
        <v>106</v>
      </c>
      <c r="E168">
        <v>16</v>
      </c>
      <c r="F168">
        <v>80</v>
      </c>
      <c r="G168">
        <v>1280</v>
      </c>
      <c r="H168">
        <v>7.0000000000000007E-2</v>
      </c>
      <c r="I168">
        <v>89.600000000000009</v>
      </c>
      <c r="J168" t="s">
        <v>102</v>
      </c>
    </row>
    <row r="169" spans="1:10" x14ac:dyDescent="0.25">
      <c r="A169" t="s">
        <v>293</v>
      </c>
      <c r="B169" s="18">
        <v>43297</v>
      </c>
      <c r="C169" t="s">
        <v>95</v>
      </c>
      <c r="D169" t="s">
        <v>104</v>
      </c>
      <c r="E169">
        <v>16</v>
      </c>
      <c r="F169">
        <v>80</v>
      </c>
      <c r="G169">
        <v>1280</v>
      </c>
      <c r="H169">
        <v>0.04</v>
      </c>
      <c r="I169">
        <v>51.2</v>
      </c>
      <c r="J169" t="s">
        <v>103</v>
      </c>
    </row>
    <row r="170" spans="1:10" x14ac:dyDescent="0.25">
      <c r="A170" t="s">
        <v>294</v>
      </c>
      <c r="B170" s="18">
        <v>43297</v>
      </c>
      <c r="C170" t="s">
        <v>108</v>
      </c>
      <c r="D170" t="s">
        <v>104</v>
      </c>
      <c r="E170">
        <v>9</v>
      </c>
      <c r="F170">
        <v>16</v>
      </c>
      <c r="G170">
        <v>144</v>
      </c>
      <c r="H170">
        <v>0.05</v>
      </c>
      <c r="I170">
        <v>7.2</v>
      </c>
      <c r="J170" t="s">
        <v>105</v>
      </c>
    </row>
    <row r="171" spans="1:10" x14ac:dyDescent="0.25">
      <c r="A171" t="s">
        <v>295</v>
      </c>
      <c r="B171" s="18">
        <v>43297</v>
      </c>
      <c r="C171" t="s">
        <v>111</v>
      </c>
      <c r="D171" t="s">
        <v>109</v>
      </c>
      <c r="E171">
        <v>11</v>
      </c>
      <c r="F171">
        <v>150</v>
      </c>
      <c r="G171">
        <v>1650</v>
      </c>
      <c r="H171">
        <v>0.09</v>
      </c>
      <c r="I171">
        <v>148.5</v>
      </c>
      <c r="J171" t="s">
        <v>107</v>
      </c>
    </row>
    <row r="172" spans="1:10" x14ac:dyDescent="0.25">
      <c r="A172" t="s">
        <v>296</v>
      </c>
      <c r="B172" s="18">
        <v>43297</v>
      </c>
      <c r="C172" t="s">
        <v>108</v>
      </c>
      <c r="D172" t="s">
        <v>96</v>
      </c>
      <c r="E172">
        <v>4</v>
      </c>
      <c r="F172">
        <v>16</v>
      </c>
      <c r="G172">
        <v>64</v>
      </c>
      <c r="H172">
        <v>0.12</v>
      </c>
      <c r="I172">
        <v>7.68</v>
      </c>
      <c r="J172" t="s">
        <v>110</v>
      </c>
    </row>
    <row r="173" spans="1:10" x14ac:dyDescent="0.25">
      <c r="A173" t="s">
        <v>297</v>
      </c>
      <c r="B173" s="18">
        <v>43297</v>
      </c>
      <c r="C173" t="s">
        <v>98</v>
      </c>
      <c r="D173" t="s">
        <v>106</v>
      </c>
      <c r="E173">
        <v>15</v>
      </c>
      <c r="F173">
        <v>40</v>
      </c>
      <c r="G173">
        <v>600</v>
      </c>
      <c r="H173">
        <v>0.03</v>
      </c>
      <c r="I173">
        <v>18</v>
      </c>
      <c r="J173" t="s">
        <v>112</v>
      </c>
    </row>
    <row r="174" spans="1:10" x14ac:dyDescent="0.25">
      <c r="A174" t="s">
        <v>298</v>
      </c>
      <c r="B174" s="18">
        <v>43297</v>
      </c>
      <c r="C174" t="s">
        <v>98</v>
      </c>
      <c r="D174" t="s">
        <v>109</v>
      </c>
      <c r="E174">
        <v>20</v>
      </c>
      <c r="F174">
        <v>40</v>
      </c>
      <c r="G174">
        <v>800</v>
      </c>
      <c r="H174">
        <v>0.03</v>
      </c>
      <c r="I174">
        <v>24</v>
      </c>
      <c r="J174" t="s">
        <v>113</v>
      </c>
    </row>
    <row r="175" spans="1:10" x14ac:dyDescent="0.25">
      <c r="A175" t="s">
        <v>299</v>
      </c>
      <c r="B175" s="18">
        <v>43298</v>
      </c>
      <c r="C175" t="s">
        <v>111</v>
      </c>
      <c r="D175" t="s">
        <v>104</v>
      </c>
      <c r="E175">
        <v>9</v>
      </c>
      <c r="F175">
        <v>150</v>
      </c>
      <c r="G175">
        <v>1350</v>
      </c>
      <c r="H175">
        <v>0.06</v>
      </c>
      <c r="I175">
        <v>81</v>
      </c>
      <c r="J175" t="s">
        <v>114</v>
      </c>
    </row>
    <row r="176" spans="1:10" x14ac:dyDescent="0.25">
      <c r="A176" t="s">
        <v>300</v>
      </c>
      <c r="B176" s="18">
        <v>43298</v>
      </c>
      <c r="C176" t="s">
        <v>98</v>
      </c>
      <c r="D176" t="s">
        <v>99</v>
      </c>
      <c r="E176">
        <v>23</v>
      </c>
      <c r="F176">
        <v>40</v>
      </c>
      <c r="G176">
        <v>920</v>
      </c>
      <c r="H176">
        <v>0.06</v>
      </c>
      <c r="I176">
        <v>55.199999999999996</v>
      </c>
      <c r="J176" t="s">
        <v>115</v>
      </c>
    </row>
    <row r="177" spans="1:10" x14ac:dyDescent="0.25">
      <c r="A177" t="s">
        <v>301</v>
      </c>
      <c r="B177" s="18">
        <v>43298</v>
      </c>
      <c r="C177" t="s">
        <v>95</v>
      </c>
      <c r="D177" t="s">
        <v>109</v>
      </c>
      <c r="E177">
        <v>13</v>
      </c>
      <c r="F177">
        <v>80</v>
      </c>
      <c r="G177">
        <v>1040</v>
      </c>
      <c r="H177">
        <v>0.05</v>
      </c>
      <c r="I177">
        <v>52</v>
      </c>
      <c r="J177" t="s">
        <v>116</v>
      </c>
    </row>
    <row r="178" spans="1:10" x14ac:dyDescent="0.25">
      <c r="A178" t="s">
        <v>302</v>
      </c>
      <c r="B178" s="18">
        <v>43298</v>
      </c>
      <c r="C178" t="s">
        <v>108</v>
      </c>
      <c r="D178" t="s">
        <v>96</v>
      </c>
      <c r="E178">
        <v>22</v>
      </c>
      <c r="F178">
        <v>16</v>
      </c>
      <c r="G178">
        <v>352</v>
      </c>
      <c r="H178">
        <v>0.01</v>
      </c>
      <c r="I178">
        <v>3.52</v>
      </c>
      <c r="J178" t="s">
        <v>97</v>
      </c>
    </row>
    <row r="179" spans="1:10" x14ac:dyDescent="0.25">
      <c r="A179" t="s">
        <v>303</v>
      </c>
      <c r="B179" s="18">
        <v>43298</v>
      </c>
      <c r="C179" t="s">
        <v>98</v>
      </c>
      <c r="D179" t="s">
        <v>96</v>
      </c>
      <c r="E179">
        <v>19</v>
      </c>
      <c r="F179">
        <v>40</v>
      </c>
      <c r="G179">
        <v>760</v>
      </c>
      <c r="H179">
        <v>0.04</v>
      </c>
      <c r="I179">
        <v>30.400000000000002</v>
      </c>
      <c r="J179" t="s">
        <v>100</v>
      </c>
    </row>
    <row r="180" spans="1:10" x14ac:dyDescent="0.25">
      <c r="A180" t="s">
        <v>304</v>
      </c>
      <c r="B180" s="18">
        <v>43298</v>
      </c>
      <c r="C180" t="s">
        <v>95</v>
      </c>
      <c r="D180" t="s">
        <v>106</v>
      </c>
      <c r="E180">
        <v>4</v>
      </c>
      <c r="F180">
        <v>80</v>
      </c>
      <c r="G180">
        <v>320</v>
      </c>
      <c r="H180">
        <v>0.11</v>
      </c>
      <c r="I180">
        <v>35.200000000000003</v>
      </c>
      <c r="J180" t="s">
        <v>102</v>
      </c>
    </row>
    <row r="181" spans="1:10" x14ac:dyDescent="0.25">
      <c r="A181" t="s">
        <v>305</v>
      </c>
      <c r="B181" s="18">
        <v>43298</v>
      </c>
      <c r="C181" t="s">
        <v>108</v>
      </c>
      <c r="D181" t="s">
        <v>96</v>
      </c>
      <c r="E181">
        <v>12</v>
      </c>
      <c r="F181">
        <v>16</v>
      </c>
      <c r="G181">
        <v>192</v>
      </c>
      <c r="H181">
        <v>0.11</v>
      </c>
      <c r="I181">
        <v>21.12</v>
      </c>
      <c r="J181" t="s">
        <v>103</v>
      </c>
    </row>
    <row r="182" spans="1:10" x14ac:dyDescent="0.25">
      <c r="A182" t="s">
        <v>306</v>
      </c>
      <c r="B182" s="18">
        <v>43298</v>
      </c>
      <c r="C182" t="s">
        <v>111</v>
      </c>
      <c r="D182" t="s">
        <v>99</v>
      </c>
      <c r="E182">
        <v>16</v>
      </c>
      <c r="F182">
        <v>150</v>
      </c>
      <c r="G182">
        <v>2400</v>
      </c>
      <c r="H182">
        <v>0.08</v>
      </c>
      <c r="I182">
        <v>192</v>
      </c>
      <c r="J182" t="s">
        <v>105</v>
      </c>
    </row>
    <row r="183" spans="1:10" x14ac:dyDescent="0.25">
      <c r="A183" t="s">
        <v>307</v>
      </c>
      <c r="B183" s="18">
        <v>43298</v>
      </c>
      <c r="C183" t="s">
        <v>95</v>
      </c>
      <c r="D183" t="s">
        <v>96</v>
      </c>
      <c r="E183">
        <v>7</v>
      </c>
      <c r="F183">
        <v>80</v>
      </c>
      <c r="G183">
        <v>560</v>
      </c>
      <c r="H183">
        <v>0.02</v>
      </c>
      <c r="I183">
        <v>11.200000000000001</v>
      </c>
      <c r="J183" t="s">
        <v>107</v>
      </c>
    </row>
    <row r="184" spans="1:10" x14ac:dyDescent="0.25">
      <c r="A184" t="s">
        <v>308</v>
      </c>
      <c r="B184" s="18">
        <v>43298</v>
      </c>
      <c r="C184" t="s">
        <v>98</v>
      </c>
      <c r="D184" t="s">
        <v>109</v>
      </c>
      <c r="E184">
        <v>20</v>
      </c>
      <c r="F184">
        <v>40</v>
      </c>
      <c r="G184">
        <v>800</v>
      </c>
      <c r="H184">
        <v>7.0000000000000007E-2</v>
      </c>
      <c r="I184">
        <v>56.000000000000007</v>
      </c>
      <c r="J184" t="s">
        <v>110</v>
      </c>
    </row>
    <row r="185" spans="1:10" x14ac:dyDescent="0.25">
      <c r="A185" t="s">
        <v>309</v>
      </c>
      <c r="B185" s="18">
        <v>43298</v>
      </c>
      <c r="C185" t="s">
        <v>95</v>
      </c>
      <c r="D185" t="s">
        <v>99</v>
      </c>
      <c r="E185">
        <v>15</v>
      </c>
      <c r="F185">
        <v>80</v>
      </c>
      <c r="G185">
        <v>1200</v>
      </c>
      <c r="H185">
        <v>0.12</v>
      </c>
      <c r="I185">
        <v>144</v>
      </c>
      <c r="J185" t="s">
        <v>112</v>
      </c>
    </row>
    <row r="186" spans="1:10" x14ac:dyDescent="0.25">
      <c r="A186" t="s">
        <v>310</v>
      </c>
      <c r="B186" s="18">
        <v>43298</v>
      </c>
      <c r="C186" t="s">
        <v>98</v>
      </c>
      <c r="D186" t="s">
        <v>96</v>
      </c>
      <c r="E186">
        <v>5</v>
      </c>
      <c r="F186">
        <v>40</v>
      </c>
      <c r="G186">
        <v>200</v>
      </c>
      <c r="H186">
        <v>0.09</v>
      </c>
      <c r="I186">
        <v>18</v>
      </c>
      <c r="J186" t="s">
        <v>113</v>
      </c>
    </row>
    <row r="187" spans="1:10" x14ac:dyDescent="0.25">
      <c r="A187" t="s">
        <v>311</v>
      </c>
      <c r="B187" s="18">
        <v>43298</v>
      </c>
      <c r="C187" t="s">
        <v>108</v>
      </c>
      <c r="D187" t="s">
        <v>109</v>
      </c>
      <c r="E187">
        <v>12</v>
      </c>
      <c r="F187">
        <v>16</v>
      </c>
      <c r="G187">
        <v>192</v>
      </c>
      <c r="H187">
        <v>0.04</v>
      </c>
      <c r="I187">
        <v>7.68</v>
      </c>
      <c r="J187" t="s">
        <v>114</v>
      </c>
    </row>
    <row r="188" spans="1:10" x14ac:dyDescent="0.25">
      <c r="A188" t="s">
        <v>312</v>
      </c>
      <c r="B188" s="18">
        <v>43299</v>
      </c>
      <c r="C188" t="s">
        <v>111</v>
      </c>
      <c r="D188" t="s">
        <v>106</v>
      </c>
      <c r="E188">
        <v>3</v>
      </c>
      <c r="F188">
        <v>150</v>
      </c>
      <c r="G188">
        <v>450</v>
      </c>
      <c r="H188">
        <v>0.01</v>
      </c>
      <c r="I188">
        <v>4.5</v>
      </c>
      <c r="J188" t="s">
        <v>115</v>
      </c>
    </row>
    <row r="189" spans="1:10" x14ac:dyDescent="0.25">
      <c r="A189" t="s">
        <v>313</v>
      </c>
      <c r="B189" s="18">
        <v>43299</v>
      </c>
      <c r="C189" t="s">
        <v>98</v>
      </c>
      <c r="D189" t="s">
        <v>109</v>
      </c>
      <c r="E189">
        <v>7</v>
      </c>
      <c r="F189">
        <v>40</v>
      </c>
      <c r="G189">
        <v>280</v>
      </c>
      <c r="H189">
        <v>0.12</v>
      </c>
      <c r="I189">
        <v>33.6</v>
      </c>
      <c r="J189" t="s">
        <v>116</v>
      </c>
    </row>
    <row r="190" spans="1:10" x14ac:dyDescent="0.25">
      <c r="A190" t="s">
        <v>314</v>
      </c>
      <c r="B190" s="18">
        <v>43299</v>
      </c>
      <c r="C190" t="s">
        <v>95</v>
      </c>
      <c r="D190" t="s">
        <v>99</v>
      </c>
      <c r="E190">
        <v>2</v>
      </c>
      <c r="F190">
        <v>80</v>
      </c>
      <c r="G190">
        <v>160</v>
      </c>
      <c r="H190">
        <v>0.04</v>
      </c>
      <c r="I190">
        <v>6.4</v>
      </c>
      <c r="J190" t="s">
        <v>97</v>
      </c>
    </row>
    <row r="191" spans="1:10" x14ac:dyDescent="0.25">
      <c r="A191" t="s">
        <v>315</v>
      </c>
      <c r="B191" s="18">
        <v>43299</v>
      </c>
      <c r="C191" t="s">
        <v>98</v>
      </c>
      <c r="D191" t="s">
        <v>106</v>
      </c>
      <c r="E191">
        <v>6</v>
      </c>
      <c r="F191">
        <v>40</v>
      </c>
      <c r="G191">
        <v>240</v>
      </c>
      <c r="H191">
        <v>7.0000000000000007E-2</v>
      </c>
      <c r="I191">
        <v>16.8</v>
      </c>
      <c r="J191" t="s">
        <v>100</v>
      </c>
    </row>
    <row r="192" spans="1:10" x14ac:dyDescent="0.25">
      <c r="A192" t="s">
        <v>316</v>
      </c>
      <c r="B192" s="18">
        <v>43299</v>
      </c>
      <c r="C192" t="s">
        <v>108</v>
      </c>
      <c r="D192" t="s">
        <v>104</v>
      </c>
      <c r="E192">
        <v>6</v>
      </c>
      <c r="F192">
        <v>16</v>
      </c>
      <c r="G192">
        <v>96</v>
      </c>
      <c r="H192">
        <v>0.06</v>
      </c>
      <c r="I192">
        <v>5.76</v>
      </c>
      <c r="J192" t="s">
        <v>102</v>
      </c>
    </row>
    <row r="193" spans="1:10" x14ac:dyDescent="0.25">
      <c r="A193" t="s">
        <v>317</v>
      </c>
      <c r="B193" s="18">
        <v>43299</v>
      </c>
      <c r="C193" t="s">
        <v>108</v>
      </c>
      <c r="D193" t="s">
        <v>96</v>
      </c>
      <c r="E193">
        <v>7</v>
      </c>
      <c r="F193">
        <v>16</v>
      </c>
      <c r="G193">
        <v>112</v>
      </c>
      <c r="H193">
        <v>0.02</v>
      </c>
      <c r="I193">
        <v>2.2400000000000002</v>
      </c>
      <c r="J193" t="s">
        <v>103</v>
      </c>
    </row>
    <row r="194" spans="1:10" x14ac:dyDescent="0.25">
      <c r="A194" t="s">
        <v>318</v>
      </c>
      <c r="B194" s="18">
        <v>43299</v>
      </c>
      <c r="C194" t="s">
        <v>108</v>
      </c>
      <c r="D194" t="s">
        <v>99</v>
      </c>
      <c r="E194">
        <v>20</v>
      </c>
      <c r="F194">
        <v>16</v>
      </c>
      <c r="G194">
        <v>320</v>
      </c>
      <c r="H194">
        <v>0.06</v>
      </c>
      <c r="I194">
        <v>19.2</v>
      </c>
      <c r="J194" t="s">
        <v>105</v>
      </c>
    </row>
    <row r="195" spans="1:10" x14ac:dyDescent="0.25">
      <c r="A195" t="s">
        <v>319</v>
      </c>
      <c r="B195" s="18">
        <v>43299</v>
      </c>
      <c r="C195" t="s">
        <v>108</v>
      </c>
      <c r="D195" t="s">
        <v>99</v>
      </c>
      <c r="E195">
        <v>21</v>
      </c>
      <c r="F195">
        <v>16</v>
      </c>
      <c r="G195">
        <v>336</v>
      </c>
      <c r="H195">
        <v>0.02</v>
      </c>
      <c r="I195">
        <v>6.72</v>
      </c>
      <c r="J195" t="s">
        <v>107</v>
      </c>
    </row>
    <row r="196" spans="1:10" x14ac:dyDescent="0.25">
      <c r="A196" t="s">
        <v>320</v>
      </c>
      <c r="B196" s="18">
        <v>43299</v>
      </c>
      <c r="C196" t="s">
        <v>95</v>
      </c>
      <c r="D196" t="s">
        <v>106</v>
      </c>
      <c r="E196">
        <v>21</v>
      </c>
      <c r="F196">
        <v>80</v>
      </c>
      <c r="G196">
        <v>1680</v>
      </c>
      <c r="H196">
        <v>0.05</v>
      </c>
      <c r="I196">
        <v>84</v>
      </c>
      <c r="J196" t="s">
        <v>110</v>
      </c>
    </row>
    <row r="197" spans="1:10" x14ac:dyDescent="0.25">
      <c r="A197" t="s">
        <v>321</v>
      </c>
      <c r="B197" s="18">
        <v>43299</v>
      </c>
      <c r="C197" t="s">
        <v>108</v>
      </c>
      <c r="D197" t="s">
        <v>106</v>
      </c>
      <c r="E197">
        <v>10</v>
      </c>
      <c r="F197">
        <v>16</v>
      </c>
      <c r="G197">
        <v>160</v>
      </c>
      <c r="H197">
        <v>0.01</v>
      </c>
      <c r="I197">
        <v>1.6</v>
      </c>
      <c r="J197" t="s">
        <v>112</v>
      </c>
    </row>
    <row r="198" spans="1:10" x14ac:dyDescent="0.25">
      <c r="A198" t="s">
        <v>322</v>
      </c>
      <c r="B198" s="18">
        <v>43300</v>
      </c>
      <c r="C198" t="s">
        <v>101</v>
      </c>
      <c r="D198" t="s">
        <v>106</v>
      </c>
      <c r="E198">
        <v>2</v>
      </c>
      <c r="F198">
        <v>230</v>
      </c>
      <c r="G198">
        <v>460</v>
      </c>
      <c r="H198">
        <v>0.09</v>
      </c>
      <c r="I198">
        <v>41.4</v>
      </c>
      <c r="J198" t="s">
        <v>113</v>
      </c>
    </row>
    <row r="199" spans="1:10" x14ac:dyDescent="0.25">
      <c r="A199" t="s">
        <v>323</v>
      </c>
      <c r="B199" s="18">
        <v>43300</v>
      </c>
      <c r="C199" t="s">
        <v>111</v>
      </c>
      <c r="D199" t="s">
        <v>96</v>
      </c>
      <c r="E199">
        <v>20</v>
      </c>
      <c r="F199">
        <v>150</v>
      </c>
      <c r="G199">
        <v>3000</v>
      </c>
      <c r="H199">
        <v>0.03</v>
      </c>
      <c r="I199">
        <v>90</v>
      </c>
      <c r="J199" t="s">
        <v>114</v>
      </c>
    </row>
    <row r="200" spans="1:10" x14ac:dyDescent="0.25">
      <c r="A200" t="s">
        <v>324</v>
      </c>
      <c r="B200" s="18">
        <v>43300</v>
      </c>
      <c r="C200" t="s">
        <v>98</v>
      </c>
      <c r="D200" t="s">
        <v>96</v>
      </c>
      <c r="E200">
        <v>23</v>
      </c>
      <c r="F200">
        <v>40</v>
      </c>
      <c r="G200">
        <v>920</v>
      </c>
      <c r="H200">
        <v>0.03</v>
      </c>
      <c r="I200">
        <v>27.599999999999998</v>
      </c>
      <c r="J200" t="s">
        <v>115</v>
      </c>
    </row>
    <row r="201" spans="1:10" x14ac:dyDescent="0.25">
      <c r="A201" t="s">
        <v>325</v>
      </c>
      <c r="B201" s="18">
        <v>43300</v>
      </c>
      <c r="C201" t="s">
        <v>95</v>
      </c>
      <c r="D201" t="s">
        <v>106</v>
      </c>
      <c r="E201">
        <v>17</v>
      </c>
      <c r="F201">
        <v>80</v>
      </c>
      <c r="G201">
        <v>1360</v>
      </c>
      <c r="H201">
        <v>0.05</v>
      </c>
      <c r="I201">
        <v>68</v>
      </c>
      <c r="J201" t="s">
        <v>116</v>
      </c>
    </row>
    <row r="202" spans="1:10" x14ac:dyDescent="0.25">
      <c r="A202" t="s">
        <v>326</v>
      </c>
      <c r="B202" s="18">
        <v>43300</v>
      </c>
      <c r="C202" t="s">
        <v>101</v>
      </c>
      <c r="D202" t="s">
        <v>106</v>
      </c>
      <c r="E202">
        <v>11</v>
      </c>
      <c r="F202">
        <v>230</v>
      </c>
      <c r="G202">
        <v>2530</v>
      </c>
      <c r="H202">
        <v>0.12</v>
      </c>
      <c r="I202">
        <v>303.59999999999997</v>
      </c>
      <c r="J202" t="s">
        <v>97</v>
      </c>
    </row>
    <row r="203" spans="1:10" x14ac:dyDescent="0.25">
      <c r="A203" t="s">
        <v>327</v>
      </c>
      <c r="B203" s="18">
        <v>43300</v>
      </c>
      <c r="C203" t="s">
        <v>111</v>
      </c>
      <c r="D203" t="s">
        <v>99</v>
      </c>
      <c r="E203">
        <v>10</v>
      </c>
      <c r="F203">
        <v>150</v>
      </c>
      <c r="G203">
        <v>1500</v>
      </c>
      <c r="H203">
        <v>0.01</v>
      </c>
      <c r="I203">
        <v>15</v>
      </c>
      <c r="J203" t="s">
        <v>100</v>
      </c>
    </row>
    <row r="204" spans="1:10" x14ac:dyDescent="0.25">
      <c r="A204" t="s">
        <v>328</v>
      </c>
      <c r="B204" s="18">
        <v>43300</v>
      </c>
      <c r="C204" t="s">
        <v>95</v>
      </c>
      <c r="D204" t="s">
        <v>99</v>
      </c>
      <c r="E204">
        <v>17</v>
      </c>
      <c r="F204">
        <v>80</v>
      </c>
      <c r="G204">
        <v>1360</v>
      </c>
      <c r="H204">
        <v>0.03</v>
      </c>
      <c r="I204">
        <v>40.799999999999997</v>
      </c>
      <c r="J204" t="s">
        <v>102</v>
      </c>
    </row>
    <row r="205" spans="1:10" x14ac:dyDescent="0.25">
      <c r="A205" t="s">
        <v>329</v>
      </c>
      <c r="B205" s="18">
        <v>43301</v>
      </c>
      <c r="C205" t="s">
        <v>101</v>
      </c>
      <c r="D205" t="s">
        <v>96</v>
      </c>
      <c r="E205">
        <v>9</v>
      </c>
      <c r="F205">
        <v>230</v>
      </c>
      <c r="G205">
        <v>2070</v>
      </c>
      <c r="H205">
        <v>7.0000000000000007E-2</v>
      </c>
      <c r="I205">
        <v>144.9</v>
      </c>
      <c r="J205" t="s">
        <v>103</v>
      </c>
    </row>
    <row r="206" spans="1:10" x14ac:dyDescent="0.25">
      <c r="A206" t="s">
        <v>330</v>
      </c>
      <c r="B206" s="18">
        <v>43301</v>
      </c>
      <c r="C206" t="s">
        <v>101</v>
      </c>
      <c r="D206" t="s">
        <v>96</v>
      </c>
      <c r="E206">
        <v>11</v>
      </c>
      <c r="F206">
        <v>230</v>
      </c>
      <c r="G206">
        <v>2530</v>
      </c>
      <c r="H206">
        <v>0.02</v>
      </c>
      <c r="I206">
        <v>50.6</v>
      </c>
      <c r="J206" t="s">
        <v>105</v>
      </c>
    </row>
    <row r="207" spans="1:10" x14ac:dyDescent="0.25">
      <c r="A207" t="s">
        <v>331</v>
      </c>
      <c r="B207" s="18">
        <v>43301</v>
      </c>
      <c r="C207" t="s">
        <v>98</v>
      </c>
      <c r="D207" t="s">
        <v>104</v>
      </c>
      <c r="E207">
        <v>2</v>
      </c>
      <c r="F207">
        <v>40</v>
      </c>
      <c r="G207">
        <v>80</v>
      </c>
      <c r="H207">
        <v>0.02</v>
      </c>
      <c r="I207">
        <v>1.6</v>
      </c>
      <c r="J207" t="s">
        <v>107</v>
      </c>
    </row>
    <row r="208" spans="1:10" x14ac:dyDescent="0.25">
      <c r="A208" t="s">
        <v>332</v>
      </c>
      <c r="B208" s="18">
        <v>43301</v>
      </c>
      <c r="C208" t="s">
        <v>101</v>
      </c>
      <c r="D208" t="s">
        <v>109</v>
      </c>
      <c r="E208">
        <v>3</v>
      </c>
      <c r="F208">
        <v>230</v>
      </c>
      <c r="G208">
        <v>690</v>
      </c>
      <c r="H208">
        <v>0.1</v>
      </c>
      <c r="I208">
        <v>69</v>
      </c>
      <c r="J208" t="s">
        <v>110</v>
      </c>
    </row>
    <row r="209" spans="1:10" x14ac:dyDescent="0.25">
      <c r="A209" t="s">
        <v>333</v>
      </c>
      <c r="B209" s="18">
        <v>43301</v>
      </c>
      <c r="C209" t="s">
        <v>98</v>
      </c>
      <c r="D209" t="s">
        <v>109</v>
      </c>
      <c r="E209">
        <v>7</v>
      </c>
      <c r="F209">
        <v>40</v>
      </c>
      <c r="G209">
        <v>280</v>
      </c>
      <c r="H209">
        <v>0.05</v>
      </c>
      <c r="I209">
        <v>14</v>
      </c>
      <c r="J209" t="s">
        <v>112</v>
      </c>
    </row>
    <row r="210" spans="1:10" x14ac:dyDescent="0.25">
      <c r="A210" t="s">
        <v>334</v>
      </c>
      <c r="B210" s="18">
        <v>43301</v>
      </c>
      <c r="C210" t="s">
        <v>111</v>
      </c>
      <c r="D210" t="s">
        <v>99</v>
      </c>
      <c r="E210">
        <v>20</v>
      </c>
      <c r="F210">
        <v>150</v>
      </c>
      <c r="G210">
        <v>3000</v>
      </c>
      <c r="H210">
        <v>0.09</v>
      </c>
      <c r="I210">
        <v>270</v>
      </c>
      <c r="J210" t="s">
        <v>113</v>
      </c>
    </row>
    <row r="211" spans="1:10" x14ac:dyDescent="0.25">
      <c r="A211" t="s">
        <v>335</v>
      </c>
      <c r="B211" s="18">
        <v>43301</v>
      </c>
      <c r="C211" t="s">
        <v>98</v>
      </c>
      <c r="D211" t="s">
        <v>104</v>
      </c>
      <c r="E211">
        <v>4</v>
      </c>
      <c r="F211">
        <v>40</v>
      </c>
      <c r="G211">
        <v>160</v>
      </c>
      <c r="H211">
        <v>0.11</v>
      </c>
      <c r="I211">
        <v>17.600000000000001</v>
      </c>
      <c r="J211" t="s">
        <v>114</v>
      </c>
    </row>
    <row r="212" spans="1:10" x14ac:dyDescent="0.25">
      <c r="A212" t="s">
        <v>336</v>
      </c>
      <c r="B212" s="18">
        <v>43302</v>
      </c>
      <c r="C212" t="s">
        <v>101</v>
      </c>
      <c r="D212" t="s">
        <v>104</v>
      </c>
      <c r="E212">
        <v>2</v>
      </c>
      <c r="F212">
        <v>230</v>
      </c>
      <c r="G212">
        <v>460</v>
      </c>
      <c r="H212">
        <v>0.09</v>
      </c>
      <c r="I212">
        <v>41.4</v>
      </c>
      <c r="J212" t="s">
        <v>97</v>
      </c>
    </row>
    <row r="213" spans="1:10" x14ac:dyDescent="0.25">
      <c r="A213" t="s">
        <v>337</v>
      </c>
      <c r="B213" s="18">
        <v>43302</v>
      </c>
      <c r="C213" t="s">
        <v>98</v>
      </c>
      <c r="D213" t="s">
        <v>99</v>
      </c>
      <c r="E213">
        <v>7</v>
      </c>
      <c r="F213">
        <v>40</v>
      </c>
      <c r="G213">
        <v>280</v>
      </c>
      <c r="H213">
        <v>0.01</v>
      </c>
      <c r="I213">
        <v>2.8000000000000003</v>
      </c>
      <c r="J213" t="s">
        <v>100</v>
      </c>
    </row>
    <row r="214" spans="1:10" x14ac:dyDescent="0.25">
      <c r="A214" t="s">
        <v>338</v>
      </c>
      <c r="B214" s="18">
        <v>43302</v>
      </c>
      <c r="C214" t="s">
        <v>98</v>
      </c>
      <c r="D214" t="s">
        <v>96</v>
      </c>
      <c r="E214">
        <v>2</v>
      </c>
      <c r="F214">
        <v>40</v>
      </c>
      <c r="G214">
        <v>80</v>
      </c>
      <c r="H214">
        <v>0.12</v>
      </c>
      <c r="I214">
        <v>9.6</v>
      </c>
      <c r="J214" t="s">
        <v>102</v>
      </c>
    </row>
    <row r="215" spans="1:10" x14ac:dyDescent="0.25">
      <c r="A215" t="s">
        <v>339</v>
      </c>
      <c r="B215" s="18">
        <v>43302</v>
      </c>
      <c r="C215" t="s">
        <v>95</v>
      </c>
      <c r="D215" t="s">
        <v>99</v>
      </c>
      <c r="E215">
        <v>3</v>
      </c>
      <c r="F215">
        <v>80</v>
      </c>
      <c r="G215">
        <v>240</v>
      </c>
      <c r="H215">
        <v>0.02</v>
      </c>
      <c r="I215">
        <v>4.8</v>
      </c>
      <c r="J215" t="s">
        <v>103</v>
      </c>
    </row>
    <row r="216" spans="1:10" x14ac:dyDescent="0.25">
      <c r="A216" t="s">
        <v>340</v>
      </c>
      <c r="B216" s="18">
        <v>43302</v>
      </c>
      <c r="C216" t="s">
        <v>108</v>
      </c>
      <c r="D216" t="s">
        <v>96</v>
      </c>
      <c r="E216">
        <v>18</v>
      </c>
      <c r="F216">
        <v>16</v>
      </c>
      <c r="G216">
        <v>288</v>
      </c>
      <c r="H216">
        <v>0.11</v>
      </c>
      <c r="I216">
        <v>31.68</v>
      </c>
      <c r="J216" t="s">
        <v>105</v>
      </c>
    </row>
    <row r="217" spans="1:10" x14ac:dyDescent="0.25">
      <c r="A217" t="s">
        <v>341</v>
      </c>
      <c r="B217" s="18">
        <v>43302</v>
      </c>
      <c r="C217" t="s">
        <v>95</v>
      </c>
      <c r="D217" t="s">
        <v>99</v>
      </c>
      <c r="E217">
        <v>5</v>
      </c>
      <c r="F217">
        <v>80</v>
      </c>
      <c r="G217">
        <v>400</v>
      </c>
      <c r="H217">
        <v>7.0000000000000007E-2</v>
      </c>
      <c r="I217">
        <v>28.000000000000004</v>
      </c>
      <c r="J217" t="s">
        <v>107</v>
      </c>
    </row>
    <row r="218" spans="1:10" x14ac:dyDescent="0.25">
      <c r="A218" t="s">
        <v>342</v>
      </c>
      <c r="B218" s="18">
        <v>43302</v>
      </c>
      <c r="C218" t="s">
        <v>108</v>
      </c>
      <c r="D218" t="s">
        <v>104</v>
      </c>
      <c r="E218">
        <v>3</v>
      </c>
      <c r="F218">
        <v>16</v>
      </c>
      <c r="G218">
        <v>48</v>
      </c>
      <c r="H218">
        <v>0.05</v>
      </c>
      <c r="I218">
        <v>2.4000000000000004</v>
      </c>
      <c r="J218" t="s">
        <v>110</v>
      </c>
    </row>
    <row r="219" spans="1:10" x14ac:dyDescent="0.25">
      <c r="A219" t="s">
        <v>343</v>
      </c>
      <c r="B219" s="18">
        <v>43302</v>
      </c>
      <c r="C219" t="s">
        <v>95</v>
      </c>
      <c r="D219" t="s">
        <v>106</v>
      </c>
      <c r="E219">
        <v>7</v>
      </c>
      <c r="F219">
        <v>80</v>
      </c>
      <c r="G219">
        <v>560</v>
      </c>
      <c r="H219">
        <v>0.02</v>
      </c>
      <c r="I219">
        <v>11.200000000000001</v>
      </c>
      <c r="J219" t="s">
        <v>112</v>
      </c>
    </row>
    <row r="220" spans="1:10" x14ac:dyDescent="0.25">
      <c r="A220" t="s">
        <v>344</v>
      </c>
      <c r="B220" s="18">
        <v>43302</v>
      </c>
      <c r="C220" t="s">
        <v>111</v>
      </c>
      <c r="D220" t="s">
        <v>106</v>
      </c>
      <c r="E220">
        <v>15</v>
      </c>
      <c r="F220">
        <v>150</v>
      </c>
      <c r="G220">
        <v>2250</v>
      </c>
      <c r="H220">
        <v>0.08</v>
      </c>
      <c r="I220">
        <v>180</v>
      </c>
      <c r="J220" t="s">
        <v>113</v>
      </c>
    </row>
    <row r="221" spans="1:10" x14ac:dyDescent="0.25">
      <c r="A221" t="s">
        <v>345</v>
      </c>
      <c r="B221" s="18">
        <v>43302</v>
      </c>
      <c r="C221" t="s">
        <v>95</v>
      </c>
      <c r="D221" t="s">
        <v>104</v>
      </c>
      <c r="E221">
        <v>10</v>
      </c>
      <c r="F221">
        <v>80</v>
      </c>
      <c r="G221">
        <v>800</v>
      </c>
      <c r="H221">
        <v>0.11</v>
      </c>
      <c r="I221">
        <v>88</v>
      </c>
      <c r="J221" t="s">
        <v>114</v>
      </c>
    </row>
    <row r="222" spans="1:10" x14ac:dyDescent="0.25">
      <c r="A222" t="s">
        <v>346</v>
      </c>
      <c r="B222" s="18">
        <v>43302</v>
      </c>
      <c r="C222" t="s">
        <v>101</v>
      </c>
      <c r="D222" t="s">
        <v>109</v>
      </c>
      <c r="E222">
        <v>13</v>
      </c>
      <c r="F222">
        <v>230</v>
      </c>
      <c r="G222">
        <v>2990</v>
      </c>
      <c r="H222">
        <v>0.06</v>
      </c>
      <c r="I222">
        <v>179.4</v>
      </c>
      <c r="J222" t="s">
        <v>115</v>
      </c>
    </row>
    <row r="223" spans="1:10" x14ac:dyDescent="0.25">
      <c r="A223" t="s">
        <v>347</v>
      </c>
      <c r="B223" s="18">
        <v>43302</v>
      </c>
      <c r="C223" t="s">
        <v>98</v>
      </c>
      <c r="D223" t="s">
        <v>96</v>
      </c>
      <c r="E223">
        <v>7</v>
      </c>
      <c r="F223">
        <v>40</v>
      </c>
      <c r="G223">
        <v>280</v>
      </c>
      <c r="H223">
        <v>0.1</v>
      </c>
      <c r="I223">
        <v>28</v>
      </c>
      <c r="J223" t="s">
        <v>116</v>
      </c>
    </row>
    <row r="224" spans="1:10" x14ac:dyDescent="0.25">
      <c r="A224" t="s">
        <v>348</v>
      </c>
      <c r="B224" s="18">
        <v>43302</v>
      </c>
      <c r="C224" t="s">
        <v>108</v>
      </c>
      <c r="D224" t="s">
        <v>104</v>
      </c>
      <c r="E224">
        <v>6</v>
      </c>
      <c r="F224">
        <v>16</v>
      </c>
      <c r="G224">
        <v>96</v>
      </c>
      <c r="H224">
        <v>0.01</v>
      </c>
      <c r="I224">
        <v>0.96</v>
      </c>
      <c r="J224" t="s">
        <v>97</v>
      </c>
    </row>
    <row r="225" spans="1:10" x14ac:dyDescent="0.25">
      <c r="A225" t="s">
        <v>349</v>
      </c>
      <c r="B225" s="18">
        <v>43303</v>
      </c>
      <c r="C225" t="s">
        <v>98</v>
      </c>
      <c r="D225" t="s">
        <v>104</v>
      </c>
      <c r="E225">
        <v>11</v>
      </c>
      <c r="F225">
        <v>40</v>
      </c>
      <c r="G225">
        <v>440</v>
      </c>
      <c r="H225">
        <v>0.05</v>
      </c>
      <c r="I225">
        <v>22</v>
      </c>
      <c r="J225" t="s">
        <v>100</v>
      </c>
    </row>
    <row r="226" spans="1:10" x14ac:dyDescent="0.25">
      <c r="A226" t="s">
        <v>350</v>
      </c>
      <c r="B226" s="18">
        <v>43303</v>
      </c>
      <c r="C226" t="s">
        <v>95</v>
      </c>
      <c r="D226" t="s">
        <v>106</v>
      </c>
      <c r="E226">
        <v>8</v>
      </c>
      <c r="F226">
        <v>80</v>
      </c>
      <c r="G226">
        <v>640</v>
      </c>
      <c r="H226">
        <v>0.06</v>
      </c>
      <c r="I226">
        <v>38.4</v>
      </c>
      <c r="J226" t="s">
        <v>102</v>
      </c>
    </row>
    <row r="227" spans="1:10" x14ac:dyDescent="0.25">
      <c r="A227" t="s">
        <v>351</v>
      </c>
      <c r="B227" s="18">
        <v>43303</v>
      </c>
      <c r="C227" t="s">
        <v>95</v>
      </c>
      <c r="D227" t="s">
        <v>96</v>
      </c>
      <c r="E227">
        <v>9</v>
      </c>
      <c r="F227">
        <v>80</v>
      </c>
      <c r="G227">
        <v>720</v>
      </c>
      <c r="H227">
        <v>0.04</v>
      </c>
      <c r="I227">
        <v>28.8</v>
      </c>
      <c r="J227" t="s">
        <v>103</v>
      </c>
    </row>
    <row r="228" spans="1:10" x14ac:dyDescent="0.25">
      <c r="A228" t="s">
        <v>352</v>
      </c>
      <c r="B228" s="18">
        <v>43303</v>
      </c>
      <c r="C228" t="s">
        <v>98</v>
      </c>
      <c r="D228" t="s">
        <v>109</v>
      </c>
      <c r="E228">
        <v>4</v>
      </c>
      <c r="F228">
        <v>40</v>
      </c>
      <c r="G228">
        <v>160</v>
      </c>
      <c r="H228">
        <v>0.09</v>
      </c>
      <c r="I228">
        <v>14.399999999999999</v>
      </c>
      <c r="J228" t="s">
        <v>105</v>
      </c>
    </row>
    <row r="229" spans="1:10" x14ac:dyDescent="0.25">
      <c r="A229" t="s">
        <v>353</v>
      </c>
      <c r="B229" s="18">
        <v>43303</v>
      </c>
      <c r="C229" t="s">
        <v>95</v>
      </c>
      <c r="D229" t="s">
        <v>99</v>
      </c>
      <c r="E229">
        <v>13</v>
      </c>
      <c r="F229">
        <v>80</v>
      </c>
      <c r="G229">
        <v>1040</v>
      </c>
      <c r="H229">
        <v>0.06</v>
      </c>
      <c r="I229">
        <v>62.4</v>
      </c>
      <c r="J229" t="s">
        <v>107</v>
      </c>
    </row>
    <row r="230" spans="1:10" x14ac:dyDescent="0.25">
      <c r="A230" t="s">
        <v>354</v>
      </c>
      <c r="B230" s="18">
        <v>43303</v>
      </c>
      <c r="C230" t="s">
        <v>111</v>
      </c>
      <c r="D230" t="s">
        <v>109</v>
      </c>
      <c r="E230">
        <v>4</v>
      </c>
      <c r="F230">
        <v>150</v>
      </c>
      <c r="G230">
        <v>600</v>
      </c>
      <c r="H230">
        <v>0.05</v>
      </c>
      <c r="I230">
        <v>30</v>
      </c>
      <c r="J230" t="s">
        <v>110</v>
      </c>
    </row>
    <row r="231" spans="1:10" x14ac:dyDescent="0.25">
      <c r="A231" t="s">
        <v>355</v>
      </c>
      <c r="B231" s="18">
        <v>43303</v>
      </c>
      <c r="C231" t="s">
        <v>101</v>
      </c>
      <c r="D231" t="s">
        <v>104</v>
      </c>
      <c r="E231">
        <v>14</v>
      </c>
      <c r="F231">
        <v>230</v>
      </c>
      <c r="G231">
        <v>3220</v>
      </c>
      <c r="H231">
        <v>0.12</v>
      </c>
      <c r="I231">
        <v>386.4</v>
      </c>
      <c r="J231" t="s">
        <v>112</v>
      </c>
    </row>
    <row r="232" spans="1:10" x14ac:dyDescent="0.25">
      <c r="A232" t="s">
        <v>356</v>
      </c>
      <c r="B232" s="18">
        <v>43303</v>
      </c>
      <c r="C232" t="s">
        <v>111</v>
      </c>
      <c r="D232" t="s">
        <v>109</v>
      </c>
      <c r="E232">
        <v>13</v>
      </c>
      <c r="F232">
        <v>150</v>
      </c>
      <c r="G232">
        <v>1950</v>
      </c>
      <c r="H232">
        <v>0.11</v>
      </c>
      <c r="I232">
        <v>214.5</v>
      </c>
      <c r="J232" t="s">
        <v>113</v>
      </c>
    </row>
    <row r="233" spans="1:10" x14ac:dyDescent="0.25">
      <c r="A233" t="s">
        <v>357</v>
      </c>
      <c r="B233" s="18">
        <v>43303</v>
      </c>
      <c r="C233" t="s">
        <v>111</v>
      </c>
      <c r="D233" t="s">
        <v>99</v>
      </c>
      <c r="E233">
        <v>16</v>
      </c>
      <c r="F233">
        <v>150</v>
      </c>
      <c r="G233">
        <v>2400</v>
      </c>
      <c r="H233">
        <v>0.03</v>
      </c>
      <c r="I233">
        <v>72</v>
      </c>
      <c r="J233" t="s">
        <v>114</v>
      </c>
    </row>
    <row r="234" spans="1:10" x14ac:dyDescent="0.25">
      <c r="A234" t="s">
        <v>358</v>
      </c>
      <c r="B234" s="18">
        <v>43303</v>
      </c>
      <c r="C234" t="s">
        <v>108</v>
      </c>
      <c r="D234" t="s">
        <v>96</v>
      </c>
      <c r="E234">
        <v>7</v>
      </c>
      <c r="F234">
        <v>16</v>
      </c>
      <c r="G234">
        <v>112</v>
      </c>
      <c r="H234">
        <v>0.12</v>
      </c>
      <c r="I234">
        <v>13.44</v>
      </c>
      <c r="J234" t="s">
        <v>115</v>
      </c>
    </row>
    <row r="235" spans="1:10" x14ac:dyDescent="0.25">
      <c r="A235" t="s">
        <v>359</v>
      </c>
      <c r="B235" s="18">
        <v>43303</v>
      </c>
      <c r="C235" t="s">
        <v>111</v>
      </c>
      <c r="D235" t="s">
        <v>106</v>
      </c>
      <c r="E235">
        <v>9</v>
      </c>
      <c r="F235">
        <v>150</v>
      </c>
      <c r="G235">
        <v>1350</v>
      </c>
      <c r="H235">
        <v>0.02</v>
      </c>
      <c r="I235">
        <v>27</v>
      </c>
      <c r="J235" t="s">
        <v>116</v>
      </c>
    </row>
    <row r="236" spans="1:10" x14ac:dyDescent="0.25">
      <c r="A236" t="s">
        <v>360</v>
      </c>
      <c r="B236" s="18">
        <v>43303</v>
      </c>
      <c r="C236" t="s">
        <v>108</v>
      </c>
      <c r="D236" t="s">
        <v>96</v>
      </c>
      <c r="E236">
        <v>10</v>
      </c>
      <c r="F236">
        <v>16</v>
      </c>
      <c r="G236">
        <v>160</v>
      </c>
      <c r="H236">
        <v>0.08</v>
      </c>
      <c r="I236">
        <v>12.8</v>
      </c>
      <c r="J236" t="s">
        <v>97</v>
      </c>
    </row>
    <row r="237" spans="1:10" x14ac:dyDescent="0.25">
      <c r="A237" t="s">
        <v>361</v>
      </c>
      <c r="B237" s="18">
        <v>43303</v>
      </c>
      <c r="C237" t="s">
        <v>95</v>
      </c>
      <c r="D237" t="s">
        <v>106</v>
      </c>
      <c r="E237">
        <v>15</v>
      </c>
      <c r="F237">
        <v>80</v>
      </c>
      <c r="G237">
        <v>1200</v>
      </c>
      <c r="H237">
        <v>0.08</v>
      </c>
      <c r="I237">
        <v>96</v>
      </c>
      <c r="J237" t="s">
        <v>100</v>
      </c>
    </row>
    <row r="238" spans="1:10" x14ac:dyDescent="0.25">
      <c r="A238" t="s">
        <v>362</v>
      </c>
      <c r="B238" s="18">
        <v>43303</v>
      </c>
      <c r="C238" t="s">
        <v>95</v>
      </c>
      <c r="D238" t="s">
        <v>109</v>
      </c>
      <c r="E238">
        <v>9</v>
      </c>
      <c r="F238">
        <v>80</v>
      </c>
      <c r="G238">
        <v>720</v>
      </c>
      <c r="H238">
        <v>0.06</v>
      </c>
      <c r="I238">
        <v>43.199999999999996</v>
      </c>
      <c r="J238" t="s">
        <v>102</v>
      </c>
    </row>
    <row r="239" spans="1:10" x14ac:dyDescent="0.25">
      <c r="A239" t="s">
        <v>363</v>
      </c>
      <c r="B239" s="18">
        <v>43304</v>
      </c>
      <c r="C239" t="s">
        <v>108</v>
      </c>
      <c r="D239" t="s">
        <v>106</v>
      </c>
      <c r="E239">
        <v>7</v>
      </c>
      <c r="F239">
        <v>16</v>
      </c>
      <c r="G239">
        <v>112</v>
      </c>
      <c r="H239">
        <v>0.08</v>
      </c>
      <c r="I239">
        <v>8.9600000000000009</v>
      </c>
      <c r="J239" t="s">
        <v>103</v>
      </c>
    </row>
    <row r="240" spans="1:10" x14ac:dyDescent="0.25">
      <c r="A240" t="s">
        <v>364</v>
      </c>
      <c r="B240" s="18">
        <v>43304</v>
      </c>
      <c r="C240" t="s">
        <v>111</v>
      </c>
      <c r="D240" t="s">
        <v>109</v>
      </c>
      <c r="E240">
        <v>7</v>
      </c>
      <c r="F240">
        <v>150</v>
      </c>
      <c r="G240">
        <v>1050</v>
      </c>
      <c r="H240">
        <v>0.03</v>
      </c>
      <c r="I240">
        <v>31.5</v>
      </c>
      <c r="J240" t="s">
        <v>105</v>
      </c>
    </row>
    <row r="241" spans="1:10" x14ac:dyDescent="0.25">
      <c r="A241" t="s">
        <v>365</v>
      </c>
      <c r="B241" s="18">
        <v>43304</v>
      </c>
      <c r="C241" t="s">
        <v>101</v>
      </c>
      <c r="D241" t="s">
        <v>106</v>
      </c>
      <c r="E241">
        <v>16</v>
      </c>
      <c r="F241">
        <v>230</v>
      </c>
      <c r="G241">
        <v>3680</v>
      </c>
      <c r="H241">
        <v>0.11</v>
      </c>
      <c r="I241">
        <v>404.8</v>
      </c>
      <c r="J241" t="s">
        <v>107</v>
      </c>
    </row>
    <row r="242" spans="1:10" x14ac:dyDescent="0.25">
      <c r="A242" t="s">
        <v>366</v>
      </c>
      <c r="B242" s="18">
        <v>43304</v>
      </c>
      <c r="C242" t="s">
        <v>108</v>
      </c>
      <c r="D242" t="s">
        <v>106</v>
      </c>
      <c r="E242">
        <v>18</v>
      </c>
      <c r="F242">
        <v>16</v>
      </c>
      <c r="G242">
        <v>288</v>
      </c>
      <c r="H242">
        <v>0.04</v>
      </c>
      <c r="I242">
        <v>11.52</v>
      </c>
      <c r="J242" t="s">
        <v>110</v>
      </c>
    </row>
    <row r="243" spans="1:10" x14ac:dyDescent="0.25">
      <c r="A243" t="s">
        <v>367</v>
      </c>
      <c r="B243" s="18">
        <v>43304</v>
      </c>
      <c r="C243" t="s">
        <v>101</v>
      </c>
      <c r="D243" t="s">
        <v>109</v>
      </c>
      <c r="E243">
        <v>20</v>
      </c>
      <c r="F243">
        <v>230</v>
      </c>
      <c r="G243">
        <v>4600</v>
      </c>
      <c r="H243">
        <v>0.11</v>
      </c>
      <c r="I243">
        <v>506</v>
      </c>
      <c r="J243" t="s">
        <v>112</v>
      </c>
    </row>
    <row r="244" spans="1:10" x14ac:dyDescent="0.25">
      <c r="A244" t="s">
        <v>368</v>
      </c>
      <c r="B244" s="18">
        <v>43304</v>
      </c>
      <c r="C244" t="s">
        <v>111</v>
      </c>
      <c r="D244" t="s">
        <v>96</v>
      </c>
      <c r="E244">
        <v>7</v>
      </c>
      <c r="F244">
        <v>150</v>
      </c>
      <c r="G244">
        <v>1050</v>
      </c>
      <c r="H244">
        <v>0.02</v>
      </c>
      <c r="I244">
        <v>21</v>
      </c>
      <c r="J244" t="s">
        <v>113</v>
      </c>
    </row>
    <row r="245" spans="1:10" x14ac:dyDescent="0.25">
      <c r="A245" t="s">
        <v>369</v>
      </c>
      <c r="B245" s="18">
        <v>43304</v>
      </c>
      <c r="C245" t="s">
        <v>108</v>
      </c>
      <c r="D245" t="s">
        <v>104</v>
      </c>
      <c r="E245">
        <v>11</v>
      </c>
      <c r="F245">
        <v>16</v>
      </c>
      <c r="G245">
        <v>176</v>
      </c>
      <c r="H245">
        <v>0.12</v>
      </c>
      <c r="I245">
        <v>21.119999999999997</v>
      </c>
      <c r="J245" t="s">
        <v>114</v>
      </c>
    </row>
    <row r="246" spans="1:10" x14ac:dyDescent="0.25">
      <c r="A246" t="s">
        <v>370</v>
      </c>
      <c r="B246" s="18">
        <v>43304</v>
      </c>
      <c r="C246" t="s">
        <v>98</v>
      </c>
      <c r="D246" t="s">
        <v>104</v>
      </c>
      <c r="E246">
        <v>12</v>
      </c>
      <c r="F246">
        <v>40</v>
      </c>
      <c r="G246">
        <v>480</v>
      </c>
      <c r="H246">
        <v>0.02</v>
      </c>
      <c r="I246">
        <v>9.6</v>
      </c>
      <c r="J246" t="s">
        <v>115</v>
      </c>
    </row>
    <row r="247" spans="1:10" x14ac:dyDescent="0.25">
      <c r="A247" t="s">
        <v>371</v>
      </c>
      <c r="B247" s="18">
        <v>43304</v>
      </c>
      <c r="C247" t="s">
        <v>111</v>
      </c>
      <c r="D247" t="s">
        <v>109</v>
      </c>
      <c r="E247">
        <v>7</v>
      </c>
      <c r="F247">
        <v>150</v>
      </c>
      <c r="G247">
        <v>1050</v>
      </c>
      <c r="H247">
        <v>0.02</v>
      </c>
      <c r="I247">
        <v>21</v>
      </c>
      <c r="J247" t="s">
        <v>116</v>
      </c>
    </row>
    <row r="248" spans="1:10" x14ac:dyDescent="0.25">
      <c r="A248" t="s">
        <v>372</v>
      </c>
      <c r="B248" s="18">
        <v>43304</v>
      </c>
      <c r="C248" t="s">
        <v>95</v>
      </c>
      <c r="D248" t="s">
        <v>104</v>
      </c>
      <c r="E248">
        <v>14</v>
      </c>
      <c r="F248">
        <v>80</v>
      </c>
      <c r="G248">
        <v>1120</v>
      </c>
      <c r="H248">
        <v>0.1</v>
      </c>
      <c r="I248">
        <v>112</v>
      </c>
      <c r="J248" t="s">
        <v>97</v>
      </c>
    </row>
    <row r="249" spans="1:10" x14ac:dyDescent="0.25">
      <c r="A249" t="s">
        <v>373</v>
      </c>
      <c r="B249" s="18">
        <v>43304</v>
      </c>
      <c r="C249" t="s">
        <v>101</v>
      </c>
      <c r="D249" t="s">
        <v>104</v>
      </c>
      <c r="E249">
        <v>12</v>
      </c>
      <c r="F249">
        <v>230</v>
      </c>
      <c r="G249">
        <v>2760</v>
      </c>
      <c r="H249">
        <v>0.06</v>
      </c>
      <c r="I249">
        <v>165.6</v>
      </c>
      <c r="J249" t="s">
        <v>100</v>
      </c>
    </row>
    <row r="250" spans="1:10" x14ac:dyDescent="0.25">
      <c r="A250" t="s">
        <v>374</v>
      </c>
      <c r="B250" s="18">
        <v>43305</v>
      </c>
      <c r="C250" t="s">
        <v>95</v>
      </c>
      <c r="D250" t="s">
        <v>99</v>
      </c>
      <c r="E250">
        <v>21</v>
      </c>
      <c r="F250">
        <v>80</v>
      </c>
      <c r="G250">
        <v>1680</v>
      </c>
      <c r="H250">
        <v>0.04</v>
      </c>
      <c r="I250">
        <v>67.2</v>
      </c>
      <c r="J250" t="s">
        <v>102</v>
      </c>
    </row>
    <row r="251" spans="1:10" x14ac:dyDescent="0.25">
      <c r="A251" t="s">
        <v>375</v>
      </c>
      <c r="B251" s="18">
        <v>43305</v>
      </c>
      <c r="C251" t="s">
        <v>111</v>
      </c>
      <c r="D251" t="s">
        <v>96</v>
      </c>
      <c r="E251">
        <v>8</v>
      </c>
      <c r="F251">
        <v>150</v>
      </c>
      <c r="G251">
        <v>1200</v>
      </c>
      <c r="H251">
        <v>0.09</v>
      </c>
      <c r="I251">
        <v>108</v>
      </c>
      <c r="J251" t="s">
        <v>103</v>
      </c>
    </row>
    <row r="252" spans="1:10" x14ac:dyDescent="0.25">
      <c r="A252" t="s">
        <v>376</v>
      </c>
      <c r="B252" s="18">
        <v>43305</v>
      </c>
      <c r="C252" t="s">
        <v>95</v>
      </c>
      <c r="D252" t="s">
        <v>99</v>
      </c>
      <c r="E252">
        <v>16</v>
      </c>
      <c r="F252">
        <v>80</v>
      </c>
      <c r="G252">
        <v>1280</v>
      </c>
      <c r="H252">
        <v>0.04</v>
      </c>
      <c r="I252">
        <v>51.2</v>
      </c>
      <c r="J252" t="s">
        <v>105</v>
      </c>
    </row>
    <row r="253" spans="1:10" x14ac:dyDescent="0.25">
      <c r="A253" t="s">
        <v>377</v>
      </c>
      <c r="B253" s="18">
        <v>43305</v>
      </c>
      <c r="C253" t="s">
        <v>101</v>
      </c>
      <c r="D253" t="s">
        <v>99</v>
      </c>
      <c r="E253">
        <v>14</v>
      </c>
      <c r="F253">
        <v>230</v>
      </c>
      <c r="G253">
        <v>3220</v>
      </c>
      <c r="H253">
        <v>0.05</v>
      </c>
      <c r="I253">
        <v>161</v>
      </c>
      <c r="J253" t="s">
        <v>107</v>
      </c>
    </row>
    <row r="254" spans="1:10" x14ac:dyDescent="0.25">
      <c r="A254" t="s">
        <v>378</v>
      </c>
      <c r="B254" s="18">
        <v>43305</v>
      </c>
      <c r="C254" t="s">
        <v>98</v>
      </c>
      <c r="D254" t="s">
        <v>104</v>
      </c>
      <c r="E254">
        <v>2</v>
      </c>
      <c r="F254">
        <v>40</v>
      </c>
      <c r="G254">
        <v>80</v>
      </c>
      <c r="H254">
        <v>0.03</v>
      </c>
      <c r="I254">
        <v>2.4</v>
      </c>
      <c r="J254" t="s">
        <v>110</v>
      </c>
    </row>
    <row r="255" spans="1:10" x14ac:dyDescent="0.25">
      <c r="A255" t="s">
        <v>379</v>
      </c>
      <c r="B255" s="18">
        <v>43305</v>
      </c>
      <c r="C255" t="s">
        <v>111</v>
      </c>
      <c r="D255" t="s">
        <v>96</v>
      </c>
      <c r="E255">
        <v>4</v>
      </c>
      <c r="F255">
        <v>150</v>
      </c>
      <c r="G255">
        <v>600</v>
      </c>
      <c r="H255">
        <v>0.1</v>
      </c>
      <c r="I255">
        <v>60</v>
      </c>
      <c r="J255" t="s">
        <v>112</v>
      </c>
    </row>
    <row r="256" spans="1:10" x14ac:dyDescent="0.25">
      <c r="A256" t="s">
        <v>380</v>
      </c>
      <c r="B256" s="18">
        <v>43305</v>
      </c>
      <c r="C256" t="s">
        <v>95</v>
      </c>
      <c r="D256" t="s">
        <v>104</v>
      </c>
      <c r="E256">
        <v>6</v>
      </c>
      <c r="F256">
        <v>80</v>
      </c>
      <c r="G256">
        <v>480</v>
      </c>
      <c r="H256">
        <v>0.01</v>
      </c>
      <c r="I256">
        <v>4.8</v>
      </c>
      <c r="J256" t="s">
        <v>113</v>
      </c>
    </row>
    <row r="257" spans="1:10" x14ac:dyDescent="0.25">
      <c r="A257" t="s">
        <v>381</v>
      </c>
      <c r="B257" s="18">
        <v>43305</v>
      </c>
      <c r="C257" t="s">
        <v>98</v>
      </c>
      <c r="D257" t="s">
        <v>104</v>
      </c>
      <c r="E257">
        <v>6</v>
      </c>
      <c r="F257">
        <v>40</v>
      </c>
      <c r="G257">
        <v>240</v>
      </c>
      <c r="H257">
        <v>0.06</v>
      </c>
      <c r="I257">
        <v>14.399999999999999</v>
      </c>
      <c r="J257" t="s">
        <v>114</v>
      </c>
    </row>
    <row r="258" spans="1:10" x14ac:dyDescent="0.25">
      <c r="A258" t="s">
        <v>382</v>
      </c>
      <c r="B258" s="18">
        <v>43305</v>
      </c>
      <c r="C258" t="s">
        <v>111</v>
      </c>
      <c r="D258" t="s">
        <v>96</v>
      </c>
      <c r="E258">
        <v>20</v>
      </c>
      <c r="F258">
        <v>150</v>
      </c>
      <c r="G258">
        <v>3000</v>
      </c>
      <c r="H258">
        <v>0.04</v>
      </c>
      <c r="I258">
        <v>120</v>
      </c>
      <c r="J258" t="s">
        <v>115</v>
      </c>
    </row>
    <row r="259" spans="1:10" x14ac:dyDescent="0.25">
      <c r="A259" t="s">
        <v>383</v>
      </c>
      <c r="B259" s="18">
        <v>43305</v>
      </c>
      <c r="C259" t="s">
        <v>98</v>
      </c>
      <c r="D259" t="s">
        <v>104</v>
      </c>
      <c r="E259">
        <v>18</v>
      </c>
      <c r="F259">
        <v>40</v>
      </c>
      <c r="G259">
        <v>720</v>
      </c>
      <c r="H259">
        <v>0.03</v>
      </c>
      <c r="I259">
        <v>21.599999999999998</v>
      </c>
      <c r="J259" t="s">
        <v>116</v>
      </c>
    </row>
    <row r="260" spans="1:10" x14ac:dyDescent="0.25">
      <c r="A260" t="s">
        <v>384</v>
      </c>
      <c r="B260" s="18">
        <v>43305</v>
      </c>
      <c r="C260" t="s">
        <v>101</v>
      </c>
      <c r="D260" t="s">
        <v>106</v>
      </c>
      <c r="E260">
        <v>18</v>
      </c>
      <c r="F260">
        <v>230</v>
      </c>
      <c r="G260">
        <v>4140</v>
      </c>
      <c r="H260">
        <v>0.01</v>
      </c>
      <c r="I260">
        <v>41.4</v>
      </c>
      <c r="J260" t="s">
        <v>97</v>
      </c>
    </row>
    <row r="261" spans="1:10" x14ac:dyDescent="0.25">
      <c r="A261" t="s">
        <v>385</v>
      </c>
      <c r="B261" s="18">
        <v>43305</v>
      </c>
      <c r="C261" t="s">
        <v>101</v>
      </c>
      <c r="D261" t="s">
        <v>104</v>
      </c>
      <c r="E261">
        <v>15</v>
      </c>
      <c r="F261">
        <v>230</v>
      </c>
      <c r="G261">
        <v>3450</v>
      </c>
      <c r="H261">
        <v>0.04</v>
      </c>
      <c r="I261">
        <v>138</v>
      </c>
      <c r="J261" t="s">
        <v>100</v>
      </c>
    </row>
    <row r="262" spans="1:10" x14ac:dyDescent="0.25">
      <c r="A262" t="s">
        <v>386</v>
      </c>
      <c r="B262" s="18">
        <v>43305</v>
      </c>
      <c r="C262" t="s">
        <v>108</v>
      </c>
      <c r="D262" t="s">
        <v>99</v>
      </c>
      <c r="E262">
        <v>22</v>
      </c>
      <c r="F262">
        <v>16</v>
      </c>
      <c r="G262">
        <v>352</v>
      </c>
      <c r="H262">
        <v>0.01</v>
      </c>
      <c r="I262">
        <v>3.52</v>
      </c>
      <c r="J262" t="s">
        <v>102</v>
      </c>
    </row>
    <row r="263" spans="1:10" x14ac:dyDescent="0.25">
      <c r="A263" t="s">
        <v>387</v>
      </c>
      <c r="B263" s="18">
        <v>43305</v>
      </c>
      <c r="C263" t="s">
        <v>111</v>
      </c>
      <c r="D263" t="s">
        <v>96</v>
      </c>
      <c r="E263">
        <v>17</v>
      </c>
      <c r="F263">
        <v>150</v>
      </c>
      <c r="G263">
        <v>2550</v>
      </c>
      <c r="H263">
        <v>0.12</v>
      </c>
      <c r="I263">
        <v>306</v>
      </c>
      <c r="J263" t="s">
        <v>103</v>
      </c>
    </row>
    <row r="264" spans="1:10" x14ac:dyDescent="0.25">
      <c r="A264" t="s">
        <v>388</v>
      </c>
      <c r="B264" s="18">
        <v>43306</v>
      </c>
      <c r="C264" t="s">
        <v>108</v>
      </c>
      <c r="D264" t="s">
        <v>99</v>
      </c>
      <c r="E264">
        <v>5</v>
      </c>
      <c r="F264">
        <v>16</v>
      </c>
      <c r="G264">
        <v>80</v>
      </c>
      <c r="H264">
        <v>0.11</v>
      </c>
      <c r="I264">
        <v>8.8000000000000007</v>
      </c>
      <c r="J264" t="s">
        <v>105</v>
      </c>
    </row>
    <row r="265" spans="1:10" x14ac:dyDescent="0.25">
      <c r="A265" t="s">
        <v>389</v>
      </c>
      <c r="B265" s="18">
        <v>43306</v>
      </c>
      <c r="C265" t="s">
        <v>111</v>
      </c>
      <c r="D265" t="s">
        <v>96</v>
      </c>
      <c r="E265">
        <v>23</v>
      </c>
      <c r="F265">
        <v>150</v>
      </c>
      <c r="G265">
        <v>3450</v>
      </c>
      <c r="H265">
        <v>0.1</v>
      </c>
      <c r="I265">
        <v>345</v>
      </c>
      <c r="J265" t="s">
        <v>107</v>
      </c>
    </row>
    <row r="266" spans="1:10" x14ac:dyDescent="0.25">
      <c r="A266" t="s">
        <v>390</v>
      </c>
      <c r="B266" s="18">
        <v>43306</v>
      </c>
      <c r="C266" t="s">
        <v>111</v>
      </c>
      <c r="D266" t="s">
        <v>106</v>
      </c>
      <c r="E266">
        <v>22</v>
      </c>
      <c r="F266">
        <v>150</v>
      </c>
      <c r="G266">
        <v>3300</v>
      </c>
      <c r="H266">
        <v>0.05</v>
      </c>
      <c r="I266">
        <v>165</v>
      </c>
      <c r="J266" t="s">
        <v>110</v>
      </c>
    </row>
    <row r="267" spans="1:10" x14ac:dyDescent="0.25">
      <c r="A267" t="s">
        <v>391</v>
      </c>
      <c r="B267" s="18">
        <v>43306</v>
      </c>
      <c r="C267" t="s">
        <v>108</v>
      </c>
      <c r="D267" t="s">
        <v>109</v>
      </c>
      <c r="E267">
        <v>15</v>
      </c>
      <c r="F267">
        <v>16</v>
      </c>
      <c r="G267">
        <v>240</v>
      </c>
      <c r="H267">
        <v>0.01</v>
      </c>
      <c r="I267">
        <v>2.4</v>
      </c>
      <c r="J267" t="s">
        <v>112</v>
      </c>
    </row>
    <row r="268" spans="1:10" x14ac:dyDescent="0.25">
      <c r="A268" t="s">
        <v>392</v>
      </c>
      <c r="B268" s="18">
        <v>43306</v>
      </c>
      <c r="C268" t="s">
        <v>98</v>
      </c>
      <c r="D268" t="s">
        <v>106</v>
      </c>
      <c r="E268">
        <v>7</v>
      </c>
      <c r="F268">
        <v>40</v>
      </c>
      <c r="G268">
        <v>280</v>
      </c>
      <c r="H268">
        <v>7.0000000000000007E-2</v>
      </c>
      <c r="I268">
        <v>19.600000000000001</v>
      </c>
      <c r="J268" t="s">
        <v>113</v>
      </c>
    </row>
    <row r="269" spans="1:10" x14ac:dyDescent="0.25">
      <c r="A269" t="s">
        <v>393</v>
      </c>
      <c r="B269" s="18">
        <v>43306</v>
      </c>
      <c r="C269" t="s">
        <v>95</v>
      </c>
      <c r="D269" t="s">
        <v>109</v>
      </c>
      <c r="E269">
        <v>22</v>
      </c>
      <c r="F269">
        <v>80</v>
      </c>
      <c r="G269">
        <v>1760</v>
      </c>
      <c r="H269">
        <v>0.11</v>
      </c>
      <c r="I269">
        <v>193.6</v>
      </c>
      <c r="J269" t="s">
        <v>114</v>
      </c>
    </row>
    <row r="270" spans="1:10" x14ac:dyDescent="0.25">
      <c r="A270" t="s">
        <v>394</v>
      </c>
      <c r="B270" s="18">
        <v>43306</v>
      </c>
      <c r="C270" t="s">
        <v>111</v>
      </c>
      <c r="D270" t="s">
        <v>104</v>
      </c>
      <c r="E270">
        <v>11</v>
      </c>
      <c r="F270">
        <v>150</v>
      </c>
      <c r="G270">
        <v>1650</v>
      </c>
      <c r="H270">
        <v>0.05</v>
      </c>
      <c r="I270">
        <v>82.5</v>
      </c>
      <c r="J270" t="s">
        <v>115</v>
      </c>
    </row>
    <row r="271" spans="1:10" x14ac:dyDescent="0.25">
      <c r="A271" t="s">
        <v>395</v>
      </c>
      <c r="B271" s="18">
        <v>43306</v>
      </c>
      <c r="C271" t="s">
        <v>98</v>
      </c>
      <c r="D271" t="s">
        <v>99</v>
      </c>
      <c r="E271">
        <v>21</v>
      </c>
      <c r="F271">
        <v>40</v>
      </c>
      <c r="G271">
        <v>840</v>
      </c>
      <c r="H271">
        <v>0.03</v>
      </c>
      <c r="I271">
        <v>25.2</v>
      </c>
      <c r="J271" t="s">
        <v>116</v>
      </c>
    </row>
    <row r="272" spans="1:10" x14ac:dyDescent="0.25">
      <c r="A272" t="s">
        <v>396</v>
      </c>
      <c r="B272" s="18">
        <v>43306</v>
      </c>
      <c r="C272" t="s">
        <v>95</v>
      </c>
      <c r="D272" t="s">
        <v>106</v>
      </c>
      <c r="E272">
        <v>23</v>
      </c>
      <c r="F272">
        <v>80</v>
      </c>
      <c r="G272">
        <v>1840</v>
      </c>
      <c r="H272">
        <v>0.11</v>
      </c>
      <c r="I272">
        <v>202.4</v>
      </c>
      <c r="J272" t="s">
        <v>97</v>
      </c>
    </row>
    <row r="273" spans="1:10" x14ac:dyDescent="0.25">
      <c r="A273" t="s">
        <v>397</v>
      </c>
      <c r="B273" s="18">
        <v>43306</v>
      </c>
      <c r="C273" t="s">
        <v>101</v>
      </c>
      <c r="D273" t="s">
        <v>104</v>
      </c>
      <c r="E273">
        <v>7</v>
      </c>
      <c r="F273">
        <v>230</v>
      </c>
      <c r="G273">
        <v>1610</v>
      </c>
      <c r="H273">
        <v>0.01</v>
      </c>
      <c r="I273">
        <v>16.100000000000001</v>
      </c>
      <c r="J273" t="s">
        <v>100</v>
      </c>
    </row>
    <row r="274" spans="1:10" x14ac:dyDescent="0.25">
      <c r="A274" t="s">
        <v>398</v>
      </c>
      <c r="B274" s="18">
        <v>43306</v>
      </c>
      <c r="C274" t="s">
        <v>101</v>
      </c>
      <c r="D274" t="s">
        <v>96</v>
      </c>
      <c r="E274">
        <v>16</v>
      </c>
      <c r="F274">
        <v>230</v>
      </c>
      <c r="G274">
        <v>3680</v>
      </c>
      <c r="H274">
        <v>7.0000000000000007E-2</v>
      </c>
      <c r="I274">
        <v>257.60000000000002</v>
      </c>
      <c r="J274" t="s">
        <v>102</v>
      </c>
    </row>
    <row r="275" spans="1:10" x14ac:dyDescent="0.25">
      <c r="A275" t="s">
        <v>399</v>
      </c>
      <c r="B275" s="18">
        <v>43306</v>
      </c>
      <c r="C275" t="s">
        <v>95</v>
      </c>
      <c r="D275" t="s">
        <v>99</v>
      </c>
      <c r="E275">
        <v>14</v>
      </c>
      <c r="F275">
        <v>80</v>
      </c>
      <c r="G275">
        <v>1120</v>
      </c>
      <c r="H275">
        <v>0.11</v>
      </c>
      <c r="I275">
        <v>123.2</v>
      </c>
      <c r="J275" t="s">
        <v>103</v>
      </c>
    </row>
    <row r="276" spans="1:10" x14ac:dyDescent="0.25">
      <c r="A276" t="s">
        <v>400</v>
      </c>
      <c r="B276" s="18">
        <v>43306</v>
      </c>
      <c r="C276" t="s">
        <v>111</v>
      </c>
      <c r="D276" t="s">
        <v>104</v>
      </c>
      <c r="E276">
        <v>22</v>
      </c>
      <c r="F276">
        <v>150</v>
      </c>
      <c r="G276">
        <v>3300</v>
      </c>
      <c r="H276">
        <v>0.09</v>
      </c>
      <c r="I276">
        <v>297</v>
      </c>
      <c r="J276" t="s">
        <v>105</v>
      </c>
    </row>
    <row r="277" spans="1:10" x14ac:dyDescent="0.25">
      <c r="A277" t="s">
        <v>401</v>
      </c>
      <c r="B277" s="18">
        <v>43306</v>
      </c>
      <c r="C277" t="s">
        <v>111</v>
      </c>
      <c r="D277" t="s">
        <v>106</v>
      </c>
      <c r="E277">
        <v>4</v>
      </c>
      <c r="F277">
        <v>150</v>
      </c>
      <c r="G277">
        <v>600</v>
      </c>
      <c r="H277">
        <v>0.12</v>
      </c>
      <c r="I277">
        <v>72</v>
      </c>
      <c r="J277" t="s">
        <v>107</v>
      </c>
    </row>
    <row r="278" spans="1:10" x14ac:dyDescent="0.25">
      <c r="A278" t="s">
        <v>402</v>
      </c>
      <c r="B278" s="18">
        <v>43306</v>
      </c>
      <c r="C278" t="s">
        <v>111</v>
      </c>
      <c r="D278" t="s">
        <v>96</v>
      </c>
      <c r="E278">
        <v>3</v>
      </c>
      <c r="F278">
        <v>150</v>
      </c>
      <c r="G278">
        <v>450</v>
      </c>
      <c r="H278">
        <v>0.03</v>
      </c>
      <c r="I278">
        <v>13.5</v>
      </c>
      <c r="J278" t="s">
        <v>110</v>
      </c>
    </row>
    <row r="279" spans="1:10" x14ac:dyDescent="0.25">
      <c r="A279" t="s">
        <v>403</v>
      </c>
      <c r="B279" s="18">
        <v>43306</v>
      </c>
      <c r="C279" t="s">
        <v>98</v>
      </c>
      <c r="D279" t="s">
        <v>109</v>
      </c>
      <c r="E279">
        <v>17</v>
      </c>
      <c r="F279">
        <v>40</v>
      </c>
      <c r="G279">
        <v>680</v>
      </c>
      <c r="H279">
        <v>0.02</v>
      </c>
      <c r="I279">
        <v>13.6</v>
      </c>
      <c r="J279" t="s">
        <v>112</v>
      </c>
    </row>
    <row r="280" spans="1:10" x14ac:dyDescent="0.25">
      <c r="A280" t="s">
        <v>404</v>
      </c>
      <c r="B280" s="18">
        <v>43306</v>
      </c>
      <c r="C280" t="s">
        <v>95</v>
      </c>
      <c r="D280" t="s">
        <v>109</v>
      </c>
      <c r="E280">
        <v>22</v>
      </c>
      <c r="F280">
        <v>80</v>
      </c>
      <c r="G280">
        <v>1760</v>
      </c>
      <c r="H280">
        <v>0.1</v>
      </c>
      <c r="I280">
        <v>176</v>
      </c>
      <c r="J280" t="s">
        <v>113</v>
      </c>
    </row>
    <row r="281" spans="1:10" x14ac:dyDescent="0.25">
      <c r="A281" t="s">
        <v>405</v>
      </c>
      <c r="B281" s="18">
        <v>43306</v>
      </c>
      <c r="C281" t="s">
        <v>111</v>
      </c>
      <c r="D281" t="s">
        <v>109</v>
      </c>
      <c r="E281">
        <v>18</v>
      </c>
      <c r="F281">
        <v>150</v>
      </c>
      <c r="G281">
        <v>2700</v>
      </c>
      <c r="H281">
        <v>0.12</v>
      </c>
      <c r="I281">
        <v>324</v>
      </c>
      <c r="J281" t="s">
        <v>114</v>
      </c>
    </row>
    <row r="282" spans="1:10" x14ac:dyDescent="0.25">
      <c r="A282" t="s">
        <v>406</v>
      </c>
      <c r="B282" s="18">
        <v>43307</v>
      </c>
      <c r="C282" t="s">
        <v>111</v>
      </c>
      <c r="D282" t="s">
        <v>96</v>
      </c>
      <c r="E282">
        <v>4</v>
      </c>
      <c r="F282">
        <v>150</v>
      </c>
      <c r="G282">
        <v>600</v>
      </c>
      <c r="H282">
        <v>0.06</v>
      </c>
      <c r="I282">
        <v>36</v>
      </c>
      <c r="J282" t="s">
        <v>97</v>
      </c>
    </row>
    <row r="283" spans="1:10" x14ac:dyDescent="0.25">
      <c r="A283" t="s">
        <v>407</v>
      </c>
      <c r="B283" s="18">
        <v>43307</v>
      </c>
      <c r="C283" t="s">
        <v>101</v>
      </c>
      <c r="D283" t="s">
        <v>99</v>
      </c>
      <c r="E283">
        <v>22</v>
      </c>
      <c r="F283">
        <v>230</v>
      </c>
      <c r="G283">
        <v>5060</v>
      </c>
      <c r="H283">
        <v>0.04</v>
      </c>
      <c r="I283">
        <v>202.4</v>
      </c>
      <c r="J283" t="s">
        <v>100</v>
      </c>
    </row>
    <row r="284" spans="1:10" x14ac:dyDescent="0.25">
      <c r="A284" t="s">
        <v>408</v>
      </c>
      <c r="B284" s="18">
        <v>43307</v>
      </c>
      <c r="C284" t="s">
        <v>111</v>
      </c>
      <c r="D284" t="s">
        <v>99</v>
      </c>
      <c r="E284">
        <v>15</v>
      </c>
      <c r="F284">
        <v>150</v>
      </c>
      <c r="G284">
        <v>2250</v>
      </c>
      <c r="H284">
        <v>0.12</v>
      </c>
      <c r="I284">
        <v>270</v>
      </c>
      <c r="J284" t="s">
        <v>102</v>
      </c>
    </row>
    <row r="285" spans="1:10" x14ac:dyDescent="0.25">
      <c r="A285" t="s">
        <v>409</v>
      </c>
      <c r="B285" s="18">
        <v>43307</v>
      </c>
      <c r="C285" t="s">
        <v>95</v>
      </c>
      <c r="D285" t="s">
        <v>96</v>
      </c>
      <c r="E285">
        <v>17</v>
      </c>
      <c r="F285">
        <v>80</v>
      </c>
      <c r="G285">
        <v>1360</v>
      </c>
      <c r="H285">
        <v>7.0000000000000007E-2</v>
      </c>
      <c r="I285">
        <v>95.2</v>
      </c>
      <c r="J285" t="s">
        <v>103</v>
      </c>
    </row>
    <row r="286" spans="1:10" x14ac:dyDescent="0.25">
      <c r="A286" t="s">
        <v>410</v>
      </c>
      <c r="B286" s="18">
        <v>43307</v>
      </c>
      <c r="C286" t="s">
        <v>98</v>
      </c>
      <c r="D286" t="s">
        <v>109</v>
      </c>
      <c r="E286">
        <v>10</v>
      </c>
      <c r="F286">
        <v>40</v>
      </c>
      <c r="G286">
        <v>400</v>
      </c>
      <c r="H286">
        <v>0.03</v>
      </c>
      <c r="I286">
        <v>12</v>
      </c>
      <c r="J286" t="s">
        <v>105</v>
      </c>
    </row>
    <row r="287" spans="1:10" x14ac:dyDescent="0.25">
      <c r="A287" t="s">
        <v>411</v>
      </c>
      <c r="B287" s="18">
        <v>43307</v>
      </c>
      <c r="C287" t="s">
        <v>98</v>
      </c>
      <c r="D287" t="s">
        <v>96</v>
      </c>
      <c r="E287">
        <v>23</v>
      </c>
      <c r="F287">
        <v>40</v>
      </c>
      <c r="G287">
        <v>920</v>
      </c>
      <c r="H287">
        <v>7.0000000000000007E-2</v>
      </c>
      <c r="I287">
        <v>64.400000000000006</v>
      </c>
      <c r="J287" t="s">
        <v>107</v>
      </c>
    </row>
    <row r="288" spans="1:10" x14ac:dyDescent="0.25">
      <c r="A288" t="s">
        <v>412</v>
      </c>
      <c r="B288" s="18">
        <v>43307</v>
      </c>
      <c r="C288" t="s">
        <v>108</v>
      </c>
      <c r="D288" t="s">
        <v>99</v>
      </c>
      <c r="E288">
        <v>22</v>
      </c>
      <c r="F288">
        <v>16</v>
      </c>
      <c r="G288">
        <v>352</v>
      </c>
      <c r="H288">
        <v>0.04</v>
      </c>
      <c r="I288">
        <v>14.08</v>
      </c>
      <c r="J288" t="s">
        <v>110</v>
      </c>
    </row>
    <row r="289" spans="1:10" x14ac:dyDescent="0.25">
      <c r="A289" t="s">
        <v>413</v>
      </c>
      <c r="B289" s="18">
        <v>43307</v>
      </c>
      <c r="C289" t="s">
        <v>95</v>
      </c>
      <c r="D289" t="s">
        <v>104</v>
      </c>
      <c r="E289">
        <v>8</v>
      </c>
      <c r="F289">
        <v>80</v>
      </c>
      <c r="G289">
        <v>640</v>
      </c>
      <c r="H289">
        <v>0.02</v>
      </c>
      <c r="I289">
        <v>12.8</v>
      </c>
      <c r="J289" t="s">
        <v>112</v>
      </c>
    </row>
    <row r="290" spans="1:10" x14ac:dyDescent="0.25">
      <c r="A290" t="s">
        <v>414</v>
      </c>
      <c r="B290" s="18">
        <v>43307</v>
      </c>
      <c r="C290" t="s">
        <v>108</v>
      </c>
      <c r="D290" t="s">
        <v>99</v>
      </c>
      <c r="E290">
        <v>4</v>
      </c>
      <c r="F290">
        <v>16</v>
      </c>
      <c r="G290">
        <v>64</v>
      </c>
      <c r="H290">
        <v>0.09</v>
      </c>
      <c r="I290">
        <v>5.76</v>
      </c>
      <c r="J290" t="s">
        <v>113</v>
      </c>
    </row>
    <row r="291" spans="1:10" x14ac:dyDescent="0.25">
      <c r="A291" t="s">
        <v>415</v>
      </c>
      <c r="B291" s="18">
        <v>43307</v>
      </c>
      <c r="C291" t="s">
        <v>98</v>
      </c>
      <c r="D291" t="s">
        <v>106</v>
      </c>
      <c r="E291">
        <v>11</v>
      </c>
      <c r="F291">
        <v>40</v>
      </c>
      <c r="G291">
        <v>440</v>
      </c>
      <c r="H291">
        <v>0.09</v>
      </c>
      <c r="I291">
        <v>39.6</v>
      </c>
      <c r="J291" t="s">
        <v>114</v>
      </c>
    </row>
    <row r="292" spans="1:10" x14ac:dyDescent="0.25">
      <c r="A292" t="s">
        <v>416</v>
      </c>
      <c r="B292" s="18">
        <v>43307</v>
      </c>
      <c r="C292" t="s">
        <v>101</v>
      </c>
      <c r="D292" t="s">
        <v>104</v>
      </c>
      <c r="E292">
        <v>18</v>
      </c>
      <c r="F292">
        <v>230</v>
      </c>
      <c r="G292">
        <v>4140</v>
      </c>
      <c r="H292">
        <v>0.01</v>
      </c>
      <c r="I292">
        <v>41.4</v>
      </c>
      <c r="J292" t="s">
        <v>115</v>
      </c>
    </row>
    <row r="293" spans="1:10" x14ac:dyDescent="0.25">
      <c r="A293" t="s">
        <v>417</v>
      </c>
      <c r="B293" s="18">
        <v>43308</v>
      </c>
      <c r="C293" t="s">
        <v>101</v>
      </c>
      <c r="D293" t="s">
        <v>99</v>
      </c>
      <c r="E293">
        <v>11</v>
      </c>
      <c r="F293">
        <v>230</v>
      </c>
      <c r="G293">
        <v>2530</v>
      </c>
      <c r="H293">
        <v>0.1</v>
      </c>
      <c r="I293">
        <v>253</v>
      </c>
      <c r="J293" t="s">
        <v>116</v>
      </c>
    </row>
    <row r="294" spans="1:10" x14ac:dyDescent="0.25">
      <c r="A294" t="s">
        <v>418</v>
      </c>
      <c r="B294" s="18">
        <v>43308</v>
      </c>
      <c r="C294" t="s">
        <v>101</v>
      </c>
      <c r="D294" t="s">
        <v>96</v>
      </c>
      <c r="E294">
        <v>15</v>
      </c>
      <c r="F294">
        <v>230</v>
      </c>
      <c r="G294">
        <v>3450</v>
      </c>
      <c r="H294">
        <v>0.05</v>
      </c>
      <c r="I294">
        <v>172.5</v>
      </c>
      <c r="J294" t="s">
        <v>97</v>
      </c>
    </row>
    <row r="295" spans="1:10" x14ac:dyDescent="0.25">
      <c r="A295" t="s">
        <v>419</v>
      </c>
      <c r="B295" s="18">
        <v>43308</v>
      </c>
      <c r="C295" t="s">
        <v>98</v>
      </c>
      <c r="D295" t="s">
        <v>109</v>
      </c>
      <c r="E295">
        <v>7</v>
      </c>
      <c r="F295">
        <v>40</v>
      </c>
      <c r="G295">
        <v>280</v>
      </c>
      <c r="H295">
        <v>0.04</v>
      </c>
      <c r="I295">
        <v>11.200000000000001</v>
      </c>
      <c r="J295" t="s">
        <v>100</v>
      </c>
    </row>
    <row r="296" spans="1:10" x14ac:dyDescent="0.25">
      <c r="A296" t="s">
        <v>420</v>
      </c>
      <c r="B296" s="18">
        <v>43308</v>
      </c>
      <c r="C296" t="s">
        <v>111</v>
      </c>
      <c r="D296" t="s">
        <v>104</v>
      </c>
      <c r="E296">
        <v>20</v>
      </c>
      <c r="F296">
        <v>150</v>
      </c>
      <c r="G296">
        <v>3000</v>
      </c>
      <c r="H296">
        <v>0.12</v>
      </c>
      <c r="I296">
        <v>360</v>
      </c>
      <c r="J296" t="s">
        <v>102</v>
      </c>
    </row>
    <row r="297" spans="1:10" x14ac:dyDescent="0.25">
      <c r="A297" t="s">
        <v>421</v>
      </c>
      <c r="B297" s="18">
        <v>43308</v>
      </c>
      <c r="C297" t="s">
        <v>95</v>
      </c>
      <c r="D297" t="s">
        <v>104</v>
      </c>
      <c r="E297">
        <v>5</v>
      </c>
      <c r="F297">
        <v>80</v>
      </c>
      <c r="G297">
        <v>400</v>
      </c>
      <c r="H297">
        <v>0.09</v>
      </c>
      <c r="I297">
        <v>36</v>
      </c>
      <c r="J297" t="s">
        <v>103</v>
      </c>
    </row>
    <row r="298" spans="1:10" x14ac:dyDescent="0.25">
      <c r="A298" t="s">
        <v>422</v>
      </c>
      <c r="B298" s="18">
        <v>43308</v>
      </c>
      <c r="C298" t="s">
        <v>95</v>
      </c>
      <c r="D298" t="s">
        <v>106</v>
      </c>
      <c r="E298">
        <v>14</v>
      </c>
      <c r="F298">
        <v>80</v>
      </c>
      <c r="G298">
        <v>1120</v>
      </c>
      <c r="H298">
        <v>0.05</v>
      </c>
      <c r="I298">
        <v>56</v>
      </c>
      <c r="J298" t="s">
        <v>105</v>
      </c>
    </row>
    <row r="299" spans="1:10" x14ac:dyDescent="0.25">
      <c r="A299" t="s">
        <v>423</v>
      </c>
      <c r="B299" s="18">
        <v>43308</v>
      </c>
      <c r="C299" t="s">
        <v>101</v>
      </c>
      <c r="D299" t="s">
        <v>106</v>
      </c>
      <c r="E299">
        <v>7</v>
      </c>
      <c r="F299">
        <v>230</v>
      </c>
      <c r="G299">
        <v>1610</v>
      </c>
      <c r="H299">
        <v>0.06</v>
      </c>
      <c r="I299">
        <v>96.6</v>
      </c>
      <c r="J299" t="s">
        <v>107</v>
      </c>
    </row>
    <row r="300" spans="1:10" x14ac:dyDescent="0.25">
      <c r="A300" t="s">
        <v>424</v>
      </c>
      <c r="B300" s="18">
        <v>43308</v>
      </c>
      <c r="C300" t="s">
        <v>98</v>
      </c>
      <c r="D300" t="s">
        <v>106</v>
      </c>
      <c r="E300">
        <v>13</v>
      </c>
      <c r="F300">
        <v>40</v>
      </c>
      <c r="G300">
        <v>520</v>
      </c>
      <c r="H300">
        <v>0.06</v>
      </c>
      <c r="I300">
        <v>31.2</v>
      </c>
      <c r="J300" t="s">
        <v>110</v>
      </c>
    </row>
    <row r="301" spans="1:10" x14ac:dyDescent="0.25">
      <c r="A301" t="s">
        <v>425</v>
      </c>
      <c r="B301" s="18">
        <v>43309</v>
      </c>
      <c r="C301" t="s">
        <v>108</v>
      </c>
      <c r="D301" t="s">
        <v>99</v>
      </c>
      <c r="E301">
        <v>15</v>
      </c>
      <c r="F301">
        <v>16</v>
      </c>
      <c r="G301">
        <v>240</v>
      </c>
      <c r="H301">
        <v>0.02</v>
      </c>
      <c r="I301">
        <v>4.8</v>
      </c>
      <c r="J301" t="s">
        <v>112</v>
      </c>
    </row>
    <row r="302" spans="1:10" x14ac:dyDescent="0.25">
      <c r="A302" t="s">
        <v>426</v>
      </c>
      <c r="B302" s="18">
        <v>43309</v>
      </c>
      <c r="C302" t="s">
        <v>108</v>
      </c>
      <c r="D302" t="s">
        <v>106</v>
      </c>
      <c r="E302">
        <v>5</v>
      </c>
      <c r="F302">
        <v>16</v>
      </c>
      <c r="G302">
        <v>80</v>
      </c>
      <c r="H302">
        <v>0.09</v>
      </c>
      <c r="I302">
        <v>7.1999999999999993</v>
      </c>
      <c r="J302" t="s">
        <v>113</v>
      </c>
    </row>
    <row r="303" spans="1:10" x14ac:dyDescent="0.25">
      <c r="A303" t="s">
        <v>427</v>
      </c>
      <c r="B303" s="18">
        <v>43309</v>
      </c>
      <c r="C303" t="s">
        <v>108</v>
      </c>
      <c r="D303" t="s">
        <v>96</v>
      </c>
      <c r="E303">
        <v>22</v>
      </c>
      <c r="F303">
        <v>16</v>
      </c>
      <c r="G303">
        <v>352</v>
      </c>
      <c r="H303">
        <v>0.06</v>
      </c>
      <c r="I303">
        <v>21.119999999999997</v>
      </c>
      <c r="J303" t="s">
        <v>114</v>
      </c>
    </row>
    <row r="304" spans="1:10" x14ac:dyDescent="0.25">
      <c r="A304" t="s">
        <v>428</v>
      </c>
      <c r="B304" s="18">
        <v>43309</v>
      </c>
      <c r="C304" t="s">
        <v>111</v>
      </c>
      <c r="D304" t="s">
        <v>104</v>
      </c>
      <c r="E304">
        <v>15</v>
      </c>
      <c r="F304">
        <v>150</v>
      </c>
      <c r="G304">
        <v>2250</v>
      </c>
      <c r="H304">
        <v>0.05</v>
      </c>
      <c r="I304">
        <v>112.5</v>
      </c>
      <c r="J304" t="s">
        <v>115</v>
      </c>
    </row>
    <row r="305" spans="1:10" x14ac:dyDescent="0.25">
      <c r="A305" t="s">
        <v>429</v>
      </c>
      <c r="B305" s="18">
        <v>43309</v>
      </c>
      <c r="C305" t="s">
        <v>101</v>
      </c>
      <c r="D305" t="s">
        <v>104</v>
      </c>
      <c r="E305">
        <v>5</v>
      </c>
      <c r="F305">
        <v>230</v>
      </c>
      <c r="G305">
        <v>1150</v>
      </c>
      <c r="H305">
        <v>0.01</v>
      </c>
      <c r="I305">
        <v>11.5</v>
      </c>
      <c r="J305" t="s">
        <v>116</v>
      </c>
    </row>
    <row r="306" spans="1:10" x14ac:dyDescent="0.25">
      <c r="A306" t="s">
        <v>430</v>
      </c>
      <c r="B306" s="18">
        <v>43309</v>
      </c>
      <c r="C306" t="s">
        <v>98</v>
      </c>
      <c r="D306" t="s">
        <v>96</v>
      </c>
      <c r="E306">
        <v>11</v>
      </c>
      <c r="F306">
        <v>40</v>
      </c>
      <c r="G306">
        <v>440</v>
      </c>
      <c r="H306">
        <v>0.04</v>
      </c>
      <c r="I306">
        <v>17.600000000000001</v>
      </c>
      <c r="J306" t="s">
        <v>97</v>
      </c>
    </row>
    <row r="307" spans="1:10" x14ac:dyDescent="0.25">
      <c r="A307" t="s">
        <v>431</v>
      </c>
      <c r="B307" s="18">
        <v>43309</v>
      </c>
      <c r="C307" t="s">
        <v>111</v>
      </c>
      <c r="D307" t="s">
        <v>99</v>
      </c>
      <c r="E307">
        <v>13</v>
      </c>
      <c r="F307">
        <v>150</v>
      </c>
      <c r="G307">
        <v>1950</v>
      </c>
      <c r="H307">
        <v>0.08</v>
      </c>
      <c r="I307">
        <v>156</v>
      </c>
      <c r="J307" t="s">
        <v>100</v>
      </c>
    </row>
    <row r="308" spans="1:10" x14ac:dyDescent="0.25">
      <c r="A308" t="s">
        <v>432</v>
      </c>
      <c r="B308" s="18">
        <v>43309</v>
      </c>
      <c r="C308" t="s">
        <v>108</v>
      </c>
      <c r="D308" t="s">
        <v>109</v>
      </c>
      <c r="E308">
        <v>13</v>
      </c>
      <c r="F308">
        <v>16</v>
      </c>
      <c r="G308">
        <v>208</v>
      </c>
      <c r="H308">
        <v>7.0000000000000007E-2</v>
      </c>
      <c r="I308">
        <v>14.560000000000002</v>
      </c>
      <c r="J308" t="s">
        <v>102</v>
      </c>
    </row>
    <row r="309" spans="1:10" x14ac:dyDescent="0.25">
      <c r="A309" t="s">
        <v>433</v>
      </c>
      <c r="B309" s="18">
        <v>43309</v>
      </c>
      <c r="C309" t="s">
        <v>108</v>
      </c>
      <c r="D309" t="s">
        <v>109</v>
      </c>
      <c r="E309">
        <v>3</v>
      </c>
      <c r="F309">
        <v>16</v>
      </c>
      <c r="G309">
        <v>48</v>
      </c>
      <c r="H309">
        <v>0.03</v>
      </c>
      <c r="I309">
        <v>1.44</v>
      </c>
      <c r="J309" t="s">
        <v>103</v>
      </c>
    </row>
    <row r="310" spans="1:10" x14ac:dyDescent="0.25">
      <c r="A310" t="s">
        <v>434</v>
      </c>
      <c r="B310" s="18">
        <v>43310</v>
      </c>
      <c r="C310" t="s">
        <v>111</v>
      </c>
      <c r="D310" t="s">
        <v>99</v>
      </c>
      <c r="E310">
        <v>2</v>
      </c>
      <c r="F310">
        <v>150</v>
      </c>
      <c r="G310">
        <v>300</v>
      </c>
      <c r="H310">
        <v>0.09</v>
      </c>
      <c r="I310">
        <v>27</v>
      </c>
      <c r="J310" t="s">
        <v>105</v>
      </c>
    </row>
    <row r="311" spans="1:10" x14ac:dyDescent="0.25">
      <c r="A311" t="s">
        <v>435</v>
      </c>
      <c r="B311" s="18">
        <v>43310</v>
      </c>
      <c r="C311" t="s">
        <v>101</v>
      </c>
      <c r="D311" t="s">
        <v>104</v>
      </c>
      <c r="E311">
        <v>14</v>
      </c>
      <c r="F311">
        <v>230</v>
      </c>
      <c r="G311">
        <v>3220</v>
      </c>
      <c r="H311">
        <v>0.03</v>
      </c>
      <c r="I311">
        <v>96.6</v>
      </c>
      <c r="J311" t="s">
        <v>107</v>
      </c>
    </row>
    <row r="312" spans="1:10" x14ac:dyDescent="0.25">
      <c r="A312" t="s">
        <v>436</v>
      </c>
      <c r="B312" s="18">
        <v>43310</v>
      </c>
      <c r="C312" t="s">
        <v>98</v>
      </c>
      <c r="D312" t="s">
        <v>104</v>
      </c>
      <c r="E312">
        <v>11</v>
      </c>
      <c r="F312">
        <v>40</v>
      </c>
      <c r="G312">
        <v>440</v>
      </c>
      <c r="H312">
        <v>0.12</v>
      </c>
      <c r="I312">
        <v>52.8</v>
      </c>
      <c r="J312" t="s">
        <v>110</v>
      </c>
    </row>
    <row r="313" spans="1:10" x14ac:dyDescent="0.25">
      <c r="A313" t="s">
        <v>437</v>
      </c>
      <c r="B313" s="18">
        <v>43310</v>
      </c>
      <c r="C313" t="s">
        <v>108</v>
      </c>
      <c r="D313" t="s">
        <v>109</v>
      </c>
      <c r="E313">
        <v>3</v>
      </c>
      <c r="F313">
        <v>16</v>
      </c>
      <c r="G313">
        <v>48</v>
      </c>
      <c r="H313">
        <v>0.06</v>
      </c>
      <c r="I313">
        <v>2.88</v>
      </c>
      <c r="J313" t="s">
        <v>112</v>
      </c>
    </row>
    <row r="314" spans="1:10" x14ac:dyDescent="0.25">
      <c r="A314" t="s">
        <v>438</v>
      </c>
      <c r="B314" s="18">
        <v>43310</v>
      </c>
      <c r="C314" t="s">
        <v>98</v>
      </c>
      <c r="D314" t="s">
        <v>109</v>
      </c>
      <c r="E314">
        <v>18</v>
      </c>
      <c r="F314">
        <v>40</v>
      </c>
      <c r="G314">
        <v>720</v>
      </c>
      <c r="H314">
        <v>0.06</v>
      </c>
      <c r="I314">
        <v>43.199999999999996</v>
      </c>
      <c r="J314" t="s">
        <v>113</v>
      </c>
    </row>
    <row r="315" spans="1:10" x14ac:dyDescent="0.25">
      <c r="A315" t="s">
        <v>439</v>
      </c>
      <c r="B315" s="18">
        <v>43310</v>
      </c>
      <c r="C315" t="s">
        <v>101</v>
      </c>
      <c r="D315" t="s">
        <v>109</v>
      </c>
      <c r="E315">
        <v>7</v>
      </c>
      <c r="F315">
        <v>230</v>
      </c>
      <c r="G315">
        <v>1610</v>
      </c>
      <c r="H315">
        <v>0.05</v>
      </c>
      <c r="I315">
        <v>80.5</v>
      </c>
      <c r="J315" t="s">
        <v>114</v>
      </c>
    </row>
    <row r="316" spans="1:10" x14ac:dyDescent="0.25">
      <c r="A316" t="s">
        <v>440</v>
      </c>
      <c r="B316" s="18">
        <v>43310</v>
      </c>
      <c r="C316" t="s">
        <v>98</v>
      </c>
      <c r="D316" t="s">
        <v>109</v>
      </c>
      <c r="E316">
        <v>23</v>
      </c>
      <c r="F316">
        <v>40</v>
      </c>
      <c r="G316">
        <v>920</v>
      </c>
      <c r="H316">
        <v>0.05</v>
      </c>
      <c r="I316">
        <v>46</v>
      </c>
      <c r="J316" t="s">
        <v>115</v>
      </c>
    </row>
    <row r="317" spans="1:10" x14ac:dyDescent="0.25">
      <c r="A317" t="s">
        <v>441</v>
      </c>
      <c r="B317" s="18">
        <v>43311</v>
      </c>
      <c r="C317" t="s">
        <v>101</v>
      </c>
      <c r="D317" t="s">
        <v>109</v>
      </c>
      <c r="E317">
        <v>2</v>
      </c>
      <c r="F317">
        <v>230</v>
      </c>
      <c r="G317">
        <v>460</v>
      </c>
      <c r="H317">
        <v>0.08</v>
      </c>
      <c r="I317">
        <v>36.800000000000004</v>
      </c>
      <c r="J317" t="s">
        <v>116</v>
      </c>
    </row>
    <row r="318" spans="1:10" x14ac:dyDescent="0.25">
      <c r="A318" t="s">
        <v>442</v>
      </c>
      <c r="B318" s="18">
        <v>43311</v>
      </c>
      <c r="C318" t="s">
        <v>98</v>
      </c>
      <c r="D318" t="s">
        <v>106</v>
      </c>
      <c r="E318">
        <v>18</v>
      </c>
      <c r="F318">
        <v>40</v>
      </c>
      <c r="G318">
        <v>720</v>
      </c>
      <c r="H318">
        <v>0.04</v>
      </c>
      <c r="I318">
        <v>28.8</v>
      </c>
      <c r="J318" t="s">
        <v>97</v>
      </c>
    </row>
    <row r="319" spans="1:10" x14ac:dyDescent="0.25">
      <c r="A319" t="s">
        <v>443</v>
      </c>
      <c r="B319" s="18">
        <v>43311</v>
      </c>
      <c r="C319" t="s">
        <v>101</v>
      </c>
      <c r="D319" t="s">
        <v>99</v>
      </c>
      <c r="E319">
        <v>7</v>
      </c>
      <c r="F319">
        <v>230</v>
      </c>
      <c r="G319">
        <v>1610</v>
      </c>
      <c r="H319">
        <v>0.05</v>
      </c>
      <c r="I319">
        <v>80.5</v>
      </c>
      <c r="J319" t="s">
        <v>100</v>
      </c>
    </row>
    <row r="320" spans="1:10" x14ac:dyDescent="0.25">
      <c r="A320" t="s">
        <v>444</v>
      </c>
      <c r="B320" s="18">
        <v>43311</v>
      </c>
      <c r="C320" t="s">
        <v>98</v>
      </c>
      <c r="D320" t="s">
        <v>109</v>
      </c>
      <c r="E320">
        <v>14</v>
      </c>
      <c r="F320">
        <v>40</v>
      </c>
      <c r="G320">
        <v>560</v>
      </c>
      <c r="H320">
        <v>0.11</v>
      </c>
      <c r="I320">
        <v>61.6</v>
      </c>
      <c r="J320" t="s">
        <v>102</v>
      </c>
    </row>
    <row r="321" spans="1:10" x14ac:dyDescent="0.25">
      <c r="A321" t="s">
        <v>445</v>
      </c>
      <c r="B321" s="18">
        <v>43311</v>
      </c>
      <c r="C321" t="s">
        <v>111</v>
      </c>
      <c r="D321" t="s">
        <v>99</v>
      </c>
      <c r="E321">
        <v>13</v>
      </c>
      <c r="F321">
        <v>150</v>
      </c>
      <c r="G321">
        <v>1950</v>
      </c>
      <c r="H321">
        <v>0.02</v>
      </c>
      <c r="I321">
        <v>39</v>
      </c>
      <c r="J321" t="s">
        <v>103</v>
      </c>
    </row>
    <row r="322" spans="1:10" x14ac:dyDescent="0.25">
      <c r="A322" t="s">
        <v>446</v>
      </c>
      <c r="B322" s="18">
        <v>43311</v>
      </c>
      <c r="C322" t="s">
        <v>95</v>
      </c>
      <c r="D322" t="s">
        <v>96</v>
      </c>
      <c r="E322">
        <v>12</v>
      </c>
      <c r="F322">
        <v>80</v>
      </c>
      <c r="G322">
        <v>960</v>
      </c>
      <c r="H322">
        <v>0.04</v>
      </c>
      <c r="I322">
        <v>38.4</v>
      </c>
      <c r="J322" t="s">
        <v>105</v>
      </c>
    </row>
    <row r="323" spans="1:10" x14ac:dyDescent="0.25">
      <c r="A323" t="s">
        <v>447</v>
      </c>
      <c r="B323" s="18">
        <v>43311</v>
      </c>
      <c r="C323" t="s">
        <v>101</v>
      </c>
      <c r="D323" t="s">
        <v>109</v>
      </c>
      <c r="E323">
        <v>20</v>
      </c>
      <c r="F323">
        <v>230</v>
      </c>
      <c r="G323">
        <v>4600</v>
      </c>
      <c r="H323">
        <v>0.09</v>
      </c>
      <c r="I323">
        <v>414</v>
      </c>
      <c r="J323" t="s">
        <v>107</v>
      </c>
    </row>
    <row r="324" spans="1:10" x14ac:dyDescent="0.25">
      <c r="A324" t="s">
        <v>448</v>
      </c>
      <c r="B324" s="18">
        <v>43311</v>
      </c>
      <c r="C324" t="s">
        <v>98</v>
      </c>
      <c r="D324" t="s">
        <v>109</v>
      </c>
      <c r="E324">
        <v>5</v>
      </c>
      <c r="F324">
        <v>40</v>
      </c>
      <c r="G324">
        <v>200</v>
      </c>
      <c r="H324">
        <v>0.03</v>
      </c>
      <c r="I324">
        <v>6</v>
      </c>
      <c r="J324" t="s">
        <v>110</v>
      </c>
    </row>
    <row r="325" spans="1:10" x14ac:dyDescent="0.25">
      <c r="A325" t="s">
        <v>449</v>
      </c>
      <c r="B325" s="18">
        <v>43311</v>
      </c>
      <c r="C325" t="s">
        <v>108</v>
      </c>
      <c r="D325" t="s">
        <v>109</v>
      </c>
      <c r="E325">
        <v>2</v>
      </c>
      <c r="F325">
        <v>16</v>
      </c>
      <c r="G325">
        <v>32</v>
      </c>
      <c r="H325">
        <v>0.04</v>
      </c>
      <c r="I325">
        <v>1.28</v>
      </c>
      <c r="J325" t="s">
        <v>112</v>
      </c>
    </row>
    <row r="326" spans="1:10" x14ac:dyDescent="0.25">
      <c r="A326" t="s">
        <v>450</v>
      </c>
      <c r="B326" s="18">
        <v>43282</v>
      </c>
      <c r="C326" t="s">
        <v>95</v>
      </c>
      <c r="D326" t="s">
        <v>104</v>
      </c>
      <c r="E326">
        <v>10</v>
      </c>
      <c r="F326">
        <v>80</v>
      </c>
      <c r="G326">
        <v>800</v>
      </c>
      <c r="H326">
        <v>0.08</v>
      </c>
      <c r="I326">
        <v>64</v>
      </c>
      <c r="J326" t="s">
        <v>113</v>
      </c>
    </row>
    <row r="327" spans="1:10" x14ac:dyDescent="0.25">
      <c r="A327" t="s">
        <v>451</v>
      </c>
      <c r="B327" s="18">
        <v>43282</v>
      </c>
      <c r="C327" t="s">
        <v>98</v>
      </c>
      <c r="D327" t="s">
        <v>106</v>
      </c>
      <c r="E327">
        <v>18</v>
      </c>
      <c r="F327">
        <v>40</v>
      </c>
      <c r="G327">
        <v>720</v>
      </c>
      <c r="H327">
        <v>0.06</v>
      </c>
      <c r="I327">
        <v>43.199999999999996</v>
      </c>
      <c r="J327" t="s">
        <v>114</v>
      </c>
    </row>
    <row r="328" spans="1:10" x14ac:dyDescent="0.25">
      <c r="A328" t="s">
        <v>452</v>
      </c>
      <c r="B328" s="18">
        <v>43282</v>
      </c>
      <c r="C328" t="s">
        <v>101</v>
      </c>
      <c r="D328" t="s">
        <v>99</v>
      </c>
      <c r="E328">
        <v>7</v>
      </c>
      <c r="F328">
        <v>230</v>
      </c>
      <c r="G328">
        <v>1610</v>
      </c>
      <c r="H328">
        <v>0.08</v>
      </c>
      <c r="I328">
        <v>128.80000000000001</v>
      </c>
      <c r="J328" t="s">
        <v>115</v>
      </c>
    </row>
    <row r="329" spans="1:10" x14ac:dyDescent="0.25">
      <c r="A329" t="s">
        <v>453</v>
      </c>
      <c r="B329" s="18">
        <v>43282</v>
      </c>
      <c r="C329" t="s">
        <v>98</v>
      </c>
      <c r="D329" t="s">
        <v>106</v>
      </c>
      <c r="E329">
        <v>15</v>
      </c>
      <c r="F329">
        <v>40</v>
      </c>
      <c r="G329">
        <v>600</v>
      </c>
      <c r="H329">
        <v>0.03</v>
      </c>
      <c r="I329">
        <v>18</v>
      </c>
      <c r="J329" t="s">
        <v>116</v>
      </c>
    </row>
    <row r="330" spans="1:10" x14ac:dyDescent="0.25">
      <c r="A330" t="s">
        <v>454</v>
      </c>
      <c r="B330" s="18">
        <v>43282</v>
      </c>
      <c r="C330" t="s">
        <v>108</v>
      </c>
      <c r="D330" t="s">
        <v>104</v>
      </c>
      <c r="E330">
        <v>6</v>
      </c>
      <c r="F330">
        <v>16</v>
      </c>
      <c r="G330">
        <v>96</v>
      </c>
      <c r="H330">
        <v>0.01</v>
      </c>
      <c r="I330">
        <v>0.96</v>
      </c>
      <c r="J330" t="s">
        <v>97</v>
      </c>
    </row>
    <row r="331" spans="1:10" x14ac:dyDescent="0.25">
      <c r="A331" t="s">
        <v>455</v>
      </c>
      <c r="B331" s="18">
        <v>43282</v>
      </c>
      <c r="C331" t="s">
        <v>111</v>
      </c>
      <c r="D331" t="s">
        <v>106</v>
      </c>
      <c r="E331">
        <v>9</v>
      </c>
      <c r="F331">
        <v>150</v>
      </c>
      <c r="G331">
        <v>1350</v>
      </c>
      <c r="H331">
        <v>0.02</v>
      </c>
      <c r="I331">
        <v>27</v>
      </c>
      <c r="J331" t="s">
        <v>100</v>
      </c>
    </row>
    <row r="332" spans="1:10" x14ac:dyDescent="0.25">
      <c r="A332" t="s">
        <v>456</v>
      </c>
      <c r="B332" s="18">
        <v>43282</v>
      </c>
      <c r="C332" t="s">
        <v>108</v>
      </c>
      <c r="D332" t="s">
        <v>109</v>
      </c>
      <c r="E332">
        <v>15</v>
      </c>
      <c r="F332">
        <v>16</v>
      </c>
      <c r="G332">
        <v>240</v>
      </c>
      <c r="H332">
        <v>0.01</v>
      </c>
      <c r="I332">
        <v>2.4</v>
      </c>
      <c r="J332" t="s">
        <v>102</v>
      </c>
    </row>
    <row r="333" spans="1:10" x14ac:dyDescent="0.25">
      <c r="A333" t="s">
        <v>457</v>
      </c>
      <c r="B333" s="18">
        <v>43282</v>
      </c>
      <c r="C333" t="s">
        <v>95</v>
      </c>
      <c r="D333" t="s">
        <v>109</v>
      </c>
      <c r="E333">
        <v>22</v>
      </c>
      <c r="F333">
        <v>80</v>
      </c>
      <c r="G333">
        <v>1760</v>
      </c>
      <c r="H333">
        <v>0.11</v>
      </c>
      <c r="I333">
        <v>193.6</v>
      </c>
      <c r="J333" t="s">
        <v>103</v>
      </c>
    </row>
    <row r="334" spans="1:10" x14ac:dyDescent="0.25">
      <c r="A334" t="s">
        <v>458</v>
      </c>
      <c r="B334" s="18">
        <v>43282</v>
      </c>
      <c r="C334" t="s">
        <v>111</v>
      </c>
      <c r="D334" t="s">
        <v>99</v>
      </c>
      <c r="E334">
        <v>13</v>
      </c>
      <c r="F334">
        <v>150</v>
      </c>
      <c r="G334">
        <v>1950</v>
      </c>
      <c r="H334">
        <v>0.02</v>
      </c>
      <c r="I334">
        <v>39</v>
      </c>
      <c r="J334" t="s">
        <v>105</v>
      </c>
    </row>
    <row r="335" spans="1:10" x14ac:dyDescent="0.25">
      <c r="A335" t="s">
        <v>459</v>
      </c>
      <c r="B335" s="18">
        <v>43283</v>
      </c>
      <c r="C335" t="s">
        <v>108</v>
      </c>
      <c r="D335" t="s">
        <v>104</v>
      </c>
      <c r="E335">
        <v>12</v>
      </c>
      <c r="F335">
        <v>16</v>
      </c>
      <c r="G335">
        <v>192</v>
      </c>
      <c r="H335">
        <v>0.03</v>
      </c>
      <c r="I335">
        <v>5.76</v>
      </c>
      <c r="J335" t="s">
        <v>107</v>
      </c>
    </row>
    <row r="336" spans="1:10" x14ac:dyDescent="0.25">
      <c r="A336" t="s">
        <v>460</v>
      </c>
      <c r="B336" s="18">
        <v>43283</v>
      </c>
      <c r="C336" t="s">
        <v>98</v>
      </c>
      <c r="D336" t="s">
        <v>106</v>
      </c>
      <c r="E336">
        <v>4</v>
      </c>
      <c r="F336">
        <v>40</v>
      </c>
      <c r="G336">
        <v>160</v>
      </c>
      <c r="H336">
        <v>0.05</v>
      </c>
      <c r="I336">
        <v>8</v>
      </c>
      <c r="J336" t="s">
        <v>110</v>
      </c>
    </row>
    <row r="337" spans="1:10" x14ac:dyDescent="0.25">
      <c r="A337" t="s">
        <v>461</v>
      </c>
      <c r="B337" s="18">
        <v>43283</v>
      </c>
      <c r="C337" t="s">
        <v>101</v>
      </c>
      <c r="D337" t="s">
        <v>99</v>
      </c>
      <c r="E337">
        <v>19</v>
      </c>
      <c r="F337">
        <v>230</v>
      </c>
      <c r="G337">
        <v>4370</v>
      </c>
      <c r="H337">
        <v>0.11</v>
      </c>
      <c r="I337">
        <v>480.7</v>
      </c>
      <c r="J337" t="s">
        <v>112</v>
      </c>
    </row>
    <row r="338" spans="1:10" x14ac:dyDescent="0.25">
      <c r="A338" t="s">
        <v>462</v>
      </c>
      <c r="B338" s="18">
        <v>43283</v>
      </c>
      <c r="C338" t="s">
        <v>98</v>
      </c>
      <c r="D338" t="s">
        <v>99</v>
      </c>
      <c r="E338">
        <v>4</v>
      </c>
      <c r="F338">
        <v>40</v>
      </c>
      <c r="G338">
        <v>160</v>
      </c>
      <c r="H338">
        <v>0.06</v>
      </c>
      <c r="I338">
        <v>9.6</v>
      </c>
      <c r="J338" t="s">
        <v>113</v>
      </c>
    </row>
    <row r="339" spans="1:10" x14ac:dyDescent="0.25">
      <c r="A339" t="s">
        <v>463</v>
      </c>
      <c r="B339" s="18">
        <v>43283</v>
      </c>
      <c r="C339" t="s">
        <v>108</v>
      </c>
      <c r="D339" t="s">
        <v>104</v>
      </c>
      <c r="E339">
        <v>6</v>
      </c>
      <c r="F339">
        <v>16</v>
      </c>
      <c r="G339">
        <v>96</v>
      </c>
      <c r="H339">
        <v>7.0000000000000007E-2</v>
      </c>
      <c r="I339">
        <v>6.7200000000000006</v>
      </c>
      <c r="J339" t="s">
        <v>114</v>
      </c>
    </row>
    <row r="340" spans="1:10" x14ac:dyDescent="0.25">
      <c r="A340" t="s">
        <v>464</v>
      </c>
      <c r="B340" s="18">
        <v>43283</v>
      </c>
      <c r="C340" t="s">
        <v>101</v>
      </c>
      <c r="D340" t="s">
        <v>104</v>
      </c>
      <c r="E340">
        <v>15</v>
      </c>
      <c r="F340">
        <v>230</v>
      </c>
      <c r="G340">
        <v>3450</v>
      </c>
      <c r="H340">
        <v>0.11</v>
      </c>
      <c r="I340">
        <v>379.5</v>
      </c>
      <c r="J340" t="s">
        <v>115</v>
      </c>
    </row>
    <row r="341" spans="1:10" x14ac:dyDescent="0.25">
      <c r="A341" t="s">
        <v>465</v>
      </c>
      <c r="B341" s="18">
        <v>43283</v>
      </c>
      <c r="C341" t="s">
        <v>95</v>
      </c>
      <c r="D341" t="s">
        <v>104</v>
      </c>
      <c r="E341">
        <v>16</v>
      </c>
      <c r="F341">
        <v>80</v>
      </c>
      <c r="G341">
        <v>1280</v>
      </c>
      <c r="H341">
        <v>0.04</v>
      </c>
      <c r="I341">
        <v>51.2</v>
      </c>
      <c r="J341" t="s">
        <v>116</v>
      </c>
    </row>
    <row r="342" spans="1:10" x14ac:dyDescent="0.25">
      <c r="A342" t="s">
        <v>466</v>
      </c>
      <c r="B342" s="18">
        <v>43283</v>
      </c>
      <c r="C342" t="s">
        <v>98</v>
      </c>
      <c r="D342" t="s">
        <v>96</v>
      </c>
      <c r="E342">
        <v>7</v>
      </c>
      <c r="F342">
        <v>40</v>
      </c>
      <c r="G342">
        <v>280</v>
      </c>
      <c r="H342">
        <v>0.1</v>
      </c>
      <c r="I342">
        <v>28</v>
      </c>
      <c r="J342" t="s">
        <v>97</v>
      </c>
    </row>
    <row r="343" spans="1:10" x14ac:dyDescent="0.25">
      <c r="A343" t="s">
        <v>467</v>
      </c>
      <c r="B343" s="18">
        <v>43283</v>
      </c>
      <c r="C343" t="s">
        <v>98</v>
      </c>
      <c r="D343" t="s">
        <v>104</v>
      </c>
      <c r="E343">
        <v>11</v>
      </c>
      <c r="F343">
        <v>40</v>
      </c>
      <c r="G343">
        <v>440</v>
      </c>
      <c r="H343">
        <v>0.05</v>
      </c>
      <c r="I343">
        <v>22</v>
      </c>
      <c r="J343" t="s">
        <v>100</v>
      </c>
    </row>
    <row r="344" spans="1:10" x14ac:dyDescent="0.25">
      <c r="A344" t="s">
        <v>468</v>
      </c>
      <c r="B344" s="18">
        <v>43283</v>
      </c>
      <c r="C344" t="s">
        <v>95</v>
      </c>
      <c r="D344" t="s">
        <v>109</v>
      </c>
      <c r="E344">
        <v>9</v>
      </c>
      <c r="F344">
        <v>80</v>
      </c>
      <c r="G344">
        <v>720</v>
      </c>
      <c r="H344">
        <v>0.06</v>
      </c>
      <c r="I344">
        <v>43.199999999999996</v>
      </c>
      <c r="J344" t="s">
        <v>102</v>
      </c>
    </row>
    <row r="345" spans="1:10" x14ac:dyDescent="0.25">
      <c r="A345" t="s">
        <v>469</v>
      </c>
      <c r="B345" s="18">
        <v>43283</v>
      </c>
      <c r="C345" t="s">
        <v>95</v>
      </c>
      <c r="D345" t="s">
        <v>99</v>
      </c>
      <c r="E345">
        <v>21</v>
      </c>
      <c r="F345">
        <v>80</v>
      </c>
      <c r="G345">
        <v>1680</v>
      </c>
      <c r="H345">
        <v>0.04</v>
      </c>
      <c r="I345">
        <v>67.2</v>
      </c>
      <c r="J345" t="s">
        <v>103</v>
      </c>
    </row>
    <row r="346" spans="1:10" x14ac:dyDescent="0.25">
      <c r="A346" t="s">
        <v>470</v>
      </c>
      <c r="B346" s="18">
        <v>43283</v>
      </c>
      <c r="C346" t="s">
        <v>98</v>
      </c>
      <c r="D346" t="s">
        <v>104</v>
      </c>
      <c r="E346">
        <v>2</v>
      </c>
      <c r="F346">
        <v>40</v>
      </c>
      <c r="G346">
        <v>80</v>
      </c>
      <c r="H346">
        <v>0.03</v>
      </c>
      <c r="I346">
        <v>2.4</v>
      </c>
      <c r="J346" t="s">
        <v>105</v>
      </c>
    </row>
    <row r="347" spans="1:10" x14ac:dyDescent="0.25">
      <c r="A347" t="s">
        <v>471</v>
      </c>
      <c r="B347" s="18">
        <v>43284</v>
      </c>
      <c r="C347" t="s">
        <v>108</v>
      </c>
      <c r="D347" t="s">
        <v>104</v>
      </c>
      <c r="E347">
        <v>17</v>
      </c>
      <c r="F347">
        <v>16</v>
      </c>
      <c r="G347">
        <v>272</v>
      </c>
      <c r="H347">
        <v>0.05</v>
      </c>
      <c r="I347">
        <v>13.600000000000001</v>
      </c>
      <c r="J347" t="s">
        <v>107</v>
      </c>
    </row>
    <row r="348" spans="1:10" x14ac:dyDescent="0.25">
      <c r="A348" t="s">
        <v>472</v>
      </c>
      <c r="B348" s="18">
        <v>43284</v>
      </c>
      <c r="C348" t="s">
        <v>98</v>
      </c>
      <c r="D348" t="s">
        <v>96</v>
      </c>
      <c r="E348">
        <v>18</v>
      </c>
      <c r="F348">
        <v>40</v>
      </c>
      <c r="G348">
        <v>720</v>
      </c>
      <c r="H348">
        <v>0.06</v>
      </c>
      <c r="I348">
        <v>43.199999999999996</v>
      </c>
      <c r="J348" t="s">
        <v>110</v>
      </c>
    </row>
    <row r="349" spans="1:10" x14ac:dyDescent="0.25">
      <c r="A349" t="s">
        <v>473</v>
      </c>
      <c r="B349" s="18">
        <v>43284</v>
      </c>
      <c r="C349" t="s">
        <v>98</v>
      </c>
      <c r="D349" t="s">
        <v>96</v>
      </c>
      <c r="E349">
        <v>9</v>
      </c>
      <c r="F349">
        <v>40</v>
      </c>
      <c r="G349">
        <v>360</v>
      </c>
      <c r="H349">
        <v>0.01</v>
      </c>
      <c r="I349">
        <v>3.6</v>
      </c>
      <c r="J349" t="s">
        <v>112</v>
      </c>
    </row>
    <row r="350" spans="1:10" x14ac:dyDescent="0.25">
      <c r="A350" t="s">
        <v>474</v>
      </c>
      <c r="B350" s="18">
        <v>43284</v>
      </c>
      <c r="C350" t="s">
        <v>98</v>
      </c>
      <c r="D350" t="s">
        <v>99</v>
      </c>
      <c r="E350">
        <v>7</v>
      </c>
      <c r="F350">
        <v>40</v>
      </c>
      <c r="G350">
        <v>280</v>
      </c>
      <c r="H350">
        <v>0.01</v>
      </c>
      <c r="I350">
        <v>2.8000000000000003</v>
      </c>
      <c r="J350" t="s">
        <v>113</v>
      </c>
    </row>
    <row r="351" spans="1:10" x14ac:dyDescent="0.25">
      <c r="A351" t="s">
        <v>475</v>
      </c>
      <c r="B351" s="18">
        <v>43284</v>
      </c>
      <c r="C351" t="s">
        <v>101</v>
      </c>
      <c r="D351" t="s">
        <v>104</v>
      </c>
      <c r="E351">
        <v>12</v>
      </c>
      <c r="F351">
        <v>230</v>
      </c>
      <c r="G351">
        <v>2760</v>
      </c>
      <c r="H351">
        <v>0.06</v>
      </c>
      <c r="I351">
        <v>165.6</v>
      </c>
      <c r="J351" t="s">
        <v>114</v>
      </c>
    </row>
    <row r="352" spans="1:10" x14ac:dyDescent="0.25">
      <c r="A352" t="s">
        <v>476</v>
      </c>
      <c r="B352" s="18">
        <v>43284</v>
      </c>
      <c r="C352" t="s">
        <v>108</v>
      </c>
      <c r="D352" t="s">
        <v>99</v>
      </c>
      <c r="E352">
        <v>22</v>
      </c>
      <c r="F352">
        <v>16</v>
      </c>
      <c r="G352">
        <v>352</v>
      </c>
      <c r="H352">
        <v>0.04</v>
      </c>
      <c r="I352">
        <v>14.08</v>
      </c>
      <c r="J352" t="s">
        <v>97</v>
      </c>
    </row>
    <row r="353" spans="1:10" x14ac:dyDescent="0.25">
      <c r="A353" t="s">
        <v>477</v>
      </c>
      <c r="B353" s="18">
        <v>43285</v>
      </c>
      <c r="C353" t="s">
        <v>111</v>
      </c>
      <c r="D353" t="s">
        <v>96</v>
      </c>
      <c r="E353">
        <v>5</v>
      </c>
      <c r="F353">
        <v>150</v>
      </c>
      <c r="G353">
        <v>750</v>
      </c>
      <c r="H353">
        <v>0.11</v>
      </c>
      <c r="I353">
        <v>82.5</v>
      </c>
      <c r="J353" t="s">
        <v>100</v>
      </c>
    </row>
    <row r="354" spans="1:10" x14ac:dyDescent="0.25">
      <c r="A354" t="s">
        <v>478</v>
      </c>
      <c r="B354" s="18">
        <v>43285</v>
      </c>
      <c r="C354" t="s">
        <v>95</v>
      </c>
      <c r="D354" t="s">
        <v>99</v>
      </c>
      <c r="E354">
        <v>14</v>
      </c>
      <c r="F354">
        <v>80</v>
      </c>
      <c r="G354">
        <v>1120</v>
      </c>
      <c r="H354">
        <v>0.11</v>
      </c>
      <c r="I354">
        <v>123.2</v>
      </c>
      <c r="J354" t="s">
        <v>102</v>
      </c>
    </row>
    <row r="355" spans="1:10" x14ac:dyDescent="0.25">
      <c r="A355" t="s">
        <v>479</v>
      </c>
      <c r="B355" s="18">
        <v>43285</v>
      </c>
      <c r="C355" t="s">
        <v>108</v>
      </c>
      <c r="D355" t="s">
        <v>104</v>
      </c>
      <c r="E355">
        <v>8</v>
      </c>
      <c r="F355">
        <v>16</v>
      </c>
      <c r="G355">
        <v>128</v>
      </c>
      <c r="H355">
        <v>0.03</v>
      </c>
      <c r="I355">
        <v>3.84</v>
      </c>
      <c r="J355" t="s">
        <v>103</v>
      </c>
    </row>
    <row r="356" spans="1:10" x14ac:dyDescent="0.25">
      <c r="A356" t="s">
        <v>480</v>
      </c>
      <c r="B356" s="18">
        <v>43285</v>
      </c>
      <c r="C356" t="s">
        <v>101</v>
      </c>
      <c r="D356" t="s">
        <v>104</v>
      </c>
      <c r="E356">
        <v>6</v>
      </c>
      <c r="F356">
        <v>230</v>
      </c>
      <c r="G356">
        <v>1380</v>
      </c>
      <c r="H356">
        <v>0.05</v>
      </c>
      <c r="I356">
        <v>69</v>
      </c>
      <c r="J356" t="s">
        <v>105</v>
      </c>
    </row>
    <row r="357" spans="1:10" x14ac:dyDescent="0.25">
      <c r="A357" t="s">
        <v>481</v>
      </c>
      <c r="B357" s="18">
        <v>43285</v>
      </c>
      <c r="C357" t="s">
        <v>108</v>
      </c>
      <c r="D357" t="s">
        <v>106</v>
      </c>
      <c r="E357">
        <v>7</v>
      </c>
      <c r="F357">
        <v>16</v>
      </c>
      <c r="G357">
        <v>112</v>
      </c>
      <c r="H357">
        <v>0.08</v>
      </c>
      <c r="I357">
        <v>8.9600000000000009</v>
      </c>
      <c r="J357" t="s">
        <v>107</v>
      </c>
    </row>
    <row r="358" spans="1:10" x14ac:dyDescent="0.25">
      <c r="A358" t="s">
        <v>482</v>
      </c>
      <c r="B358" s="18">
        <v>43285</v>
      </c>
      <c r="C358" t="s">
        <v>95</v>
      </c>
      <c r="D358" t="s">
        <v>99</v>
      </c>
      <c r="E358">
        <v>16</v>
      </c>
      <c r="F358">
        <v>80</v>
      </c>
      <c r="G358">
        <v>1280</v>
      </c>
      <c r="H358">
        <v>0.04</v>
      </c>
      <c r="I358">
        <v>51.2</v>
      </c>
      <c r="J358" t="s">
        <v>110</v>
      </c>
    </row>
    <row r="359" spans="1:10" x14ac:dyDescent="0.25">
      <c r="A359" t="s">
        <v>483</v>
      </c>
      <c r="B359" s="18">
        <v>43285</v>
      </c>
      <c r="C359" t="s">
        <v>111</v>
      </c>
      <c r="D359" t="s">
        <v>96</v>
      </c>
      <c r="E359">
        <v>17</v>
      </c>
      <c r="F359">
        <v>150</v>
      </c>
      <c r="G359">
        <v>2550</v>
      </c>
      <c r="H359">
        <v>0.12</v>
      </c>
      <c r="I359">
        <v>306</v>
      </c>
      <c r="J359" t="s">
        <v>112</v>
      </c>
    </row>
    <row r="360" spans="1:10" x14ac:dyDescent="0.25">
      <c r="A360" t="s">
        <v>484</v>
      </c>
      <c r="B360" s="18">
        <v>43285</v>
      </c>
      <c r="C360" t="s">
        <v>108</v>
      </c>
      <c r="D360" t="s">
        <v>99</v>
      </c>
      <c r="E360">
        <v>7</v>
      </c>
      <c r="F360">
        <v>16</v>
      </c>
      <c r="G360">
        <v>112</v>
      </c>
      <c r="H360">
        <v>0.08</v>
      </c>
      <c r="I360">
        <v>8.9600000000000009</v>
      </c>
      <c r="J360" t="s">
        <v>113</v>
      </c>
    </row>
    <row r="361" spans="1:10" x14ac:dyDescent="0.25">
      <c r="A361" t="s">
        <v>485</v>
      </c>
      <c r="B361" s="18">
        <v>43286</v>
      </c>
      <c r="C361" t="s">
        <v>108</v>
      </c>
      <c r="D361" t="s">
        <v>96</v>
      </c>
      <c r="E361">
        <v>21</v>
      </c>
      <c r="F361">
        <v>16</v>
      </c>
      <c r="G361">
        <v>336</v>
      </c>
      <c r="H361">
        <v>0.09</v>
      </c>
      <c r="I361">
        <v>30.24</v>
      </c>
      <c r="J361" t="s">
        <v>114</v>
      </c>
    </row>
    <row r="362" spans="1:10" x14ac:dyDescent="0.25">
      <c r="A362" t="s">
        <v>486</v>
      </c>
      <c r="B362" s="18">
        <v>43286</v>
      </c>
      <c r="C362" t="s">
        <v>108</v>
      </c>
      <c r="D362" t="s">
        <v>104</v>
      </c>
      <c r="E362">
        <v>23</v>
      </c>
      <c r="F362">
        <v>16</v>
      </c>
      <c r="G362">
        <v>368</v>
      </c>
      <c r="H362">
        <v>0.11</v>
      </c>
      <c r="I362">
        <v>40.479999999999997</v>
      </c>
      <c r="J362" t="s">
        <v>115</v>
      </c>
    </row>
    <row r="363" spans="1:10" x14ac:dyDescent="0.25">
      <c r="A363" t="s">
        <v>487</v>
      </c>
      <c r="B363" s="18">
        <v>43286</v>
      </c>
      <c r="C363" t="s">
        <v>111</v>
      </c>
      <c r="D363" t="s">
        <v>104</v>
      </c>
      <c r="E363">
        <v>2</v>
      </c>
      <c r="F363">
        <v>150</v>
      </c>
      <c r="G363">
        <v>300</v>
      </c>
      <c r="H363">
        <v>0.02</v>
      </c>
      <c r="I363">
        <v>6</v>
      </c>
      <c r="J363" t="s">
        <v>116</v>
      </c>
    </row>
    <row r="364" spans="1:10" x14ac:dyDescent="0.25">
      <c r="A364" t="s">
        <v>488</v>
      </c>
      <c r="B364" s="18">
        <v>43286</v>
      </c>
      <c r="C364" t="s">
        <v>111</v>
      </c>
      <c r="D364" t="s">
        <v>96</v>
      </c>
      <c r="E364">
        <v>22</v>
      </c>
      <c r="F364">
        <v>150</v>
      </c>
      <c r="G364">
        <v>3300</v>
      </c>
      <c r="H364">
        <v>7.0000000000000007E-2</v>
      </c>
      <c r="I364">
        <v>231.00000000000003</v>
      </c>
      <c r="J364" t="s">
        <v>97</v>
      </c>
    </row>
    <row r="365" spans="1:10" x14ac:dyDescent="0.25">
      <c r="A365" t="s">
        <v>489</v>
      </c>
      <c r="B365" s="18">
        <v>43286</v>
      </c>
      <c r="C365" t="s">
        <v>98</v>
      </c>
      <c r="D365" t="s">
        <v>106</v>
      </c>
      <c r="E365">
        <v>22</v>
      </c>
      <c r="F365">
        <v>40</v>
      </c>
      <c r="G365">
        <v>880</v>
      </c>
      <c r="H365">
        <v>0.01</v>
      </c>
      <c r="I365">
        <v>8.8000000000000007</v>
      </c>
      <c r="J365" t="s">
        <v>100</v>
      </c>
    </row>
    <row r="366" spans="1:10" x14ac:dyDescent="0.25">
      <c r="A366" t="s">
        <v>490</v>
      </c>
      <c r="B366" s="18">
        <v>43286</v>
      </c>
      <c r="C366" t="s">
        <v>95</v>
      </c>
      <c r="D366" t="s">
        <v>99</v>
      </c>
      <c r="E366">
        <v>10</v>
      </c>
      <c r="F366">
        <v>80</v>
      </c>
      <c r="G366">
        <v>800</v>
      </c>
      <c r="H366">
        <v>0.11</v>
      </c>
      <c r="I366">
        <v>88</v>
      </c>
      <c r="J366" t="s">
        <v>102</v>
      </c>
    </row>
    <row r="367" spans="1:10" x14ac:dyDescent="0.25">
      <c r="A367" t="s">
        <v>491</v>
      </c>
      <c r="B367" s="18">
        <v>43286</v>
      </c>
      <c r="C367" t="s">
        <v>95</v>
      </c>
      <c r="D367" t="s">
        <v>109</v>
      </c>
      <c r="E367">
        <v>13</v>
      </c>
      <c r="F367">
        <v>80</v>
      </c>
      <c r="G367">
        <v>1040</v>
      </c>
      <c r="H367">
        <v>0.05</v>
      </c>
      <c r="I367">
        <v>52</v>
      </c>
      <c r="J367" t="s">
        <v>103</v>
      </c>
    </row>
    <row r="368" spans="1:10" x14ac:dyDescent="0.25">
      <c r="A368" t="s">
        <v>492</v>
      </c>
      <c r="B368" s="18">
        <v>43286</v>
      </c>
      <c r="C368" t="s">
        <v>101</v>
      </c>
      <c r="D368" t="s">
        <v>106</v>
      </c>
      <c r="E368">
        <v>11</v>
      </c>
      <c r="F368">
        <v>230</v>
      </c>
      <c r="G368">
        <v>2530</v>
      </c>
      <c r="H368">
        <v>0.12</v>
      </c>
      <c r="I368">
        <v>303.59999999999997</v>
      </c>
      <c r="J368" t="s">
        <v>105</v>
      </c>
    </row>
    <row r="369" spans="1:10" x14ac:dyDescent="0.25">
      <c r="A369" t="s">
        <v>493</v>
      </c>
      <c r="B369" s="18">
        <v>43286</v>
      </c>
      <c r="C369" t="s">
        <v>101</v>
      </c>
      <c r="D369" t="s">
        <v>96</v>
      </c>
      <c r="E369">
        <v>9</v>
      </c>
      <c r="F369">
        <v>230</v>
      </c>
      <c r="G369">
        <v>2070</v>
      </c>
      <c r="H369">
        <v>7.0000000000000007E-2</v>
      </c>
      <c r="I369">
        <v>144.9</v>
      </c>
      <c r="J369" t="s">
        <v>107</v>
      </c>
    </row>
    <row r="370" spans="1:10" x14ac:dyDescent="0.25">
      <c r="A370" t="s">
        <v>494</v>
      </c>
      <c r="B370" s="18">
        <v>43286</v>
      </c>
      <c r="C370" t="s">
        <v>101</v>
      </c>
      <c r="D370" t="s">
        <v>106</v>
      </c>
      <c r="E370">
        <v>16</v>
      </c>
      <c r="F370">
        <v>230</v>
      </c>
      <c r="G370">
        <v>3680</v>
      </c>
      <c r="H370">
        <v>0.11</v>
      </c>
      <c r="I370">
        <v>404.8</v>
      </c>
      <c r="J370" t="s">
        <v>110</v>
      </c>
    </row>
    <row r="371" spans="1:10" x14ac:dyDescent="0.25">
      <c r="A371" t="s">
        <v>495</v>
      </c>
      <c r="B371" s="18">
        <v>43286</v>
      </c>
      <c r="C371" t="s">
        <v>101</v>
      </c>
      <c r="D371" t="s">
        <v>106</v>
      </c>
      <c r="E371">
        <v>18</v>
      </c>
      <c r="F371">
        <v>230</v>
      </c>
      <c r="G371">
        <v>4140</v>
      </c>
      <c r="H371">
        <v>0.01</v>
      </c>
      <c r="I371">
        <v>41.4</v>
      </c>
      <c r="J371" t="s">
        <v>112</v>
      </c>
    </row>
    <row r="372" spans="1:10" x14ac:dyDescent="0.25">
      <c r="A372" t="s">
        <v>496</v>
      </c>
      <c r="B372" s="18">
        <v>43286</v>
      </c>
      <c r="C372" t="s">
        <v>108</v>
      </c>
      <c r="D372" t="s">
        <v>99</v>
      </c>
      <c r="E372">
        <v>15</v>
      </c>
      <c r="F372">
        <v>16</v>
      </c>
      <c r="G372">
        <v>240</v>
      </c>
      <c r="H372">
        <v>0.02</v>
      </c>
      <c r="I372">
        <v>4.8</v>
      </c>
      <c r="J372" t="s">
        <v>113</v>
      </c>
    </row>
    <row r="373" spans="1:10" x14ac:dyDescent="0.25">
      <c r="A373" t="s">
        <v>497</v>
      </c>
      <c r="B373" s="18">
        <v>43286</v>
      </c>
      <c r="C373" t="s">
        <v>98</v>
      </c>
      <c r="D373" t="s">
        <v>109</v>
      </c>
      <c r="E373">
        <v>18</v>
      </c>
      <c r="F373">
        <v>40</v>
      </c>
      <c r="G373">
        <v>720</v>
      </c>
      <c r="H373">
        <v>0.06</v>
      </c>
      <c r="I373">
        <v>43.199999999999996</v>
      </c>
      <c r="J373" t="s">
        <v>114</v>
      </c>
    </row>
    <row r="374" spans="1:10" x14ac:dyDescent="0.25">
      <c r="A374" t="s">
        <v>498</v>
      </c>
      <c r="B374" s="18">
        <v>43286</v>
      </c>
      <c r="C374" t="s">
        <v>98</v>
      </c>
      <c r="D374" t="s">
        <v>106</v>
      </c>
      <c r="E374">
        <v>18</v>
      </c>
      <c r="F374">
        <v>40</v>
      </c>
      <c r="G374">
        <v>720</v>
      </c>
      <c r="H374">
        <v>0.04</v>
      </c>
      <c r="I374">
        <v>28.8</v>
      </c>
      <c r="J374" t="s">
        <v>115</v>
      </c>
    </row>
    <row r="375" spans="1:10" x14ac:dyDescent="0.25">
      <c r="A375" t="s">
        <v>499</v>
      </c>
      <c r="B375" s="18">
        <v>43286</v>
      </c>
      <c r="C375" t="s">
        <v>108</v>
      </c>
      <c r="D375" t="s">
        <v>106</v>
      </c>
      <c r="E375">
        <v>22</v>
      </c>
      <c r="F375">
        <v>16</v>
      </c>
      <c r="G375">
        <v>352</v>
      </c>
      <c r="H375">
        <v>0.03</v>
      </c>
      <c r="I375">
        <v>10.559999999999999</v>
      </c>
      <c r="J375" t="s">
        <v>116</v>
      </c>
    </row>
    <row r="376" spans="1:10" x14ac:dyDescent="0.25">
      <c r="A376" t="s">
        <v>500</v>
      </c>
      <c r="B376" s="18">
        <v>43286</v>
      </c>
      <c r="C376" t="s">
        <v>108</v>
      </c>
      <c r="D376" t="s">
        <v>104</v>
      </c>
      <c r="E376">
        <v>12</v>
      </c>
      <c r="F376">
        <v>16</v>
      </c>
      <c r="G376">
        <v>192</v>
      </c>
      <c r="H376">
        <v>0.11</v>
      </c>
      <c r="I376">
        <v>21.12</v>
      </c>
      <c r="J376" t="s">
        <v>97</v>
      </c>
    </row>
    <row r="377" spans="1:10" x14ac:dyDescent="0.25">
      <c r="A377" t="s">
        <v>501</v>
      </c>
      <c r="B377" s="18">
        <v>43287</v>
      </c>
      <c r="C377" t="s">
        <v>95</v>
      </c>
      <c r="D377" t="s">
        <v>96</v>
      </c>
      <c r="E377">
        <v>20</v>
      </c>
      <c r="F377">
        <v>80</v>
      </c>
      <c r="G377">
        <v>1600</v>
      </c>
      <c r="H377">
        <v>0.01</v>
      </c>
      <c r="I377">
        <v>16</v>
      </c>
      <c r="J377" t="s">
        <v>100</v>
      </c>
    </row>
    <row r="378" spans="1:10" x14ac:dyDescent="0.25">
      <c r="A378" t="s">
        <v>502</v>
      </c>
      <c r="B378" s="18">
        <v>43287</v>
      </c>
      <c r="C378" t="s">
        <v>101</v>
      </c>
      <c r="D378" t="s">
        <v>104</v>
      </c>
      <c r="E378">
        <v>10</v>
      </c>
      <c r="F378">
        <v>230</v>
      </c>
      <c r="G378">
        <v>2300</v>
      </c>
      <c r="H378">
        <v>0.02</v>
      </c>
      <c r="I378">
        <v>46</v>
      </c>
      <c r="J378" t="s">
        <v>102</v>
      </c>
    </row>
    <row r="379" spans="1:10" x14ac:dyDescent="0.25">
      <c r="A379" t="s">
        <v>503</v>
      </c>
      <c r="B379" s="18">
        <v>43287</v>
      </c>
      <c r="C379" t="s">
        <v>101</v>
      </c>
      <c r="D379" t="s">
        <v>99</v>
      </c>
      <c r="E379">
        <v>9</v>
      </c>
      <c r="F379">
        <v>230</v>
      </c>
      <c r="G379">
        <v>2070</v>
      </c>
      <c r="H379">
        <v>0.03</v>
      </c>
      <c r="I379">
        <v>62.099999999999994</v>
      </c>
      <c r="J379" t="s">
        <v>103</v>
      </c>
    </row>
    <row r="380" spans="1:10" x14ac:dyDescent="0.25">
      <c r="A380" t="s">
        <v>504</v>
      </c>
      <c r="B380" s="18">
        <v>43287</v>
      </c>
      <c r="C380" t="s">
        <v>95</v>
      </c>
      <c r="D380" t="s">
        <v>99</v>
      </c>
      <c r="E380">
        <v>17</v>
      </c>
      <c r="F380">
        <v>80</v>
      </c>
      <c r="G380">
        <v>1360</v>
      </c>
      <c r="H380">
        <v>0.03</v>
      </c>
      <c r="I380">
        <v>40.799999999999997</v>
      </c>
      <c r="J380" t="s">
        <v>105</v>
      </c>
    </row>
    <row r="381" spans="1:10" x14ac:dyDescent="0.25">
      <c r="A381" t="s">
        <v>505</v>
      </c>
      <c r="B381" s="18">
        <v>43287</v>
      </c>
      <c r="C381" t="s">
        <v>98</v>
      </c>
      <c r="D381" t="s">
        <v>109</v>
      </c>
      <c r="E381">
        <v>4</v>
      </c>
      <c r="F381">
        <v>40</v>
      </c>
      <c r="G381">
        <v>160</v>
      </c>
      <c r="H381">
        <v>0.09</v>
      </c>
      <c r="I381">
        <v>14.399999999999999</v>
      </c>
      <c r="J381" t="s">
        <v>107</v>
      </c>
    </row>
    <row r="382" spans="1:10" x14ac:dyDescent="0.25">
      <c r="A382" t="s">
        <v>506</v>
      </c>
      <c r="B382" s="18">
        <v>43287</v>
      </c>
      <c r="C382" t="s">
        <v>111</v>
      </c>
      <c r="D382" t="s">
        <v>99</v>
      </c>
      <c r="E382">
        <v>16</v>
      </c>
      <c r="F382">
        <v>150</v>
      </c>
      <c r="G382">
        <v>2400</v>
      </c>
      <c r="H382">
        <v>0.03</v>
      </c>
      <c r="I382">
        <v>72</v>
      </c>
      <c r="J382" t="s">
        <v>110</v>
      </c>
    </row>
    <row r="383" spans="1:10" x14ac:dyDescent="0.25">
      <c r="A383" t="s">
        <v>507</v>
      </c>
      <c r="B383" s="18">
        <v>43287</v>
      </c>
      <c r="C383" t="s">
        <v>95</v>
      </c>
      <c r="D383" t="s">
        <v>104</v>
      </c>
      <c r="E383">
        <v>8</v>
      </c>
      <c r="F383">
        <v>80</v>
      </c>
      <c r="G383">
        <v>640</v>
      </c>
      <c r="H383">
        <v>0.02</v>
      </c>
      <c r="I383">
        <v>12.8</v>
      </c>
      <c r="J383" t="s">
        <v>112</v>
      </c>
    </row>
    <row r="384" spans="1:10" x14ac:dyDescent="0.25">
      <c r="A384" t="s">
        <v>508</v>
      </c>
      <c r="B384" s="18">
        <v>43287</v>
      </c>
      <c r="C384" t="s">
        <v>98</v>
      </c>
      <c r="D384" t="s">
        <v>106</v>
      </c>
      <c r="E384">
        <v>23</v>
      </c>
      <c r="F384">
        <v>40</v>
      </c>
      <c r="G384">
        <v>920</v>
      </c>
      <c r="H384">
        <v>0.06</v>
      </c>
      <c r="I384">
        <v>55.199999999999996</v>
      </c>
      <c r="J384" t="s">
        <v>113</v>
      </c>
    </row>
    <row r="385" spans="1:10" x14ac:dyDescent="0.25">
      <c r="A385" t="s">
        <v>509</v>
      </c>
      <c r="B385" s="18">
        <v>43288</v>
      </c>
      <c r="C385" t="s">
        <v>111</v>
      </c>
      <c r="D385" t="s">
        <v>106</v>
      </c>
      <c r="E385">
        <v>20</v>
      </c>
      <c r="F385">
        <v>150</v>
      </c>
      <c r="G385">
        <v>3000</v>
      </c>
      <c r="H385">
        <v>0.1</v>
      </c>
      <c r="I385">
        <v>300</v>
      </c>
      <c r="J385" t="s">
        <v>114</v>
      </c>
    </row>
    <row r="386" spans="1:10" x14ac:dyDescent="0.25">
      <c r="A386" t="s">
        <v>510</v>
      </c>
      <c r="B386" s="18">
        <v>43288</v>
      </c>
      <c r="C386" t="s">
        <v>101</v>
      </c>
      <c r="D386" t="s">
        <v>109</v>
      </c>
      <c r="E386">
        <v>22</v>
      </c>
      <c r="F386">
        <v>230</v>
      </c>
      <c r="G386">
        <v>5060</v>
      </c>
      <c r="H386">
        <v>0.1</v>
      </c>
      <c r="I386">
        <v>506</v>
      </c>
      <c r="J386" t="s">
        <v>115</v>
      </c>
    </row>
    <row r="387" spans="1:10" x14ac:dyDescent="0.25">
      <c r="A387" t="s">
        <v>511</v>
      </c>
      <c r="B387" s="18">
        <v>43288</v>
      </c>
      <c r="C387" t="s">
        <v>101</v>
      </c>
      <c r="D387" t="s">
        <v>99</v>
      </c>
      <c r="E387">
        <v>6</v>
      </c>
      <c r="F387">
        <v>230</v>
      </c>
      <c r="G387">
        <v>1380</v>
      </c>
      <c r="H387">
        <v>0.1</v>
      </c>
      <c r="I387">
        <v>138</v>
      </c>
      <c r="J387" t="s">
        <v>116</v>
      </c>
    </row>
    <row r="388" spans="1:10" x14ac:dyDescent="0.25">
      <c r="A388" t="s">
        <v>512</v>
      </c>
      <c r="B388" s="18">
        <v>43288</v>
      </c>
      <c r="C388" t="s">
        <v>95</v>
      </c>
      <c r="D388" t="s">
        <v>106</v>
      </c>
      <c r="E388">
        <v>10</v>
      </c>
      <c r="F388">
        <v>80</v>
      </c>
      <c r="G388">
        <v>800</v>
      </c>
      <c r="H388">
        <v>0.1</v>
      </c>
      <c r="I388">
        <v>80</v>
      </c>
      <c r="J388" t="s">
        <v>97</v>
      </c>
    </row>
    <row r="389" spans="1:10" x14ac:dyDescent="0.25">
      <c r="A389" t="s">
        <v>513</v>
      </c>
      <c r="B389" s="18">
        <v>43288</v>
      </c>
      <c r="C389" t="s">
        <v>101</v>
      </c>
      <c r="D389" t="s">
        <v>109</v>
      </c>
      <c r="E389">
        <v>21</v>
      </c>
      <c r="F389">
        <v>230</v>
      </c>
      <c r="G389">
        <v>4830</v>
      </c>
      <c r="H389">
        <v>0.05</v>
      </c>
      <c r="I389">
        <v>241.5</v>
      </c>
      <c r="J389" t="s">
        <v>100</v>
      </c>
    </row>
    <row r="390" spans="1:10" x14ac:dyDescent="0.25">
      <c r="A390" t="s">
        <v>514</v>
      </c>
      <c r="B390" s="18">
        <v>43288</v>
      </c>
      <c r="C390" t="s">
        <v>101</v>
      </c>
      <c r="D390" t="s">
        <v>96</v>
      </c>
      <c r="E390">
        <v>20</v>
      </c>
      <c r="F390">
        <v>230</v>
      </c>
      <c r="G390">
        <v>4600</v>
      </c>
      <c r="H390">
        <v>0.04</v>
      </c>
      <c r="I390">
        <v>184</v>
      </c>
      <c r="J390" t="s">
        <v>102</v>
      </c>
    </row>
    <row r="391" spans="1:10" x14ac:dyDescent="0.25">
      <c r="A391" t="s">
        <v>515</v>
      </c>
      <c r="B391" s="18">
        <v>43288</v>
      </c>
      <c r="C391" t="s">
        <v>95</v>
      </c>
      <c r="D391" t="s">
        <v>104</v>
      </c>
      <c r="E391">
        <v>20</v>
      </c>
      <c r="F391">
        <v>80</v>
      </c>
      <c r="G391">
        <v>1600</v>
      </c>
      <c r="H391">
        <v>7.0000000000000007E-2</v>
      </c>
      <c r="I391">
        <v>112.00000000000001</v>
      </c>
      <c r="J391" t="s">
        <v>103</v>
      </c>
    </row>
    <row r="392" spans="1:10" x14ac:dyDescent="0.25">
      <c r="A392" t="s">
        <v>516</v>
      </c>
      <c r="B392" s="18">
        <v>43288</v>
      </c>
      <c r="C392" t="s">
        <v>95</v>
      </c>
      <c r="D392" t="s">
        <v>104</v>
      </c>
      <c r="E392">
        <v>7</v>
      </c>
      <c r="F392">
        <v>80</v>
      </c>
      <c r="G392">
        <v>560</v>
      </c>
      <c r="H392">
        <v>0.05</v>
      </c>
      <c r="I392">
        <v>28</v>
      </c>
      <c r="J392" t="s">
        <v>105</v>
      </c>
    </row>
    <row r="393" spans="1:10" x14ac:dyDescent="0.25">
      <c r="A393" t="s">
        <v>517</v>
      </c>
      <c r="B393" s="18">
        <v>43288</v>
      </c>
      <c r="C393" t="s">
        <v>95</v>
      </c>
      <c r="D393" t="s">
        <v>96</v>
      </c>
      <c r="E393">
        <v>8</v>
      </c>
      <c r="F393">
        <v>80</v>
      </c>
      <c r="G393">
        <v>640</v>
      </c>
      <c r="H393">
        <v>0.09</v>
      </c>
      <c r="I393">
        <v>57.599999999999994</v>
      </c>
      <c r="J393" t="s">
        <v>107</v>
      </c>
    </row>
    <row r="394" spans="1:10" x14ac:dyDescent="0.25">
      <c r="A394" t="s">
        <v>518</v>
      </c>
      <c r="B394" s="18">
        <v>43288</v>
      </c>
      <c r="C394" t="s">
        <v>95</v>
      </c>
      <c r="D394" t="s">
        <v>99</v>
      </c>
      <c r="E394">
        <v>3</v>
      </c>
      <c r="F394">
        <v>80</v>
      </c>
      <c r="G394">
        <v>240</v>
      </c>
      <c r="H394">
        <v>0.02</v>
      </c>
      <c r="I394">
        <v>4.8</v>
      </c>
      <c r="J394" t="s">
        <v>110</v>
      </c>
    </row>
    <row r="395" spans="1:10" x14ac:dyDescent="0.25">
      <c r="A395" t="s">
        <v>519</v>
      </c>
      <c r="B395" s="18">
        <v>43288</v>
      </c>
      <c r="C395" t="s">
        <v>95</v>
      </c>
      <c r="D395" t="s">
        <v>106</v>
      </c>
      <c r="E395">
        <v>8</v>
      </c>
      <c r="F395">
        <v>80</v>
      </c>
      <c r="G395">
        <v>640</v>
      </c>
      <c r="H395">
        <v>0.06</v>
      </c>
      <c r="I395">
        <v>38.4</v>
      </c>
      <c r="J395" t="s">
        <v>112</v>
      </c>
    </row>
    <row r="396" spans="1:10" x14ac:dyDescent="0.25">
      <c r="A396" t="s">
        <v>520</v>
      </c>
      <c r="B396" s="18">
        <v>43288</v>
      </c>
      <c r="C396" t="s">
        <v>111</v>
      </c>
      <c r="D396" t="s">
        <v>109</v>
      </c>
      <c r="E396">
        <v>13</v>
      </c>
      <c r="F396">
        <v>150</v>
      </c>
      <c r="G396">
        <v>1950</v>
      </c>
      <c r="H396">
        <v>0.11</v>
      </c>
      <c r="I396">
        <v>214.5</v>
      </c>
      <c r="J396" t="s">
        <v>113</v>
      </c>
    </row>
    <row r="397" spans="1:10" x14ac:dyDescent="0.25">
      <c r="A397" t="s">
        <v>521</v>
      </c>
      <c r="B397" s="18">
        <v>43288</v>
      </c>
      <c r="C397" t="s">
        <v>95</v>
      </c>
      <c r="D397" t="s">
        <v>106</v>
      </c>
      <c r="E397">
        <v>15</v>
      </c>
      <c r="F397">
        <v>80</v>
      </c>
      <c r="G397">
        <v>1200</v>
      </c>
      <c r="H397">
        <v>0.08</v>
      </c>
      <c r="I397">
        <v>96</v>
      </c>
      <c r="J397" t="s">
        <v>114</v>
      </c>
    </row>
    <row r="398" spans="1:10" x14ac:dyDescent="0.25">
      <c r="A398" t="s">
        <v>522</v>
      </c>
      <c r="B398" s="18">
        <v>43288</v>
      </c>
      <c r="C398" t="s">
        <v>111</v>
      </c>
      <c r="D398" t="s">
        <v>109</v>
      </c>
      <c r="E398">
        <v>7</v>
      </c>
      <c r="F398">
        <v>150</v>
      </c>
      <c r="G398">
        <v>1050</v>
      </c>
      <c r="H398">
        <v>0.02</v>
      </c>
      <c r="I398">
        <v>21</v>
      </c>
      <c r="J398" t="s">
        <v>115</v>
      </c>
    </row>
    <row r="399" spans="1:10" x14ac:dyDescent="0.25">
      <c r="A399" t="s">
        <v>523</v>
      </c>
      <c r="B399" s="18">
        <v>43288</v>
      </c>
      <c r="C399" t="s">
        <v>98</v>
      </c>
      <c r="D399" t="s">
        <v>104</v>
      </c>
      <c r="E399">
        <v>6</v>
      </c>
      <c r="F399">
        <v>40</v>
      </c>
      <c r="G399">
        <v>240</v>
      </c>
      <c r="H399">
        <v>0.06</v>
      </c>
      <c r="I399">
        <v>14.399999999999999</v>
      </c>
      <c r="J399" t="s">
        <v>116</v>
      </c>
    </row>
    <row r="400" spans="1:10" x14ac:dyDescent="0.25">
      <c r="A400" t="s">
        <v>524</v>
      </c>
      <c r="B400" s="18">
        <v>43288</v>
      </c>
      <c r="C400" t="s">
        <v>95</v>
      </c>
      <c r="D400" t="s">
        <v>106</v>
      </c>
      <c r="E400">
        <v>23</v>
      </c>
      <c r="F400">
        <v>80</v>
      </c>
      <c r="G400">
        <v>1840</v>
      </c>
      <c r="H400">
        <v>0.11</v>
      </c>
      <c r="I400">
        <v>202.4</v>
      </c>
      <c r="J400" t="s">
        <v>97</v>
      </c>
    </row>
    <row r="401" spans="1:10" x14ac:dyDescent="0.25">
      <c r="A401" t="s">
        <v>525</v>
      </c>
      <c r="B401" s="18">
        <v>43288</v>
      </c>
      <c r="C401" t="s">
        <v>101</v>
      </c>
      <c r="D401" t="s">
        <v>104</v>
      </c>
      <c r="E401">
        <v>18</v>
      </c>
      <c r="F401">
        <v>230</v>
      </c>
      <c r="G401">
        <v>4140</v>
      </c>
      <c r="H401">
        <v>0.01</v>
      </c>
      <c r="I401">
        <v>41.4</v>
      </c>
      <c r="J401" t="s">
        <v>100</v>
      </c>
    </row>
    <row r="402" spans="1:10" x14ac:dyDescent="0.25">
      <c r="A402" t="s">
        <v>526</v>
      </c>
      <c r="B402" s="18">
        <v>43289</v>
      </c>
      <c r="C402" t="s">
        <v>95</v>
      </c>
      <c r="D402" t="s">
        <v>109</v>
      </c>
      <c r="E402">
        <v>21</v>
      </c>
      <c r="F402">
        <v>80</v>
      </c>
      <c r="G402">
        <v>1680</v>
      </c>
      <c r="H402">
        <v>0.09</v>
      </c>
      <c r="I402">
        <v>151.19999999999999</v>
      </c>
      <c r="J402" t="s">
        <v>102</v>
      </c>
    </row>
    <row r="403" spans="1:10" x14ac:dyDescent="0.25">
      <c r="A403" t="s">
        <v>527</v>
      </c>
      <c r="B403" s="18">
        <v>43289</v>
      </c>
      <c r="C403" t="s">
        <v>98</v>
      </c>
      <c r="D403" t="s">
        <v>104</v>
      </c>
      <c r="E403">
        <v>13</v>
      </c>
      <c r="F403">
        <v>40</v>
      </c>
      <c r="G403">
        <v>520</v>
      </c>
      <c r="H403">
        <v>0.02</v>
      </c>
      <c r="I403">
        <v>10.4</v>
      </c>
      <c r="J403" t="s">
        <v>103</v>
      </c>
    </row>
    <row r="404" spans="1:10" x14ac:dyDescent="0.25">
      <c r="A404" t="s">
        <v>528</v>
      </c>
      <c r="B404" s="18">
        <v>43289</v>
      </c>
      <c r="C404" t="s">
        <v>95</v>
      </c>
      <c r="D404" t="s">
        <v>104</v>
      </c>
      <c r="E404">
        <v>23</v>
      </c>
      <c r="F404">
        <v>80</v>
      </c>
      <c r="G404">
        <v>1840</v>
      </c>
      <c r="H404">
        <v>0.05</v>
      </c>
      <c r="I404">
        <v>92</v>
      </c>
      <c r="J404" t="s">
        <v>105</v>
      </c>
    </row>
    <row r="405" spans="1:10" x14ac:dyDescent="0.25">
      <c r="A405" t="s">
        <v>529</v>
      </c>
      <c r="B405" s="18">
        <v>43289</v>
      </c>
      <c r="C405" t="s">
        <v>111</v>
      </c>
      <c r="D405" t="s">
        <v>106</v>
      </c>
      <c r="E405">
        <v>15</v>
      </c>
      <c r="F405">
        <v>150</v>
      </c>
      <c r="G405">
        <v>2250</v>
      </c>
      <c r="H405">
        <v>0.05</v>
      </c>
      <c r="I405">
        <v>112.5</v>
      </c>
      <c r="J405" t="s">
        <v>107</v>
      </c>
    </row>
    <row r="406" spans="1:10" x14ac:dyDescent="0.25">
      <c r="A406" t="s">
        <v>530</v>
      </c>
      <c r="B406" s="18">
        <v>43289</v>
      </c>
      <c r="C406" t="s">
        <v>98</v>
      </c>
      <c r="D406" t="s">
        <v>96</v>
      </c>
      <c r="E406">
        <v>5</v>
      </c>
      <c r="F406">
        <v>40</v>
      </c>
      <c r="G406">
        <v>200</v>
      </c>
      <c r="H406">
        <v>0.09</v>
      </c>
      <c r="I406">
        <v>18</v>
      </c>
      <c r="J406" t="s">
        <v>110</v>
      </c>
    </row>
    <row r="407" spans="1:10" x14ac:dyDescent="0.25">
      <c r="A407" t="s">
        <v>531</v>
      </c>
      <c r="B407" s="18">
        <v>43289</v>
      </c>
      <c r="C407" t="s">
        <v>108</v>
      </c>
      <c r="D407" t="s">
        <v>106</v>
      </c>
      <c r="E407">
        <v>10</v>
      </c>
      <c r="F407">
        <v>16</v>
      </c>
      <c r="G407">
        <v>160</v>
      </c>
      <c r="H407">
        <v>0.01</v>
      </c>
      <c r="I407">
        <v>1.6</v>
      </c>
      <c r="J407" t="s">
        <v>112</v>
      </c>
    </row>
    <row r="408" spans="1:10" x14ac:dyDescent="0.25">
      <c r="A408" t="s">
        <v>532</v>
      </c>
      <c r="B408" s="18">
        <v>43289</v>
      </c>
      <c r="C408" t="s">
        <v>101</v>
      </c>
      <c r="D408" t="s">
        <v>104</v>
      </c>
      <c r="E408">
        <v>2</v>
      </c>
      <c r="F408">
        <v>230</v>
      </c>
      <c r="G408">
        <v>460</v>
      </c>
      <c r="H408">
        <v>0.09</v>
      </c>
      <c r="I408">
        <v>41.4</v>
      </c>
      <c r="J408" t="s">
        <v>113</v>
      </c>
    </row>
    <row r="409" spans="1:10" x14ac:dyDescent="0.25">
      <c r="A409" t="s">
        <v>533</v>
      </c>
      <c r="B409" s="18">
        <v>43289</v>
      </c>
      <c r="C409" t="s">
        <v>95</v>
      </c>
      <c r="D409" t="s">
        <v>106</v>
      </c>
      <c r="E409">
        <v>7</v>
      </c>
      <c r="F409">
        <v>80</v>
      </c>
      <c r="G409">
        <v>560</v>
      </c>
      <c r="H409">
        <v>0.02</v>
      </c>
      <c r="I409">
        <v>11.200000000000001</v>
      </c>
      <c r="J409" t="s">
        <v>114</v>
      </c>
    </row>
    <row r="410" spans="1:10" x14ac:dyDescent="0.25">
      <c r="A410" t="s">
        <v>534</v>
      </c>
      <c r="B410" s="18">
        <v>43289</v>
      </c>
      <c r="C410" t="s">
        <v>111</v>
      </c>
      <c r="D410" t="s">
        <v>106</v>
      </c>
      <c r="E410">
        <v>22</v>
      </c>
      <c r="F410">
        <v>150</v>
      </c>
      <c r="G410">
        <v>3300</v>
      </c>
      <c r="H410">
        <v>0.05</v>
      </c>
      <c r="I410">
        <v>165</v>
      </c>
      <c r="J410" t="s">
        <v>115</v>
      </c>
    </row>
    <row r="411" spans="1:10" x14ac:dyDescent="0.25">
      <c r="A411" t="s">
        <v>535</v>
      </c>
      <c r="B411" s="18">
        <v>43289</v>
      </c>
      <c r="C411" t="s">
        <v>98</v>
      </c>
      <c r="D411" t="s">
        <v>109</v>
      </c>
      <c r="E411">
        <v>17</v>
      </c>
      <c r="F411">
        <v>40</v>
      </c>
      <c r="G411">
        <v>680</v>
      </c>
      <c r="H411">
        <v>0.02</v>
      </c>
      <c r="I411">
        <v>13.6</v>
      </c>
      <c r="J411" t="s">
        <v>116</v>
      </c>
    </row>
    <row r="412" spans="1:10" x14ac:dyDescent="0.25">
      <c r="A412" t="s">
        <v>536</v>
      </c>
      <c r="B412" s="18">
        <v>43289</v>
      </c>
      <c r="C412" t="s">
        <v>108</v>
      </c>
      <c r="D412" t="s">
        <v>96</v>
      </c>
      <c r="E412">
        <v>22</v>
      </c>
      <c r="F412">
        <v>16</v>
      </c>
      <c r="G412">
        <v>352</v>
      </c>
      <c r="H412">
        <v>0.06</v>
      </c>
      <c r="I412">
        <v>21.119999999999997</v>
      </c>
      <c r="J412" t="s">
        <v>97</v>
      </c>
    </row>
    <row r="413" spans="1:10" x14ac:dyDescent="0.25">
      <c r="A413" t="s">
        <v>537</v>
      </c>
      <c r="B413" s="18">
        <v>43289</v>
      </c>
      <c r="C413" t="s">
        <v>108</v>
      </c>
      <c r="D413" t="s">
        <v>109</v>
      </c>
      <c r="E413">
        <v>3</v>
      </c>
      <c r="F413">
        <v>16</v>
      </c>
      <c r="G413">
        <v>48</v>
      </c>
      <c r="H413">
        <v>0.03</v>
      </c>
      <c r="I413">
        <v>1.44</v>
      </c>
      <c r="J413" t="s">
        <v>100</v>
      </c>
    </row>
    <row r="414" spans="1:10" x14ac:dyDescent="0.25">
      <c r="A414" t="s">
        <v>538</v>
      </c>
      <c r="B414" s="18">
        <v>43289</v>
      </c>
      <c r="C414" t="s">
        <v>101</v>
      </c>
      <c r="D414" t="s">
        <v>109</v>
      </c>
      <c r="E414">
        <v>2</v>
      </c>
      <c r="F414">
        <v>230</v>
      </c>
      <c r="G414">
        <v>460</v>
      </c>
      <c r="H414">
        <v>0.08</v>
      </c>
      <c r="I414">
        <v>36.800000000000004</v>
      </c>
      <c r="J414" t="s">
        <v>102</v>
      </c>
    </row>
    <row r="415" spans="1:10" x14ac:dyDescent="0.25">
      <c r="A415" t="s">
        <v>539</v>
      </c>
      <c r="B415" s="18">
        <v>43289</v>
      </c>
      <c r="C415" t="s">
        <v>108</v>
      </c>
      <c r="D415" t="s">
        <v>96</v>
      </c>
      <c r="E415">
        <v>21</v>
      </c>
      <c r="F415">
        <v>16</v>
      </c>
      <c r="G415">
        <v>336</v>
      </c>
      <c r="H415">
        <v>0.09</v>
      </c>
      <c r="I415">
        <v>30.24</v>
      </c>
      <c r="J415" t="s">
        <v>103</v>
      </c>
    </row>
    <row r="416" spans="1:10" x14ac:dyDescent="0.25">
      <c r="A416" t="s">
        <v>540</v>
      </c>
      <c r="B416" s="18">
        <v>43289</v>
      </c>
      <c r="C416" t="s">
        <v>95</v>
      </c>
      <c r="D416" t="s">
        <v>106</v>
      </c>
      <c r="E416">
        <v>7</v>
      </c>
      <c r="F416">
        <v>80</v>
      </c>
      <c r="G416">
        <v>560</v>
      </c>
      <c r="H416">
        <v>7.0000000000000007E-2</v>
      </c>
      <c r="I416">
        <v>39.200000000000003</v>
      </c>
      <c r="J416" t="s">
        <v>105</v>
      </c>
    </row>
    <row r="417" spans="1:10" x14ac:dyDescent="0.25">
      <c r="A417" t="s">
        <v>541</v>
      </c>
      <c r="B417" s="18">
        <v>43289</v>
      </c>
      <c r="C417" t="s">
        <v>111</v>
      </c>
      <c r="D417" t="s">
        <v>99</v>
      </c>
      <c r="E417">
        <v>23</v>
      </c>
      <c r="F417">
        <v>150</v>
      </c>
      <c r="G417">
        <v>3450</v>
      </c>
      <c r="H417">
        <v>0.11</v>
      </c>
      <c r="I417">
        <v>379.5</v>
      </c>
      <c r="J417" t="s">
        <v>107</v>
      </c>
    </row>
    <row r="418" spans="1:10" x14ac:dyDescent="0.25">
      <c r="A418" t="s">
        <v>542</v>
      </c>
      <c r="B418" s="18">
        <v>43290</v>
      </c>
      <c r="C418" t="s">
        <v>111</v>
      </c>
      <c r="D418" t="s">
        <v>96</v>
      </c>
      <c r="E418">
        <v>11</v>
      </c>
      <c r="F418">
        <v>150</v>
      </c>
      <c r="G418">
        <v>1650</v>
      </c>
      <c r="H418">
        <v>0.05</v>
      </c>
      <c r="I418">
        <v>82.5</v>
      </c>
      <c r="J418" t="s">
        <v>110</v>
      </c>
    </row>
    <row r="419" spans="1:10" x14ac:dyDescent="0.25">
      <c r="A419" t="s">
        <v>543</v>
      </c>
      <c r="B419" s="18">
        <v>43290</v>
      </c>
      <c r="C419" t="s">
        <v>95</v>
      </c>
      <c r="D419" t="s">
        <v>109</v>
      </c>
      <c r="E419">
        <v>16</v>
      </c>
      <c r="F419">
        <v>80</v>
      </c>
      <c r="G419">
        <v>1280</v>
      </c>
      <c r="H419">
        <v>0.05</v>
      </c>
      <c r="I419">
        <v>64</v>
      </c>
      <c r="J419" t="s">
        <v>112</v>
      </c>
    </row>
    <row r="420" spans="1:10" x14ac:dyDescent="0.25">
      <c r="A420" t="s">
        <v>544</v>
      </c>
      <c r="B420" s="18">
        <v>43290</v>
      </c>
      <c r="C420" t="s">
        <v>101</v>
      </c>
      <c r="D420" t="s">
        <v>104</v>
      </c>
      <c r="E420">
        <v>5</v>
      </c>
      <c r="F420">
        <v>230</v>
      </c>
      <c r="G420">
        <v>1150</v>
      </c>
      <c r="H420">
        <v>0.1</v>
      </c>
      <c r="I420">
        <v>115</v>
      </c>
      <c r="J420" t="s">
        <v>113</v>
      </c>
    </row>
    <row r="421" spans="1:10" x14ac:dyDescent="0.25">
      <c r="A421" t="s">
        <v>545</v>
      </c>
      <c r="B421" s="18">
        <v>43290</v>
      </c>
      <c r="C421" t="s">
        <v>108</v>
      </c>
      <c r="D421" t="s">
        <v>96</v>
      </c>
      <c r="E421">
        <v>22</v>
      </c>
      <c r="F421">
        <v>16</v>
      </c>
      <c r="G421">
        <v>352</v>
      </c>
      <c r="H421">
        <v>0.01</v>
      </c>
      <c r="I421">
        <v>3.52</v>
      </c>
      <c r="J421" t="s">
        <v>114</v>
      </c>
    </row>
    <row r="422" spans="1:10" x14ac:dyDescent="0.25">
      <c r="A422" t="s">
        <v>546</v>
      </c>
      <c r="B422" s="18">
        <v>43290</v>
      </c>
      <c r="C422" t="s">
        <v>98</v>
      </c>
      <c r="D422" t="s">
        <v>109</v>
      </c>
      <c r="E422">
        <v>7</v>
      </c>
      <c r="F422">
        <v>40</v>
      </c>
      <c r="G422">
        <v>280</v>
      </c>
      <c r="H422">
        <v>0.12</v>
      </c>
      <c r="I422">
        <v>33.6</v>
      </c>
      <c r="J422" t="s">
        <v>97</v>
      </c>
    </row>
    <row r="423" spans="1:10" x14ac:dyDescent="0.25">
      <c r="A423" t="s">
        <v>547</v>
      </c>
      <c r="B423" s="18">
        <v>43290</v>
      </c>
      <c r="C423" t="s">
        <v>95</v>
      </c>
      <c r="D423" t="s">
        <v>99</v>
      </c>
      <c r="E423">
        <v>2</v>
      </c>
      <c r="F423">
        <v>80</v>
      </c>
      <c r="G423">
        <v>160</v>
      </c>
      <c r="H423">
        <v>0.04</v>
      </c>
      <c r="I423">
        <v>6.4</v>
      </c>
      <c r="J423" t="s">
        <v>100</v>
      </c>
    </row>
    <row r="424" spans="1:10" x14ac:dyDescent="0.25">
      <c r="A424" t="s">
        <v>548</v>
      </c>
      <c r="B424" s="18">
        <v>43290</v>
      </c>
      <c r="C424" t="s">
        <v>98</v>
      </c>
      <c r="D424" t="s">
        <v>106</v>
      </c>
      <c r="E424">
        <v>6</v>
      </c>
      <c r="F424">
        <v>40</v>
      </c>
      <c r="G424">
        <v>240</v>
      </c>
      <c r="H424">
        <v>7.0000000000000007E-2</v>
      </c>
      <c r="I424">
        <v>16.8</v>
      </c>
      <c r="J424" t="s">
        <v>102</v>
      </c>
    </row>
    <row r="425" spans="1:10" x14ac:dyDescent="0.25">
      <c r="A425" t="s">
        <v>549</v>
      </c>
      <c r="B425" s="18">
        <v>43290</v>
      </c>
      <c r="C425" t="s">
        <v>95</v>
      </c>
      <c r="D425" t="s">
        <v>104</v>
      </c>
      <c r="E425">
        <v>6</v>
      </c>
      <c r="F425">
        <v>80</v>
      </c>
      <c r="G425">
        <v>480</v>
      </c>
      <c r="H425">
        <v>0.01</v>
      </c>
      <c r="I425">
        <v>4.8</v>
      </c>
      <c r="J425" t="s">
        <v>103</v>
      </c>
    </row>
    <row r="426" spans="1:10" x14ac:dyDescent="0.25">
      <c r="A426" t="s">
        <v>550</v>
      </c>
      <c r="B426" s="18">
        <v>43290</v>
      </c>
      <c r="C426" t="s">
        <v>108</v>
      </c>
      <c r="D426" t="s">
        <v>99</v>
      </c>
      <c r="E426">
        <v>22</v>
      </c>
      <c r="F426">
        <v>16</v>
      </c>
      <c r="G426">
        <v>352</v>
      </c>
      <c r="H426">
        <v>0.01</v>
      </c>
      <c r="I426">
        <v>3.52</v>
      </c>
      <c r="J426" t="s">
        <v>105</v>
      </c>
    </row>
    <row r="427" spans="1:10" x14ac:dyDescent="0.25">
      <c r="A427" t="s">
        <v>551</v>
      </c>
      <c r="B427" s="18">
        <v>43290</v>
      </c>
      <c r="C427" t="s">
        <v>101</v>
      </c>
      <c r="D427" t="s">
        <v>106</v>
      </c>
      <c r="E427">
        <v>7</v>
      </c>
      <c r="F427">
        <v>230</v>
      </c>
      <c r="G427">
        <v>1610</v>
      </c>
      <c r="H427">
        <v>0.06</v>
      </c>
      <c r="I427">
        <v>96.6</v>
      </c>
      <c r="J427" t="s">
        <v>107</v>
      </c>
    </row>
    <row r="428" spans="1:10" x14ac:dyDescent="0.25">
      <c r="A428" t="s">
        <v>552</v>
      </c>
      <c r="B428" s="18">
        <v>43291</v>
      </c>
      <c r="C428" t="s">
        <v>108</v>
      </c>
      <c r="D428" t="s">
        <v>106</v>
      </c>
      <c r="E428">
        <v>22</v>
      </c>
      <c r="F428">
        <v>16</v>
      </c>
      <c r="G428">
        <v>352</v>
      </c>
      <c r="H428">
        <v>0.03</v>
      </c>
      <c r="I428">
        <v>10.559999999999999</v>
      </c>
      <c r="J428" t="s">
        <v>110</v>
      </c>
    </row>
    <row r="429" spans="1:10" x14ac:dyDescent="0.25">
      <c r="A429" t="s">
        <v>553</v>
      </c>
      <c r="B429" s="18">
        <v>43291</v>
      </c>
      <c r="C429" t="s">
        <v>98</v>
      </c>
      <c r="D429" t="s">
        <v>109</v>
      </c>
      <c r="E429">
        <v>20</v>
      </c>
      <c r="F429">
        <v>40</v>
      </c>
      <c r="G429">
        <v>800</v>
      </c>
      <c r="H429">
        <v>0.05</v>
      </c>
      <c r="I429">
        <v>40</v>
      </c>
      <c r="J429" t="s">
        <v>112</v>
      </c>
    </row>
    <row r="430" spans="1:10" x14ac:dyDescent="0.25">
      <c r="A430" t="s">
        <v>554</v>
      </c>
      <c r="B430" s="18">
        <v>43291</v>
      </c>
      <c r="C430" t="s">
        <v>98</v>
      </c>
      <c r="D430" t="s">
        <v>99</v>
      </c>
      <c r="E430">
        <v>19</v>
      </c>
      <c r="F430">
        <v>40</v>
      </c>
      <c r="G430">
        <v>760</v>
      </c>
      <c r="H430">
        <v>0.1</v>
      </c>
      <c r="I430">
        <v>76</v>
      </c>
      <c r="J430" t="s">
        <v>113</v>
      </c>
    </row>
    <row r="431" spans="1:10" x14ac:dyDescent="0.25">
      <c r="A431" t="s">
        <v>555</v>
      </c>
      <c r="B431" s="18">
        <v>43291</v>
      </c>
      <c r="C431" t="s">
        <v>108</v>
      </c>
      <c r="D431" t="s">
        <v>96</v>
      </c>
      <c r="E431">
        <v>18</v>
      </c>
      <c r="F431">
        <v>16</v>
      </c>
      <c r="G431">
        <v>288</v>
      </c>
      <c r="H431">
        <v>0.05</v>
      </c>
      <c r="I431">
        <v>14.4</v>
      </c>
      <c r="J431" t="s">
        <v>114</v>
      </c>
    </row>
    <row r="432" spans="1:10" x14ac:dyDescent="0.25">
      <c r="A432" t="s">
        <v>556</v>
      </c>
      <c r="B432" s="18">
        <v>43291</v>
      </c>
      <c r="C432" t="s">
        <v>98</v>
      </c>
      <c r="D432" t="s">
        <v>104</v>
      </c>
      <c r="E432">
        <v>2</v>
      </c>
      <c r="F432">
        <v>40</v>
      </c>
      <c r="G432">
        <v>80</v>
      </c>
      <c r="H432">
        <v>0.02</v>
      </c>
      <c r="I432">
        <v>1.6</v>
      </c>
      <c r="J432" t="s">
        <v>115</v>
      </c>
    </row>
    <row r="433" spans="1:10" x14ac:dyDescent="0.25">
      <c r="A433" t="s">
        <v>557</v>
      </c>
      <c r="B433" s="18">
        <v>43291</v>
      </c>
      <c r="C433" t="s">
        <v>98</v>
      </c>
      <c r="D433" t="s">
        <v>106</v>
      </c>
      <c r="E433">
        <v>7</v>
      </c>
      <c r="F433">
        <v>40</v>
      </c>
      <c r="G433">
        <v>280</v>
      </c>
      <c r="H433">
        <v>7.0000000000000007E-2</v>
      </c>
      <c r="I433">
        <v>19.600000000000001</v>
      </c>
      <c r="J433" t="s">
        <v>116</v>
      </c>
    </row>
    <row r="434" spans="1:10" x14ac:dyDescent="0.25">
      <c r="A434" t="s">
        <v>558</v>
      </c>
      <c r="B434" s="18">
        <v>43291</v>
      </c>
      <c r="C434" t="s">
        <v>111</v>
      </c>
      <c r="D434" t="s">
        <v>104</v>
      </c>
      <c r="E434">
        <v>11</v>
      </c>
      <c r="F434">
        <v>150</v>
      </c>
      <c r="G434">
        <v>1650</v>
      </c>
      <c r="H434">
        <v>0.05</v>
      </c>
      <c r="I434">
        <v>82.5</v>
      </c>
      <c r="J434" t="s">
        <v>97</v>
      </c>
    </row>
    <row r="435" spans="1:10" x14ac:dyDescent="0.25">
      <c r="A435" t="s">
        <v>559</v>
      </c>
      <c r="B435" s="18">
        <v>43291</v>
      </c>
      <c r="C435" t="s">
        <v>95</v>
      </c>
      <c r="D435" t="s">
        <v>99</v>
      </c>
      <c r="E435">
        <v>14</v>
      </c>
      <c r="F435">
        <v>80</v>
      </c>
      <c r="G435">
        <v>1120</v>
      </c>
      <c r="H435">
        <v>0.11</v>
      </c>
      <c r="I435">
        <v>123.2</v>
      </c>
      <c r="J435" t="s">
        <v>100</v>
      </c>
    </row>
    <row r="436" spans="1:10" x14ac:dyDescent="0.25">
      <c r="A436" t="s">
        <v>560</v>
      </c>
      <c r="B436" s="18">
        <v>43291</v>
      </c>
      <c r="C436" t="s">
        <v>98</v>
      </c>
      <c r="D436" t="s">
        <v>109</v>
      </c>
      <c r="E436">
        <v>7</v>
      </c>
      <c r="F436">
        <v>40</v>
      </c>
      <c r="G436">
        <v>280</v>
      </c>
      <c r="H436">
        <v>0.04</v>
      </c>
      <c r="I436">
        <v>11.200000000000001</v>
      </c>
      <c r="J436" t="s">
        <v>102</v>
      </c>
    </row>
    <row r="437" spans="1:10" x14ac:dyDescent="0.25">
      <c r="A437" t="s">
        <v>561</v>
      </c>
      <c r="B437" s="18">
        <v>43291</v>
      </c>
      <c r="C437" t="s">
        <v>95</v>
      </c>
      <c r="D437" t="s">
        <v>106</v>
      </c>
      <c r="E437">
        <v>14</v>
      </c>
      <c r="F437">
        <v>80</v>
      </c>
      <c r="G437">
        <v>1120</v>
      </c>
      <c r="H437">
        <v>0.05</v>
      </c>
      <c r="I437">
        <v>56</v>
      </c>
      <c r="J437" t="s">
        <v>103</v>
      </c>
    </row>
    <row r="438" spans="1:10" x14ac:dyDescent="0.25">
      <c r="A438" t="s">
        <v>562</v>
      </c>
      <c r="B438" s="18">
        <v>43292</v>
      </c>
      <c r="C438" t="s">
        <v>108</v>
      </c>
      <c r="D438" t="s">
        <v>104</v>
      </c>
      <c r="E438">
        <v>12</v>
      </c>
      <c r="F438">
        <v>16</v>
      </c>
      <c r="G438">
        <v>192</v>
      </c>
      <c r="H438">
        <v>0.11</v>
      </c>
      <c r="I438">
        <v>21.12</v>
      </c>
      <c r="J438" t="s">
        <v>105</v>
      </c>
    </row>
    <row r="439" spans="1:10" x14ac:dyDescent="0.25">
      <c r="A439" t="s">
        <v>563</v>
      </c>
      <c r="B439" s="18">
        <v>43292</v>
      </c>
      <c r="C439" t="s">
        <v>98</v>
      </c>
      <c r="D439" t="s">
        <v>109</v>
      </c>
      <c r="E439">
        <v>11</v>
      </c>
      <c r="F439">
        <v>40</v>
      </c>
      <c r="G439">
        <v>440</v>
      </c>
      <c r="H439">
        <v>0.05</v>
      </c>
      <c r="I439">
        <v>22</v>
      </c>
      <c r="J439" t="s">
        <v>107</v>
      </c>
    </row>
    <row r="440" spans="1:10" x14ac:dyDescent="0.25">
      <c r="A440" t="s">
        <v>564</v>
      </c>
      <c r="B440" s="18">
        <v>43292</v>
      </c>
      <c r="C440" t="s">
        <v>108</v>
      </c>
      <c r="D440" t="s">
        <v>104</v>
      </c>
      <c r="E440">
        <v>14</v>
      </c>
      <c r="F440">
        <v>16</v>
      </c>
      <c r="G440">
        <v>224</v>
      </c>
      <c r="H440">
        <v>0.01</v>
      </c>
      <c r="I440">
        <v>2.2400000000000002</v>
      </c>
      <c r="J440" t="s">
        <v>110</v>
      </c>
    </row>
    <row r="441" spans="1:10" x14ac:dyDescent="0.25">
      <c r="A441" t="s">
        <v>565</v>
      </c>
      <c r="B441" s="18">
        <v>43292</v>
      </c>
      <c r="C441" t="s">
        <v>101</v>
      </c>
      <c r="D441" t="s">
        <v>106</v>
      </c>
      <c r="E441">
        <v>2</v>
      </c>
      <c r="F441">
        <v>230</v>
      </c>
      <c r="G441">
        <v>460</v>
      </c>
      <c r="H441">
        <v>0.08</v>
      </c>
      <c r="I441">
        <v>36.800000000000004</v>
      </c>
      <c r="J441" t="s">
        <v>112</v>
      </c>
    </row>
    <row r="442" spans="1:10" x14ac:dyDescent="0.25">
      <c r="A442" t="s">
        <v>566</v>
      </c>
      <c r="B442" s="18">
        <v>43292</v>
      </c>
      <c r="C442" t="s">
        <v>108</v>
      </c>
      <c r="D442" t="s">
        <v>96</v>
      </c>
      <c r="E442">
        <v>20</v>
      </c>
      <c r="F442">
        <v>16</v>
      </c>
      <c r="G442">
        <v>320</v>
      </c>
      <c r="H442">
        <v>0.11</v>
      </c>
      <c r="I442">
        <v>35.200000000000003</v>
      </c>
      <c r="J442" t="s">
        <v>113</v>
      </c>
    </row>
    <row r="443" spans="1:10" x14ac:dyDescent="0.25">
      <c r="A443" t="s">
        <v>567</v>
      </c>
      <c r="B443" s="18">
        <v>43292</v>
      </c>
      <c r="C443" t="s">
        <v>108</v>
      </c>
      <c r="D443" t="s">
        <v>104</v>
      </c>
      <c r="E443">
        <v>6</v>
      </c>
      <c r="F443">
        <v>16</v>
      </c>
      <c r="G443">
        <v>96</v>
      </c>
      <c r="H443">
        <v>0.06</v>
      </c>
      <c r="I443">
        <v>5.76</v>
      </c>
      <c r="J443" t="s">
        <v>114</v>
      </c>
    </row>
    <row r="444" spans="1:10" x14ac:dyDescent="0.25">
      <c r="A444" t="s">
        <v>568</v>
      </c>
      <c r="B444" s="18">
        <v>43292</v>
      </c>
      <c r="C444" t="s">
        <v>95</v>
      </c>
      <c r="D444" t="s">
        <v>106</v>
      </c>
      <c r="E444">
        <v>17</v>
      </c>
      <c r="F444">
        <v>80</v>
      </c>
      <c r="G444">
        <v>1360</v>
      </c>
      <c r="H444">
        <v>0.05</v>
      </c>
      <c r="I444">
        <v>68</v>
      </c>
      <c r="J444" t="s">
        <v>115</v>
      </c>
    </row>
    <row r="445" spans="1:10" x14ac:dyDescent="0.25">
      <c r="A445" t="s">
        <v>569</v>
      </c>
      <c r="B445" s="18">
        <v>43292</v>
      </c>
      <c r="C445" t="s">
        <v>98</v>
      </c>
      <c r="D445" t="s">
        <v>96</v>
      </c>
      <c r="E445">
        <v>2</v>
      </c>
      <c r="F445">
        <v>40</v>
      </c>
      <c r="G445">
        <v>80</v>
      </c>
      <c r="H445">
        <v>0.12</v>
      </c>
      <c r="I445">
        <v>9.6</v>
      </c>
      <c r="J445" t="s">
        <v>116</v>
      </c>
    </row>
    <row r="446" spans="1:10" x14ac:dyDescent="0.25">
      <c r="A446" t="s">
        <v>570</v>
      </c>
      <c r="B446" s="18">
        <v>43292</v>
      </c>
      <c r="C446" t="s">
        <v>108</v>
      </c>
      <c r="D446" t="s">
        <v>96</v>
      </c>
      <c r="E446">
        <v>7</v>
      </c>
      <c r="F446">
        <v>16</v>
      </c>
      <c r="G446">
        <v>112</v>
      </c>
      <c r="H446">
        <v>0.12</v>
      </c>
      <c r="I446">
        <v>13.44</v>
      </c>
      <c r="J446" t="s">
        <v>97</v>
      </c>
    </row>
    <row r="447" spans="1:10" x14ac:dyDescent="0.25">
      <c r="A447" t="s">
        <v>571</v>
      </c>
      <c r="B447" s="18">
        <v>43292</v>
      </c>
      <c r="C447" t="s">
        <v>111</v>
      </c>
      <c r="D447" t="s">
        <v>96</v>
      </c>
      <c r="E447">
        <v>7</v>
      </c>
      <c r="F447">
        <v>150</v>
      </c>
      <c r="G447">
        <v>1050</v>
      </c>
      <c r="H447">
        <v>0.02</v>
      </c>
      <c r="I447">
        <v>21</v>
      </c>
      <c r="J447" t="s">
        <v>100</v>
      </c>
    </row>
    <row r="448" spans="1:10" x14ac:dyDescent="0.25">
      <c r="A448" t="s">
        <v>572</v>
      </c>
      <c r="B448" s="18">
        <v>43292</v>
      </c>
      <c r="C448" t="s">
        <v>95</v>
      </c>
      <c r="D448" t="s">
        <v>96</v>
      </c>
      <c r="E448">
        <v>20</v>
      </c>
      <c r="F448">
        <v>80</v>
      </c>
      <c r="G448">
        <v>1600</v>
      </c>
      <c r="H448">
        <v>0.01</v>
      </c>
      <c r="I448">
        <v>16</v>
      </c>
      <c r="J448" t="s">
        <v>102</v>
      </c>
    </row>
    <row r="449" spans="1:10" x14ac:dyDescent="0.25">
      <c r="A449" t="s">
        <v>573</v>
      </c>
      <c r="B449" s="18">
        <v>43292</v>
      </c>
      <c r="C449" t="s">
        <v>95</v>
      </c>
      <c r="D449" t="s">
        <v>106</v>
      </c>
      <c r="E449">
        <v>11</v>
      </c>
      <c r="F449">
        <v>80</v>
      </c>
      <c r="G449">
        <v>880</v>
      </c>
      <c r="H449">
        <v>0.01</v>
      </c>
      <c r="I449">
        <v>8.8000000000000007</v>
      </c>
      <c r="J449" t="s">
        <v>103</v>
      </c>
    </row>
    <row r="450" spans="1:10" x14ac:dyDescent="0.25">
      <c r="A450" t="s">
        <v>574</v>
      </c>
      <c r="B450" s="18">
        <v>43292</v>
      </c>
      <c r="C450" t="s">
        <v>95</v>
      </c>
      <c r="D450" t="s">
        <v>104</v>
      </c>
      <c r="E450">
        <v>10</v>
      </c>
      <c r="F450">
        <v>80</v>
      </c>
      <c r="G450">
        <v>800</v>
      </c>
      <c r="H450">
        <v>0.08</v>
      </c>
      <c r="I450">
        <v>64</v>
      </c>
      <c r="J450" t="s">
        <v>105</v>
      </c>
    </row>
    <row r="451" spans="1:10" x14ac:dyDescent="0.25">
      <c r="A451" t="s">
        <v>575</v>
      </c>
      <c r="B451" s="18">
        <v>43293</v>
      </c>
      <c r="C451" t="s">
        <v>95</v>
      </c>
      <c r="D451" t="s">
        <v>99</v>
      </c>
      <c r="E451">
        <v>5</v>
      </c>
      <c r="F451">
        <v>80</v>
      </c>
      <c r="G451">
        <v>400</v>
      </c>
      <c r="H451">
        <v>0.04</v>
      </c>
      <c r="I451">
        <v>16</v>
      </c>
      <c r="J451" t="s">
        <v>107</v>
      </c>
    </row>
    <row r="452" spans="1:10" x14ac:dyDescent="0.25">
      <c r="A452" t="s">
        <v>576</v>
      </c>
      <c r="B452" s="18">
        <v>43293</v>
      </c>
      <c r="C452" t="s">
        <v>95</v>
      </c>
      <c r="D452" t="s">
        <v>106</v>
      </c>
      <c r="E452">
        <v>4</v>
      </c>
      <c r="F452">
        <v>80</v>
      </c>
      <c r="G452">
        <v>320</v>
      </c>
      <c r="H452">
        <v>0.11</v>
      </c>
      <c r="I452">
        <v>35.200000000000003</v>
      </c>
      <c r="J452" t="s">
        <v>110</v>
      </c>
    </row>
    <row r="453" spans="1:10" x14ac:dyDescent="0.25">
      <c r="A453" t="s">
        <v>577</v>
      </c>
      <c r="B453" s="18">
        <v>43293</v>
      </c>
      <c r="C453" t="s">
        <v>108</v>
      </c>
      <c r="D453" t="s">
        <v>104</v>
      </c>
      <c r="E453">
        <v>3</v>
      </c>
      <c r="F453">
        <v>16</v>
      </c>
      <c r="G453">
        <v>48</v>
      </c>
      <c r="H453">
        <v>0.05</v>
      </c>
      <c r="I453">
        <v>2.4000000000000004</v>
      </c>
      <c r="J453" t="s">
        <v>112</v>
      </c>
    </row>
    <row r="454" spans="1:10" x14ac:dyDescent="0.25">
      <c r="A454" t="s">
        <v>578</v>
      </c>
      <c r="B454" s="18">
        <v>43293</v>
      </c>
      <c r="C454" t="s">
        <v>95</v>
      </c>
      <c r="D454" t="s">
        <v>96</v>
      </c>
      <c r="E454">
        <v>9</v>
      </c>
      <c r="F454">
        <v>80</v>
      </c>
      <c r="G454">
        <v>720</v>
      </c>
      <c r="H454">
        <v>0.04</v>
      </c>
      <c r="I454">
        <v>28.8</v>
      </c>
      <c r="J454" t="s">
        <v>113</v>
      </c>
    </row>
    <row r="455" spans="1:10" x14ac:dyDescent="0.25">
      <c r="A455" t="s">
        <v>579</v>
      </c>
      <c r="B455" s="18">
        <v>43293</v>
      </c>
      <c r="C455" t="s">
        <v>95</v>
      </c>
      <c r="D455" t="s">
        <v>109</v>
      </c>
      <c r="E455">
        <v>16</v>
      </c>
      <c r="F455">
        <v>80</v>
      </c>
      <c r="G455">
        <v>1280</v>
      </c>
      <c r="H455">
        <v>0.09</v>
      </c>
      <c r="I455">
        <v>115.19999999999999</v>
      </c>
      <c r="J455" t="s">
        <v>114</v>
      </c>
    </row>
    <row r="456" spans="1:10" x14ac:dyDescent="0.25">
      <c r="A456" t="s">
        <v>580</v>
      </c>
      <c r="B456" s="18">
        <v>43294</v>
      </c>
      <c r="C456" t="s">
        <v>108</v>
      </c>
      <c r="D456" t="s">
        <v>99</v>
      </c>
      <c r="E456">
        <v>7</v>
      </c>
      <c r="F456">
        <v>16</v>
      </c>
      <c r="G456">
        <v>112</v>
      </c>
      <c r="H456">
        <v>0.08</v>
      </c>
      <c r="I456">
        <v>8.9600000000000009</v>
      </c>
      <c r="J456" t="s">
        <v>115</v>
      </c>
    </row>
    <row r="457" spans="1:10" x14ac:dyDescent="0.25">
      <c r="A457" t="s">
        <v>581</v>
      </c>
      <c r="B457" s="18">
        <v>43294</v>
      </c>
      <c r="C457" t="s">
        <v>111</v>
      </c>
      <c r="D457" t="s">
        <v>99</v>
      </c>
      <c r="E457">
        <v>16</v>
      </c>
      <c r="F457">
        <v>150</v>
      </c>
      <c r="G457">
        <v>2400</v>
      </c>
      <c r="H457">
        <v>0.05</v>
      </c>
      <c r="I457">
        <v>120</v>
      </c>
      <c r="J457" t="s">
        <v>116</v>
      </c>
    </row>
    <row r="458" spans="1:10" x14ac:dyDescent="0.25">
      <c r="A458" t="s">
        <v>582</v>
      </c>
      <c r="B458" s="18">
        <v>43294</v>
      </c>
      <c r="C458" t="s">
        <v>108</v>
      </c>
      <c r="D458" t="s">
        <v>106</v>
      </c>
      <c r="E458">
        <v>10</v>
      </c>
      <c r="F458">
        <v>16</v>
      </c>
      <c r="G458">
        <v>160</v>
      </c>
      <c r="H458">
        <v>0.04</v>
      </c>
      <c r="I458">
        <v>6.4</v>
      </c>
      <c r="J458" t="s">
        <v>97</v>
      </c>
    </row>
    <row r="459" spans="1:10" x14ac:dyDescent="0.25">
      <c r="A459" t="s">
        <v>583</v>
      </c>
      <c r="B459" s="18">
        <v>43294</v>
      </c>
      <c r="C459" t="s">
        <v>98</v>
      </c>
      <c r="D459" t="s">
        <v>99</v>
      </c>
      <c r="E459">
        <v>4</v>
      </c>
      <c r="F459">
        <v>40</v>
      </c>
      <c r="G459">
        <v>160</v>
      </c>
      <c r="H459">
        <v>0.03</v>
      </c>
      <c r="I459">
        <v>4.8</v>
      </c>
      <c r="J459" t="s">
        <v>100</v>
      </c>
    </row>
    <row r="460" spans="1:10" x14ac:dyDescent="0.25">
      <c r="A460" t="s">
        <v>584</v>
      </c>
      <c r="B460" s="18">
        <v>43294</v>
      </c>
      <c r="C460" t="s">
        <v>98</v>
      </c>
      <c r="D460" t="s">
        <v>99</v>
      </c>
      <c r="E460">
        <v>15</v>
      </c>
      <c r="F460">
        <v>40</v>
      </c>
      <c r="G460">
        <v>600</v>
      </c>
      <c r="H460">
        <v>0.02</v>
      </c>
      <c r="I460">
        <v>12</v>
      </c>
      <c r="J460" t="s">
        <v>102</v>
      </c>
    </row>
    <row r="461" spans="1:10" x14ac:dyDescent="0.25">
      <c r="A461" t="s">
        <v>585</v>
      </c>
      <c r="B461" s="18">
        <v>43294</v>
      </c>
      <c r="C461" t="s">
        <v>95</v>
      </c>
      <c r="D461" t="s">
        <v>104</v>
      </c>
      <c r="E461">
        <v>6</v>
      </c>
      <c r="F461">
        <v>80</v>
      </c>
      <c r="G461">
        <v>480</v>
      </c>
      <c r="H461">
        <v>0.09</v>
      </c>
      <c r="I461">
        <v>43.199999999999996</v>
      </c>
      <c r="J461" t="s">
        <v>103</v>
      </c>
    </row>
    <row r="462" spans="1:10" x14ac:dyDescent="0.25">
      <c r="A462" t="s">
        <v>586</v>
      </c>
      <c r="B462" s="18">
        <v>43294</v>
      </c>
      <c r="C462" t="s">
        <v>111</v>
      </c>
      <c r="D462" t="s">
        <v>96</v>
      </c>
      <c r="E462">
        <v>20</v>
      </c>
      <c r="F462">
        <v>150</v>
      </c>
      <c r="G462">
        <v>3000</v>
      </c>
      <c r="H462">
        <v>0.01</v>
      </c>
      <c r="I462">
        <v>30</v>
      </c>
      <c r="J462" t="s">
        <v>105</v>
      </c>
    </row>
    <row r="463" spans="1:10" x14ac:dyDescent="0.25">
      <c r="A463" t="s">
        <v>587</v>
      </c>
      <c r="B463" s="18">
        <v>43294</v>
      </c>
      <c r="C463" t="s">
        <v>108</v>
      </c>
      <c r="D463" t="s">
        <v>96</v>
      </c>
      <c r="E463">
        <v>7</v>
      </c>
      <c r="F463">
        <v>16</v>
      </c>
      <c r="G463">
        <v>112</v>
      </c>
      <c r="H463">
        <v>0.08</v>
      </c>
      <c r="I463">
        <v>8.9600000000000009</v>
      </c>
      <c r="J463" t="s">
        <v>107</v>
      </c>
    </row>
    <row r="464" spans="1:10" x14ac:dyDescent="0.25">
      <c r="A464" t="s">
        <v>588</v>
      </c>
      <c r="B464" s="18">
        <v>43294</v>
      </c>
      <c r="C464" t="s">
        <v>95</v>
      </c>
      <c r="D464" t="s">
        <v>99</v>
      </c>
      <c r="E464">
        <v>2</v>
      </c>
      <c r="F464">
        <v>80</v>
      </c>
      <c r="G464">
        <v>160</v>
      </c>
      <c r="H464">
        <v>7.0000000000000007E-2</v>
      </c>
      <c r="I464">
        <v>11.200000000000001</v>
      </c>
      <c r="J464" t="s">
        <v>110</v>
      </c>
    </row>
    <row r="465" spans="1:10" x14ac:dyDescent="0.25">
      <c r="A465" t="s">
        <v>589</v>
      </c>
      <c r="B465" s="18">
        <v>43294</v>
      </c>
      <c r="C465" t="s">
        <v>98</v>
      </c>
      <c r="D465" t="s">
        <v>99</v>
      </c>
      <c r="E465">
        <v>23</v>
      </c>
      <c r="F465">
        <v>40</v>
      </c>
      <c r="G465">
        <v>920</v>
      </c>
      <c r="H465">
        <v>0.06</v>
      </c>
      <c r="I465">
        <v>55.199999999999996</v>
      </c>
      <c r="J465" t="s">
        <v>112</v>
      </c>
    </row>
    <row r="466" spans="1:10" x14ac:dyDescent="0.25">
      <c r="A466" t="s">
        <v>590</v>
      </c>
      <c r="B466" s="18">
        <v>43294</v>
      </c>
      <c r="C466" t="s">
        <v>108</v>
      </c>
      <c r="D466" t="s">
        <v>96</v>
      </c>
      <c r="E466">
        <v>12</v>
      </c>
      <c r="F466">
        <v>16</v>
      </c>
      <c r="G466">
        <v>192</v>
      </c>
      <c r="H466">
        <v>0.11</v>
      </c>
      <c r="I466">
        <v>21.12</v>
      </c>
      <c r="J466" t="s">
        <v>113</v>
      </c>
    </row>
    <row r="467" spans="1:10" x14ac:dyDescent="0.25">
      <c r="A467" t="s">
        <v>591</v>
      </c>
      <c r="B467" s="18">
        <v>43294</v>
      </c>
      <c r="C467" t="s">
        <v>101</v>
      </c>
      <c r="D467" t="s">
        <v>106</v>
      </c>
      <c r="E467">
        <v>2</v>
      </c>
      <c r="F467">
        <v>230</v>
      </c>
      <c r="G467">
        <v>460</v>
      </c>
      <c r="H467">
        <v>0.09</v>
      </c>
      <c r="I467">
        <v>41.4</v>
      </c>
      <c r="J467" t="s">
        <v>114</v>
      </c>
    </row>
    <row r="468" spans="1:10" x14ac:dyDescent="0.25">
      <c r="A468" t="s">
        <v>592</v>
      </c>
      <c r="B468" s="18">
        <v>43294</v>
      </c>
      <c r="C468" t="s">
        <v>111</v>
      </c>
      <c r="D468" t="s">
        <v>96</v>
      </c>
      <c r="E468">
        <v>4</v>
      </c>
      <c r="F468">
        <v>150</v>
      </c>
      <c r="G468">
        <v>600</v>
      </c>
      <c r="H468">
        <v>0.06</v>
      </c>
      <c r="I468">
        <v>36</v>
      </c>
      <c r="J468" t="s">
        <v>115</v>
      </c>
    </row>
    <row r="469" spans="1:10" x14ac:dyDescent="0.25">
      <c r="A469" t="s">
        <v>593</v>
      </c>
      <c r="B469" s="18">
        <v>43294</v>
      </c>
      <c r="C469" t="s">
        <v>98</v>
      </c>
      <c r="D469" t="s">
        <v>96</v>
      </c>
      <c r="E469">
        <v>23</v>
      </c>
      <c r="F469">
        <v>40</v>
      </c>
      <c r="G469">
        <v>920</v>
      </c>
      <c r="H469">
        <v>7.0000000000000007E-2</v>
      </c>
      <c r="I469">
        <v>64.400000000000006</v>
      </c>
      <c r="J469" t="s">
        <v>116</v>
      </c>
    </row>
    <row r="470" spans="1:10" x14ac:dyDescent="0.25">
      <c r="A470" t="s">
        <v>594</v>
      </c>
      <c r="B470" s="18">
        <v>43294</v>
      </c>
      <c r="C470" t="s">
        <v>108</v>
      </c>
      <c r="D470" t="s">
        <v>109</v>
      </c>
      <c r="E470">
        <v>2</v>
      </c>
      <c r="F470">
        <v>16</v>
      </c>
      <c r="G470">
        <v>32</v>
      </c>
      <c r="H470">
        <v>0.04</v>
      </c>
      <c r="I470">
        <v>1.28</v>
      </c>
      <c r="J470" t="s">
        <v>97</v>
      </c>
    </row>
    <row r="471" spans="1:10" x14ac:dyDescent="0.25">
      <c r="A471" t="s">
        <v>595</v>
      </c>
      <c r="B471" s="18">
        <v>43294</v>
      </c>
      <c r="C471" t="s">
        <v>111</v>
      </c>
      <c r="D471" t="s">
        <v>106</v>
      </c>
      <c r="E471">
        <v>7</v>
      </c>
      <c r="F471">
        <v>150</v>
      </c>
      <c r="G471">
        <v>1050</v>
      </c>
      <c r="H471">
        <v>0.05</v>
      </c>
      <c r="I471">
        <v>52.5</v>
      </c>
      <c r="J471" t="s">
        <v>100</v>
      </c>
    </row>
    <row r="472" spans="1:10" x14ac:dyDescent="0.25">
      <c r="A472" t="s">
        <v>596</v>
      </c>
      <c r="B472" s="18">
        <v>43295</v>
      </c>
      <c r="C472" t="s">
        <v>98</v>
      </c>
      <c r="D472" t="s">
        <v>96</v>
      </c>
      <c r="E472">
        <v>15</v>
      </c>
      <c r="F472">
        <v>40</v>
      </c>
      <c r="G472">
        <v>600</v>
      </c>
      <c r="H472">
        <v>0.06</v>
      </c>
      <c r="I472">
        <v>36</v>
      </c>
      <c r="J472" t="s">
        <v>102</v>
      </c>
    </row>
    <row r="473" spans="1:10" x14ac:dyDescent="0.25">
      <c r="A473" t="s">
        <v>597</v>
      </c>
      <c r="B473" s="18">
        <v>43295</v>
      </c>
      <c r="C473" t="s">
        <v>95</v>
      </c>
      <c r="D473" t="s">
        <v>106</v>
      </c>
      <c r="E473">
        <v>16</v>
      </c>
      <c r="F473">
        <v>80</v>
      </c>
      <c r="G473">
        <v>1280</v>
      </c>
      <c r="H473">
        <v>0.05</v>
      </c>
      <c r="I473">
        <v>64</v>
      </c>
      <c r="J473" t="s">
        <v>103</v>
      </c>
    </row>
    <row r="474" spans="1:10" x14ac:dyDescent="0.25">
      <c r="A474" t="s">
        <v>598</v>
      </c>
      <c r="B474" s="18">
        <v>43295</v>
      </c>
      <c r="C474" t="s">
        <v>98</v>
      </c>
      <c r="D474" t="s">
        <v>109</v>
      </c>
      <c r="E474">
        <v>16</v>
      </c>
      <c r="F474">
        <v>40</v>
      </c>
      <c r="G474">
        <v>640</v>
      </c>
      <c r="H474">
        <v>0.11</v>
      </c>
      <c r="I474">
        <v>70.400000000000006</v>
      </c>
      <c r="J474" t="s">
        <v>105</v>
      </c>
    </row>
    <row r="475" spans="1:10" x14ac:dyDescent="0.25">
      <c r="A475" t="s">
        <v>599</v>
      </c>
      <c r="B475" s="18">
        <v>43295</v>
      </c>
      <c r="C475" t="s">
        <v>108</v>
      </c>
      <c r="D475" t="s">
        <v>109</v>
      </c>
      <c r="E475">
        <v>23</v>
      </c>
      <c r="F475">
        <v>16</v>
      </c>
      <c r="G475">
        <v>368</v>
      </c>
      <c r="H475">
        <v>0.01</v>
      </c>
      <c r="I475">
        <v>3.68</v>
      </c>
      <c r="J475" t="s">
        <v>107</v>
      </c>
    </row>
    <row r="476" spans="1:10" x14ac:dyDescent="0.25">
      <c r="A476" t="s">
        <v>600</v>
      </c>
      <c r="B476" s="18">
        <v>43295</v>
      </c>
      <c r="C476" t="s">
        <v>101</v>
      </c>
      <c r="D476" t="s">
        <v>99</v>
      </c>
      <c r="E476">
        <v>12</v>
      </c>
      <c r="F476">
        <v>230</v>
      </c>
      <c r="G476">
        <v>2760</v>
      </c>
      <c r="H476">
        <v>0.03</v>
      </c>
      <c r="I476">
        <v>82.8</v>
      </c>
      <c r="J476" t="s">
        <v>110</v>
      </c>
    </row>
    <row r="477" spans="1:10" x14ac:dyDescent="0.25">
      <c r="A477" t="s">
        <v>601</v>
      </c>
      <c r="B477" s="18">
        <v>43295</v>
      </c>
      <c r="C477" t="s">
        <v>108</v>
      </c>
      <c r="D477" t="s">
        <v>96</v>
      </c>
      <c r="E477">
        <v>4</v>
      </c>
      <c r="F477">
        <v>16</v>
      </c>
      <c r="G477">
        <v>64</v>
      </c>
      <c r="H477">
        <v>0.12</v>
      </c>
      <c r="I477">
        <v>7.68</v>
      </c>
      <c r="J477" t="s">
        <v>112</v>
      </c>
    </row>
    <row r="478" spans="1:10" x14ac:dyDescent="0.25">
      <c r="A478" t="s">
        <v>602</v>
      </c>
      <c r="B478" s="18">
        <v>43295</v>
      </c>
      <c r="C478" t="s">
        <v>111</v>
      </c>
      <c r="D478" t="s">
        <v>106</v>
      </c>
      <c r="E478">
        <v>3</v>
      </c>
      <c r="F478">
        <v>150</v>
      </c>
      <c r="G478">
        <v>450</v>
      </c>
      <c r="H478">
        <v>0.01</v>
      </c>
      <c r="I478">
        <v>4.5</v>
      </c>
      <c r="J478" t="s">
        <v>113</v>
      </c>
    </row>
    <row r="479" spans="1:10" x14ac:dyDescent="0.25">
      <c r="A479" t="s">
        <v>603</v>
      </c>
      <c r="B479" s="18">
        <v>43295</v>
      </c>
      <c r="C479" t="s">
        <v>111</v>
      </c>
      <c r="D479" t="s">
        <v>99</v>
      </c>
      <c r="E479">
        <v>10</v>
      </c>
      <c r="F479">
        <v>150</v>
      </c>
      <c r="G479">
        <v>1500</v>
      </c>
      <c r="H479">
        <v>0.01</v>
      </c>
      <c r="I479">
        <v>15</v>
      </c>
      <c r="J479" t="s">
        <v>114</v>
      </c>
    </row>
    <row r="480" spans="1:10" x14ac:dyDescent="0.25">
      <c r="A480" t="s">
        <v>604</v>
      </c>
      <c r="B480" s="18">
        <v>43295</v>
      </c>
      <c r="C480" t="s">
        <v>95</v>
      </c>
      <c r="D480" t="s">
        <v>99</v>
      </c>
      <c r="E480">
        <v>13</v>
      </c>
      <c r="F480">
        <v>80</v>
      </c>
      <c r="G480">
        <v>1040</v>
      </c>
      <c r="H480">
        <v>0.06</v>
      </c>
      <c r="I480">
        <v>62.4</v>
      </c>
      <c r="J480" t="s">
        <v>115</v>
      </c>
    </row>
    <row r="481" spans="1:10" x14ac:dyDescent="0.25">
      <c r="A481" t="s">
        <v>605</v>
      </c>
      <c r="B481" s="18">
        <v>43295</v>
      </c>
      <c r="C481" t="s">
        <v>101</v>
      </c>
      <c r="D481" t="s">
        <v>104</v>
      </c>
      <c r="E481">
        <v>15</v>
      </c>
      <c r="F481">
        <v>230</v>
      </c>
      <c r="G481">
        <v>3450</v>
      </c>
      <c r="H481">
        <v>0.04</v>
      </c>
      <c r="I481">
        <v>138</v>
      </c>
      <c r="J481" t="s">
        <v>116</v>
      </c>
    </row>
    <row r="482" spans="1:10" x14ac:dyDescent="0.25">
      <c r="A482" t="s">
        <v>606</v>
      </c>
      <c r="B482" s="18">
        <v>43295</v>
      </c>
      <c r="C482" t="s">
        <v>111</v>
      </c>
      <c r="D482" t="s">
        <v>96</v>
      </c>
      <c r="E482">
        <v>23</v>
      </c>
      <c r="F482">
        <v>150</v>
      </c>
      <c r="G482">
        <v>3450</v>
      </c>
      <c r="H482">
        <v>0.1</v>
      </c>
      <c r="I482">
        <v>345</v>
      </c>
      <c r="J482" t="s">
        <v>97</v>
      </c>
    </row>
    <row r="483" spans="1:10" x14ac:dyDescent="0.25">
      <c r="A483" t="s">
        <v>607</v>
      </c>
      <c r="B483" s="18">
        <v>43295</v>
      </c>
      <c r="C483" t="s">
        <v>111</v>
      </c>
      <c r="D483" t="s">
        <v>99</v>
      </c>
      <c r="E483">
        <v>15</v>
      </c>
      <c r="F483">
        <v>150</v>
      </c>
      <c r="G483">
        <v>2250</v>
      </c>
      <c r="H483">
        <v>0.12</v>
      </c>
      <c r="I483">
        <v>270</v>
      </c>
      <c r="J483" t="s">
        <v>100</v>
      </c>
    </row>
    <row r="484" spans="1:10" x14ac:dyDescent="0.25">
      <c r="A484" t="s">
        <v>608</v>
      </c>
      <c r="B484" s="18">
        <v>43295</v>
      </c>
      <c r="C484" t="s">
        <v>111</v>
      </c>
      <c r="D484" t="s">
        <v>104</v>
      </c>
      <c r="E484">
        <v>20</v>
      </c>
      <c r="F484">
        <v>150</v>
      </c>
      <c r="G484">
        <v>3000</v>
      </c>
      <c r="H484">
        <v>0.12</v>
      </c>
      <c r="I484">
        <v>360</v>
      </c>
      <c r="J484" t="s">
        <v>102</v>
      </c>
    </row>
    <row r="485" spans="1:10" x14ac:dyDescent="0.25">
      <c r="A485" t="s">
        <v>609</v>
      </c>
      <c r="B485" s="18">
        <v>43295</v>
      </c>
      <c r="C485" t="s">
        <v>98</v>
      </c>
      <c r="D485" t="s">
        <v>106</v>
      </c>
      <c r="E485">
        <v>13</v>
      </c>
      <c r="F485">
        <v>40</v>
      </c>
      <c r="G485">
        <v>520</v>
      </c>
      <c r="H485">
        <v>0.09</v>
      </c>
      <c r="I485">
        <v>46.8</v>
      </c>
      <c r="J485" t="s">
        <v>103</v>
      </c>
    </row>
    <row r="486" spans="1:10" x14ac:dyDescent="0.25">
      <c r="A486" t="s">
        <v>610</v>
      </c>
      <c r="B486" s="18">
        <v>43296</v>
      </c>
      <c r="C486" t="s">
        <v>108</v>
      </c>
      <c r="D486" t="s">
        <v>104</v>
      </c>
      <c r="E486">
        <v>11</v>
      </c>
      <c r="F486">
        <v>16</v>
      </c>
      <c r="G486">
        <v>176</v>
      </c>
      <c r="H486">
        <v>0.04</v>
      </c>
      <c r="I486">
        <v>7.04</v>
      </c>
      <c r="J486" t="s">
        <v>105</v>
      </c>
    </row>
    <row r="487" spans="1:10" x14ac:dyDescent="0.25">
      <c r="A487" t="s">
        <v>611</v>
      </c>
      <c r="B487" s="18">
        <v>43296</v>
      </c>
      <c r="C487" t="s">
        <v>111</v>
      </c>
      <c r="D487" t="s">
        <v>104</v>
      </c>
      <c r="E487">
        <v>20</v>
      </c>
      <c r="F487">
        <v>150</v>
      </c>
      <c r="G487">
        <v>3000</v>
      </c>
      <c r="H487">
        <v>0.04</v>
      </c>
      <c r="I487">
        <v>120</v>
      </c>
      <c r="J487" t="s">
        <v>107</v>
      </c>
    </row>
    <row r="488" spans="1:10" x14ac:dyDescent="0.25">
      <c r="A488" t="s">
        <v>612</v>
      </c>
      <c r="B488" s="18">
        <v>43296</v>
      </c>
      <c r="C488" t="s">
        <v>98</v>
      </c>
      <c r="D488" t="s">
        <v>96</v>
      </c>
      <c r="E488">
        <v>18</v>
      </c>
      <c r="F488">
        <v>40</v>
      </c>
      <c r="G488">
        <v>720</v>
      </c>
      <c r="H488">
        <v>0.11</v>
      </c>
      <c r="I488">
        <v>79.2</v>
      </c>
      <c r="J488" t="s">
        <v>110</v>
      </c>
    </row>
    <row r="489" spans="1:10" x14ac:dyDescent="0.25">
      <c r="A489" t="s">
        <v>613</v>
      </c>
      <c r="B489" s="18">
        <v>43296</v>
      </c>
      <c r="C489" t="s">
        <v>98</v>
      </c>
      <c r="D489" t="s">
        <v>104</v>
      </c>
      <c r="E489">
        <v>2</v>
      </c>
      <c r="F489">
        <v>40</v>
      </c>
      <c r="G489">
        <v>80</v>
      </c>
      <c r="H489">
        <v>0.03</v>
      </c>
      <c r="I489">
        <v>2.4</v>
      </c>
      <c r="J489" t="s">
        <v>112</v>
      </c>
    </row>
    <row r="490" spans="1:10" x14ac:dyDescent="0.25">
      <c r="A490" t="s">
        <v>614</v>
      </c>
      <c r="B490" s="18">
        <v>43296</v>
      </c>
      <c r="C490" t="s">
        <v>108</v>
      </c>
      <c r="D490" t="s">
        <v>106</v>
      </c>
      <c r="E490">
        <v>15</v>
      </c>
      <c r="F490">
        <v>16</v>
      </c>
      <c r="G490">
        <v>240</v>
      </c>
      <c r="H490">
        <v>0.12</v>
      </c>
      <c r="I490">
        <v>28.799999999999997</v>
      </c>
      <c r="J490" t="s">
        <v>113</v>
      </c>
    </row>
    <row r="491" spans="1:10" x14ac:dyDescent="0.25">
      <c r="A491" t="s">
        <v>615</v>
      </c>
      <c r="B491" s="18">
        <v>43296</v>
      </c>
      <c r="C491" t="s">
        <v>108</v>
      </c>
      <c r="D491" t="s">
        <v>104</v>
      </c>
      <c r="E491">
        <v>9</v>
      </c>
      <c r="F491">
        <v>16</v>
      </c>
      <c r="G491">
        <v>144</v>
      </c>
      <c r="H491">
        <v>0.05</v>
      </c>
      <c r="I491">
        <v>7.2</v>
      </c>
      <c r="J491" t="s">
        <v>114</v>
      </c>
    </row>
    <row r="492" spans="1:10" x14ac:dyDescent="0.25">
      <c r="A492" t="s">
        <v>616</v>
      </c>
      <c r="B492" s="18">
        <v>43296</v>
      </c>
      <c r="C492" t="s">
        <v>98</v>
      </c>
      <c r="D492" t="s">
        <v>109</v>
      </c>
      <c r="E492">
        <v>7</v>
      </c>
      <c r="F492">
        <v>40</v>
      </c>
      <c r="G492">
        <v>280</v>
      </c>
      <c r="H492">
        <v>0.05</v>
      </c>
      <c r="I492">
        <v>14</v>
      </c>
      <c r="J492" t="s">
        <v>97</v>
      </c>
    </row>
    <row r="493" spans="1:10" x14ac:dyDescent="0.25">
      <c r="A493" t="s">
        <v>617</v>
      </c>
      <c r="B493" s="18">
        <v>43296</v>
      </c>
      <c r="C493" t="s">
        <v>111</v>
      </c>
      <c r="D493" t="s">
        <v>109</v>
      </c>
      <c r="E493">
        <v>4</v>
      </c>
      <c r="F493">
        <v>150</v>
      </c>
      <c r="G493">
        <v>600</v>
      </c>
      <c r="H493">
        <v>0.05</v>
      </c>
      <c r="I493">
        <v>30</v>
      </c>
      <c r="J493" t="s">
        <v>100</v>
      </c>
    </row>
    <row r="494" spans="1:10" x14ac:dyDescent="0.25">
      <c r="A494" t="s">
        <v>618</v>
      </c>
      <c r="B494" s="18">
        <v>43296</v>
      </c>
      <c r="C494" t="s">
        <v>101</v>
      </c>
      <c r="D494" t="s">
        <v>96</v>
      </c>
      <c r="E494">
        <v>15</v>
      </c>
      <c r="F494">
        <v>230</v>
      </c>
      <c r="G494">
        <v>3450</v>
      </c>
      <c r="H494">
        <v>0.05</v>
      </c>
      <c r="I494">
        <v>172.5</v>
      </c>
      <c r="J494" t="s">
        <v>102</v>
      </c>
    </row>
    <row r="495" spans="1:10" x14ac:dyDescent="0.25">
      <c r="A495" t="s">
        <v>619</v>
      </c>
      <c r="B495" s="18">
        <v>43297</v>
      </c>
      <c r="C495" t="s">
        <v>98</v>
      </c>
      <c r="D495" t="s">
        <v>99</v>
      </c>
      <c r="E495">
        <v>12</v>
      </c>
      <c r="F495">
        <v>40</v>
      </c>
      <c r="G495">
        <v>480</v>
      </c>
      <c r="H495">
        <v>0.1</v>
      </c>
      <c r="I495">
        <v>48</v>
      </c>
      <c r="J495" t="s">
        <v>103</v>
      </c>
    </row>
    <row r="496" spans="1:10" x14ac:dyDescent="0.25">
      <c r="A496" t="s">
        <v>620</v>
      </c>
      <c r="B496" s="18">
        <v>43297</v>
      </c>
      <c r="C496" t="s">
        <v>101</v>
      </c>
      <c r="D496" t="s">
        <v>106</v>
      </c>
      <c r="E496">
        <v>23</v>
      </c>
      <c r="F496">
        <v>230</v>
      </c>
      <c r="G496">
        <v>5290</v>
      </c>
      <c r="H496">
        <v>0.06</v>
      </c>
      <c r="I496">
        <v>317.39999999999998</v>
      </c>
      <c r="J496" t="s">
        <v>105</v>
      </c>
    </row>
    <row r="497" spans="1:10" x14ac:dyDescent="0.25">
      <c r="A497" t="s">
        <v>621</v>
      </c>
      <c r="B497" s="18">
        <v>43297</v>
      </c>
      <c r="C497" t="s">
        <v>108</v>
      </c>
      <c r="D497" t="s">
        <v>96</v>
      </c>
      <c r="E497">
        <v>11</v>
      </c>
      <c r="F497">
        <v>16</v>
      </c>
      <c r="G497">
        <v>176</v>
      </c>
      <c r="H497">
        <v>0.09</v>
      </c>
      <c r="I497">
        <v>15.84</v>
      </c>
      <c r="J497" t="s">
        <v>107</v>
      </c>
    </row>
    <row r="498" spans="1:10" x14ac:dyDescent="0.25">
      <c r="A498" t="s">
        <v>622</v>
      </c>
      <c r="B498" s="18">
        <v>43297</v>
      </c>
      <c r="C498" t="s">
        <v>111</v>
      </c>
      <c r="D498" t="s">
        <v>96</v>
      </c>
      <c r="E498">
        <v>9</v>
      </c>
      <c r="F498">
        <v>150</v>
      </c>
      <c r="G498">
        <v>1350</v>
      </c>
      <c r="H498">
        <v>0.1</v>
      </c>
      <c r="I498">
        <v>135</v>
      </c>
      <c r="J498" t="s">
        <v>110</v>
      </c>
    </row>
    <row r="499" spans="1:10" x14ac:dyDescent="0.25">
      <c r="A499" t="s">
        <v>623</v>
      </c>
      <c r="B499" s="18">
        <v>43297</v>
      </c>
      <c r="C499" t="s">
        <v>95</v>
      </c>
      <c r="D499" t="s">
        <v>96</v>
      </c>
      <c r="E499">
        <v>18</v>
      </c>
      <c r="F499">
        <v>80</v>
      </c>
      <c r="G499">
        <v>1440</v>
      </c>
      <c r="H499">
        <v>0.02</v>
      </c>
      <c r="I499">
        <v>28.8</v>
      </c>
      <c r="J499" t="s">
        <v>112</v>
      </c>
    </row>
    <row r="500" spans="1:10" x14ac:dyDescent="0.25">
      <c r="A500" t="s">
        <v>624</v>
      </c>
      <c r="B500" s="18">
        <v>43297</v>
      </c>
      <c r="C500" t="s">
        <v>98</v>
      </c>
      <c r="D500" t="s">
        <v>109</v>
      </c>
      <c r="E500">
        <v>23</v>
      </c>
      <c r="F500">
        <v>40</v>
      </c>
      <c r="G500">
        <v>920</v>
      </c>
      <c r="H500">
        <v>0.04</v>
      </c>
      <c r="I500">
        <v>36.800000000000004</v>
      </c>
      <c r="J500" t="s">
        <v>113</v>
      </c>
    </row>
    <row r="501" spans="1:10" x14ac:dyDescent="0.25">
      <c r="A501" t="s">
        <v>625</v>
      </c>
      <c r="B501" s="18">
        <v>43297</v>
      </c>
      <c r="C501" t="s">
        <v>108</v>
      </c>
      <c r="D501" t="s">
        <v>109</v>
      </c>
      <c r="E501">
        <v>17</v>
      </c>
      <c r="F501">
        <v>16</v>
      </c>
      <c r="G501">
        <v>272</v>
      </c>
      <c r="H501">
        <v>0.1</v>
      </c>
      <c r="I501">
        <v>27.200000000000003</v>
      </c>
      <c r="J501" t="s">
        <v>114</v>
      </c>
    </row>
    <row r="502" spans="1:10" x14ac:dyDescent="0.25">
      <c r="A502" t="s">
        <v>626</v>
      </c>
      <c r="B502" s="18">
        <v>43297</v>
      </c>
      <c r="C502" t="s">
        <v>111</v>
      </c>
      <c r="D502" t="s">
        <v>109</v>
      </c>
      <c r="E502">
        <v>17</v>
      </c>
      <c r="F502">
        <v>150</v>
      </c>
      <c r="G502">
        <v>2550</v>
      </c>
      <c r="H502">
        <v>0.02</v>
      </c>
      <c r="I502">
        <v>51</v>
      </c>
      <c r="J502" t="s">
        <v>115</v>
      </c>
    </row>
    <row r="503" spans="1:10" x14ac:dyDescent="0.25">
      <c r="A503" t="s">
        <v>627</v>
      </c>
      <c r="B503" s="18">
        <v>43297</v>
      </c>
      <c r="C503" t="s">
        <v>95</v>
      </c>
      <c r="D503" t="s">
        <v>106</v>
      </c>
      <c r="E503">
        <v>21</v>
      </c>
      <c r="F503">
        <v>80</v>
      </c>
      <c r="G503">
        <v>1680</v>
      </c>
      <c r="H503">
        <v>0.02</v>
      </c>
      <c r="I503">
        <v>33.6</v>
      </c>
      <c r="J503" t="s">
        <v>116</v>
      </c>
    </row>
    <row r="504" spans="1:10" x14ac:dyDescent="0.25">
      <c r="A504" t="s">
        <v>628</v>
      </c>
      <c r="B504" s="18">
        <v>43297</v>
      </c>
      <c r="C504" t="s">
        <v>98</v>
      </c>
      <c r="D504" t="s">
        <v>106</v>
      </c>
      <c r="E504">
        <v>11</v>
      </c>
      <c r="F504">
        <v>40</v>
      </c>
      <c r="G504">
        <v>440</v>
      </c>
      <c r="H504">
        <v>0.06</v>
      </c>
      <c r="I504">
        <v>26.4</v>
      </c>
      <c r="J504" t="s">
        <v>97</v>
      </c>
    </row>
    <row r="505" spans="1:10" x14ac:dyDescent="0.25">
      <c r="A505" t="s">
        <v>629</v>
      </c>
      <c r="B505" s="18">
        <v>43297</v>
      </c>
      <c r="C505" t="s">
        <v>98</v>
      </c>
      <c r="D505" t="s">
        <v>96</v>
      </c>
      <c r="E505">
        <v>19</v>
      </c>
      <c r="F505">
        <v>40</v>
      </c>
      <c r="G505">
        <v>760</v>
      </c>
      <c r="H505">
        <v>0.04</v>
      </c>
      <c r="I505">
        <v>30.400000000000002</v>
      </c>
      <c r="J505" t="s">
        <v>100</v>
      </c>
    </row>
    <row r="506" spans="1:10" x14ac:dyDescent="0.25">
      <c r="A506" t="s">
        <v>630</v>
      </c>
      <c r="B506" s="18">
        <v>43297</v>
      </c>
      <c r="C506" t="s">
        <v>98</v>
      </c>
      <c r="D506" t="s">
        <v>96</v>
      </c>
      <c r="E506">
        <v>23</v>
      </c>
      <c r="F506">
        <v>40</v>
      </c>
      <c r="G506">
        <v>920</v>
      </c>
      <c r="H506">
        <v>0.03</v>
      </c>
      <c r="I506">
        <v>27.599999999999998</v>
      </c>
      <c r="J506" t="s">
        <v>102</v>
      </c>
    </row>
    <row r="507" spans="1:10" x14ac:dyDescent="0.25">
      <c r="A507" t="s">
        <v>631</v>
      </c>
      <c r="B507" s="18">
        <v>43297</v>
      </c>
      <c r="C507" t="s">
        <v>101</v>
      </c>
      <c r="D507" t="s">
        <v>99</v>
      </c>
      <c r="E507">
        <v>14</v>
      </c>
      <c r="F507">
        <v>230</v>
      </c>
      <c r="G507">
        <v>3220</v>
      </c>
      <c r="H507">
        <v>0.05</v>
      </c>
      <c r="I507">
        <v>161</v>
      </c>
      <c r="J507" t="s">
        <v>103</v>
      </c>
    </row>
    <row r="508" spans="1:10" x14ac:dyDescent="0.25">
      <c r="A508" t="s">
        <v>632</v>
      </c>
      <c r="B508" s="18">
        <v>43297</v>
      </c>
      <c r="C508" t="s">
        <v>98</v>
      </c>
      <c r="D508" t="s">
        <v>104</v>
      </c>
      <c r="E508">
        <v>18</v>
      </c>
      <c r="F508">
        <v>40</v>
      </c>
      <c r="G508">
        <v>720</v>
      </c>
      <c r="H508">
        <v>0.03</v>
      </c>
      <c r="I508">
        <v>21.599999999999998</v>
      </c>
      <c r="J508" t="s">
        <v>105</v>
      </c>
    </row>
    <row r="509" spans="1:10" x14ac:dyDescent="0.25">
      <c r="A509" t="s">
        <v>633</v>
      </c>
      <c r="B509" s="18">
        <v>43297</v>
      </c>
      <c r="C509" t="s">
        <v>111</v>
      </c>
      <c r="D509" t="s">
        <v>99</v>
      </c>
      <c r="E509">
        <v>2</v>
      </c>
      <c r="F509">
        <v>150</v>
      </c>
      <c r="G509">
        <v>300</v>
      </c>
      <c r="H509">
        <v>0.09</v>
      </c>
      <c r="I509">
        <v>27</v>
      </c>
      <c r="J509" t="s">
        <v>107</v>
      </c>
    </row>
    <row r="510" spans="1:10" x14ac:dyDescent="0.25">
      <c r="A510" t="s">
        <v>634</v>
      </c>
      <c r="B510" s="18">
        <v>43297</v>
      </c>
      <c r="C510" t="s">
        <v>101</v>
      </c>
      <c r="D510" t="s">
        <v>99</v>
      </c>
      <c r="E510">
        <v>7</v>
      </c>
      <c r="F510">
        <v>230</v>
      </c>
      <c r="G510">
        <v>1610</v>
      </c>
      <c r="H510">
        <v>0.05</v>
      </c>
      <c r="I510">
        <v>80.5</v>
      </c>
      <c r="J510" t="s">
        <v>110</v>
      </c>
    </row>
    <row r="511" spans="1:10" x14ac:dyDescent="0.25">
      <c r="A511" t="s">
        <v>635</v>
      </c>
      <c r="B511" s="18">
        <v>43298</v>
      </c>
      <c r="C511" t="s">
        <v>111</v>
      </c>
      <c r="D511" t="s">
        <v>104</v>
      </c>
      <c r="E511">
        <v>9</v>
      </c>
      <c r="F511">
        <v>150</v>
      </c>
      <c r="G511">
        <v>1350</v>
      </c>
      <c r="H511">
        <v>0.02</v>
      </c>
      <c r="I511">
        <v>27</v>
      </c>
      <c r="J511" t="s">
        <v>112</v>
      </c>
    </row>
    <row r="512" spans="1:10" x14ac:dyDescent="0.25">
      <c r="A512" t="s">
        <v>636</v>
      </c>
      <c r="B512" s="18">
        <v>43298</v>
      </c>
      <c r="C512" t="s">
        <v>98</v>
      </c>
      <c r="D512" t="s">
        <v>109</v>
      </c>
      <c r="E512">
        <v>3</v>
      </c>
      <c r="F512">
        <v>40</v>
      </c>
      <c r="G512">
        <v>120</v>
      </c>
      <c r="H512">
        <v>0.03</v>
      </c>
      <c r="I512">
        <v>3.5999999999999996</v>
      </c>
      <c r="J512" t="s">
        <v>113</v>
      </c>
    </row>
    <row r="513" spans="1:10" x14ac:dyDescent="0.25">
      <c r="A513" t="s">
        <v>637</v>
      </c>
      <c r="B513" s="18">
        <v>43298</v>
      </c>
      <c r="C513" t="s">
        <v>95</v>
      </c>
      <c r="D513" t="s">
        <v>106</v>
      </c>
      <c r="E513">
        <v>2</v>
      </c>
      <c r="F513">
        <v>80</v>
      </c>
      <c r="G513">
        <v>160</v>
      </c>
      <c r="H513">
        <v>0.08</v>
      </c>
      <c r="I513">
        <v>12.8</v>
      </c>
      <c r="J513" t="s">
        <v>114</v>
      </c>
    </row>
    <row r="514" spans="1:10" x14ac:dyDescent="0.25">
      <c r="A514" t="s">
        <v>638</v>
      </c>
      <c r="B514" s="18">
        <v>43298</v>
      </c>
      <c r="C514" t="s">
        <v>108</v>
      </c>
      <c r="D514" t="s">
        <v>109</v>
      </c>
      <c r="E514">
        <v>19</v>
      </c>
      <c r="F514">
        <v>16</v>
      </c>
      <c r="G514">
        <v>304</v>
      </c>
      <c r="H514">
        <v>0.02</v>
      </c>
      <c r="I514">
        <v>6.08</v>
      </c>
      <c r="J514" t="s">
        <v>115</v>
      </c>
    </row>
    <row r="515" spans="1:10" x14ac:dyDescent="0.25">
      <c r="A515" t="s">
        <v>639</v>
      </c>
      <c r="B515" s="18">
        <v>43298</v>
      </c>
      <c r="C515" t="s">
        <v>108</v>
      </c>
      <c r="D515" t="s">
        <v>99</v>
      </c>
      <c r="E515">
        <v>21</v>
      </c>
      <c r="F515">
        <v>16</v>
      </c>
      <c r="G515">
        <v>336</v>
      </c>
      <c r="H515">
        <v>0.02</v>
      </c>
      <c r="I515">
        <v>6.72</v>
      </c>
      <c r="J515" t="s">
        <v>116</v>
      </c>
    </row>
    <row r="516" spans="1:10" x14ac:dyDescent="0.25">
      <c r="A516" t="s">
        <v>640</v>
      </c>
      <c r="B516" s="18">
        <v>43298</v>
      </c>
      <c r="C516" t="s">
        <v>95</v>
      </c>
      <c r="D516" t="s">
        <v>106</v>
      </c>
      <c r="E516">
        <v>21</v>
      </c>
      <c r="F516">
        <v>80</v>
      </c>
      <c r="G516">
        <v>1680</v>
      </c>
      <c r="H516">
        <v>0.05</v>
      </c>
      <c r="I516">
        <v>84</v>
      </c>
      <c r="J516" t="s">
        <v>97</v>
      </c>
    </row>
    <row r="517" spans="1:10" x14ac:dyDescent="0.25">
      <c r="A517" t="s">
        <v>641</v>
      </c>
      <c r="B517" s="18">
        <v>43298</v>
      </c>
      <c r="C517" t="s">
        <v>101</v>
      </c>
      <c r="D517" t="s">
        <v>109</v>
      </c>
      <c r="E517">
        <v>3</v>
      </c>
      <c r="F517">
        <v>230</v>
      </c>
      <c r="G517">
        <v>690</v>
      </c>
      <c r="H517">
        <v>0.1</v>
      </c>
      <c r="I517">
        <v>69</v>
      </c>
      <c r="J517" t="s">
        <v>100</v>
      </c>
    </row>
    <row r="518" spans="1:10" x14ac:dyDescent="0.25">
      <c r="A518" t="s">
        <v>642</v>
      </c>
      <c r="B518" s="18">
        <v>43298</v>
      </c>
      <c r="C518" t="s">
        <v>98</v>
      </c>
      <c r="D518" t="s">
        <v>104</v>
      </c>
      <c r="E518">
        <v>4</v>
      </c>
      <c r="F518">
        <v>40</v>
      </c>
      <c r="G518">
        <v>160</v>
      </c>
      <c r="H518">
        <v>0.11</v>
      </c>
      <c r="I518">
        <v>17.600000000000001</v>
      </c>
      <c r="J518" t="s">
        <v>102</v>
      </c>
    </row>
    <row r="519" spans="1:10" x14ac:dyDescent="0.25">
      <c r="A519" t="s">
        <v>643</v>
      </c>
      <c r="B519" s="18">
        <v>43298</v>
      </c>
      <c r="C519" t="s">
        <v>111</v>
      </c>
      <c r="D519" t="s">
        <v>109</v>
      </c>
      <c r="E519">
        <v>7</v>
      </c>
      <c r="F519">
        <v>150</v>
      </c>
      <c r="G519">
        <v>1050</v>
      </c>
      <c r="H519">
        <v>0.03</v>
      </c>
      <c r="I519">
        <v>31.5</v>
      </c>
      <c r="J519" t="s">
        <v>103</v>
      </c>
    </row>
    <row r="520" spans="1:10" x14ac:dyDescent="0.25">
      <c r="A520" t="s">
        <v>644</v>
      </c>
      <c r="B520" s="18">
        <v>43298</v>
      </c>
      <c r="C520" t="s">
        <v>108</v>
      </c>
      <c r="D520" t="s">
        <v>104</v>
      </c>
      <c r="E520">
        <v>11</v>
      </c>
      <c r="F520">
        <v>16</v>
      </c>
      <c r="G520">
        <v>176</v>
      </c>
      <c r="H520">
        <v>0.12</v>
      </c>
      <c r="I520">
        <v>21.119999999999997</v>
      </c>
      <c r="J520" t="s">
        <v>105</v>
      </c>
    </row>
    <row r="521" spans="1:10" x14ac:dyDescent="0.25">
      <c r="A521" t="s">
        <v>645</v>
      </c>
      <c r="B521" s="18">
        <v>43298</v>
      </c>
      <c r="C521" t="s">
        <v>95</v>
      </c>
      <c r="D521" t="s">
        <v>96</v>
      </c>
      <c r="E521">
        <v>17</v>
      </c>
      <c r="F521">
        <v>80</v>
      </c>
      <c r="G521">
        <v>1360</v>
      </c>
      <c r="H521">
        <v>7.0000000000000007E-2</v>
      </c>
      <c r="I521">
        <v>95.2</v>
      </c>
      <c r="J521" t="s">
        <v>107</v>
      </c>
    </row>
    <row r="522" spans="1:10" x14ac:dyDescent="0.25">
      <c r="A522" t="s">
        <v>646</v>
      </c>
      <c r="B522" s="18">
        <v>43298</v>
      </c>
      <c r="C522" t="s">
        <v>108</v>
      </c>
      <c r="D522" t="s">
        <v>106</v>
      </c>
      <c r="E522">
        <v>5</v>
      </c>
      <c r="F522">
        <v>16</v>
      </c>
      <c r="G522">
        <v>80</v>
      </c>
      <c r="H522">
        <v>0.09</v>
      </c>
      <c r="I522">
        <v>7.1999999999999993</v>
      </c>
      <c r="J522" t="s">
        <v>110</v>
      </c>
    </row>
    <row r="523" spans="1:10" x14ac:dyDescent="0.25">
      <c r="A523" t="s">
        <v>647</v>
      </c>
      <c r="B523" s="18">
        <v>43298</v>
      </c>
      <c r="C523" t="s">
        <v>108</v>
      </c>
      <c r="D523" t="s">
        <v>109</v>
      </c>
      <c r="E523">
        <v>13</v>
      </c>
      <c r="F523">
        <v>16</v>
      </c>
      <c r="G523">
        <v>208</v>
      </c>
      <c r="H523">
        <v>7.0000000000000007E-2</v>
      </c>
      <c r="I523">
        <v>14.560000000000002</v>
      </c>
      <c r="J523" t="s">
        <v>112</v>
      </c>
    </row>
    <row r="524" spans="1:10" x14ac:dyDescent="0.25">
      <c r="A524" t="s">
        <v>648</v>
      </c>
      <c r="B524" s="18">
        <v>43298</v>
      </c>
      <c r="C524" t="s">
        <v>95</v>
      </c>
      <c r="D524" t="s">
        <v>109</v>
      </c>
      <c r="E524">
        <v>9</v>
      </c>
      <c r="F524">
        <v>80</v>
      </c>
      <c r="G524">
        <v>720</v>
      </c>
      <c r="H524">
        <v>0.02</v>
      </c>
      <c r="I524">
        <v>14.4</v>
      </c>
      <c r="J524" t="s">
        <v>113</v>
      </c>
    </row>
    <row r="525" spans="1:10" x14ac:dyDescent="0.25">
      <c r="A525" t="s">
        <v>649</v>
      </c>
      <c r="B525" s="18">
        <v>43299</v>
      </c>
      <c r="C525" t="s">
        <v>95</v>
      </c>
      <c r="D525" t="s">
        <v>109</v>
      </c>
      <c r="E525">
        <v>9</v>
      </c>
      <c r="F525">
        <v>80</v>
      </c>
      <c r="G525">
        <v>720</v>
      </c>
      <c r="H525">
        <v>0.02</v>
      </c>
      <c r="I525">
        <v>14.4</v>
      </c>
      <c r="J525" t="s">
        <v>114</v>
      </c>
    </row>
    <row r="526" spans="1:10" x14ac:dyDescent="0.25">
      <c r="A526" t="s">
        <v>650</v>
      </c>
      <c r="B526" s="18">
        <v>43299</v>
      </c>
      <c r="C526" t="s">
        <v>95</v>
      </c>
      <c r="D526" t="s">
        <v>106</v>
      </c>
      <c r="E526">
        <v>22</v>
      </c>
      <c r="F526">
        <v>80</v>
      </c>
      <c r="G526">
        <v>1760</v>
      </c>
      <c r="H526">
        <v>0.03</v>
      </c>
      <c r="I526">
        <v>52.8</v>
      </c>
      <c r="J526" t="s">
        <v>115</v>
      </c>
    </row>
    <row r="527" spans="1:10" x14ac:dyDescent="0.25">
      <c r="A527" t="s">
        <v>651</v>
      </c>
      <c r="B527" s="18">
        <v>43299</v>
      </c>
      <c r="C527" t="s">
        <v>111</v>
      </c>
      <c r="D527" t="s">
        <v>96</v>
      </c>
      <c r="E527">
        <v>13</v>
      </c>
      <c r="F527">
        <v>150</v>
      </c>
      <c r="G527">
        <v>1950</v>
      </c>
      <c r="H527">
        <v>0.05</v>
      </c>
      <c r="I527">
        <v>97.5</v>
      </c>
      <c r="J527" t="s">
        <v>116</v>
      </c>
    </row>
    <row r="528" spans="1:10" x14ac:dyDescent="0.25">
      <c r="A528" t="s">
        <v>652</v>
      </c>
      <c r="B528" s="18">
        <v>43299</v>
      </c>
      <c r="C528" t="s">
        <v>95</v>
      </c>
      <c r="D528" t="s">
        <v>96</v>
      </c>
      <c r="E528">
        <v>14</v>
      </c>
      <c r="F528">
        <v>80</v>
      </c>
      <c r="G528">
        <v>1120</v>
      </c>
      <c r="H528">
        <v>0.08</v>
      </c>
      <c r="I528">
        <v>89.600000000000009</v>
      </c>
      <c r="J528" t="s">
        <v>97</v>
      </c>
    </row>
    <row r="529" spans="1:10" x14ac:dyDescent="0.25">
      <c r="A529" t="s">
        <v>653</v>
      </c>
      <c r="B529" s="18">
        <v>43299</v>
      </c>
      <c r="C529" t="s">
        <v>95</v>
      </c>
      <c r="D529" t="s">
        <v>96</v>
      </c>
      <c r="E529">
        <v>6</v>
      </c>
      <c r="F529">
        <v>80</v>
      </c>
      <c r="G529">
        <v>480</v>
      </c>
      <c r="H529">
        <v>7.0000000000000007E-2</v>
      </c>
      <c r="I529">
        <v>33.6</v>
      </c>
      <c r="J529" t="s">
        <v>100</v>
      </c>
    </row>
    <row r="530" spans="1:10" x14ac:dyDescent="0.25">
      <c r="A530" t="s">
        <v>654</v>
      </c>
      <c r="B530" s="18">
        <v>43299</v>
      </c>
      <c r="C530" t="s">
        <v>95</v>
      </c>
      <c r="D530" t="s">
        <v>96</v>
      </c>
      <c r="E530">
        <v>16</v>
      </c>
      <c r="F530">
        <v>80</v>
      </c>
      <c r="G530">
        <v>1280</v>
      </c>
      <c r="H530">
        <v>0.03</v>
      </c>
      <c r="I530">
        <v>38.4</v>
      </c>
      <c r="J530" t="s">
        <v>102</v>
      </c>
    </row>
    <row r="531" spans="1:10" x14ac:dyDescent="0.25">
      <c r="A531" t="s">
        <v>655</v>
      </c>
      <c r="B531" s="18">
        <v>43299</v>
      </c>
      <c r="C531" t="s">
        <v>111</v>
      </c>
      <c r="D531" t="s">
        <v>104</v>
      </c>
      <c r="E531">
        <v>22</v>
      </c>
      <c r="F531">
        <v>150</v>
      </c>
      <c r="G531">
        <v>3300</v>
      </c>
      <c r="H531">
        <v>0.09</v>
      </c>
      <c r="I531">
        <v>297</v>
      </c>
      <c r="J531" t="s">
        <v>103</v>
      </c>
    </row>
    <row r="532" spans="1:10" x14ac:dyDescent="0.25">
      <c r="A532" t="s">
        <v>656</v>
      </c>
      <c r="B532" s="18">
        <v>43299</v>
      </c>
      <c r="C532" t="s">
        <v>111</v>
      </c>
      <c r="D532" t="s">
        <v>106</v>
      </c>
      <c r="E532">
        <v>4</v>
      </c>
      <c r="F532">
        <v>150</v>
      </c>
      <c r="G532">
        <v>600</v>
      </c>
      <c r="H532">
        <v>0.12</v>
      </c>
      <c r="I532">
        <v>72</v>
      </c>
      <c r="J532" t="s">
        <v>105</v>
      </c>
    </row>
    <row r="533" spans="1:10" x14ac:dyDescent="0.25">
      <c r="A533" t="s">
        <v>657</v>
      </c>
      <c r="B533" s="18">
        <v>43299</v>
      </c>
      <c r="C533" t="s">
        <v>101</v>
      </c>
      <c r="D533" t="s">
        <v>109</v>
      </c>
      <c r="E533">
        <v>7</v>
      </c>
      <c r="F533">
        <v>230</v>
      </c>
      <c r="G533">
        <v>1610</v>
      </c>
      <c r="H533">
        <v>0.05</v>
      </c>
      <c r="I533">
        <v>80.5</v>
      </c>
      <c r="J533" t="s">
        <v>107</v>
      </c>
    </row>
    <row r="534" spans="1:10" x14ac:dyDescent="0.25">
      <c r="A534" t="s">
        <v>658</v>
      </c>
      <c r="B534" s="18">
        <v>43299</v>
      </c>
      <c r="C534" t="s">
        <v>111</v>
      </c>
      <c r="D534" t="s">
        <v>106</v>
      </c>
      <c r="E534">
        <v>20</v>
      </c>
      <c r="F534">
        <v>150</v>
      </c>
      <c r="G534">
        <v>3000</v>
      </c>
      <c r="H534">
        <v>0.1</v>
      </c>
      <c r="I534">
        <v>300</v>
      </c>
      <c r="J534" t="s">
        <v>110</v>
      </c>
    </row>
    <row r="535" spans="1:10" x14ac:dyDescent="0.25">
      <c r="A535" t="s">
        <v>659</v>
      </c>
      <c r="B535" s="18">
        <v>43299</v>
      </c>
      <c r="C535" t="s">
        <v>101</v>
      </c>
      <c r="D535" t="s">
        <v>106</v>
      </c>
      <c r="E535">
        <v>8</v>
      </c>
      <c r="F535">
        <v>230</v>
      </c>
      <c r="G535">
        <v>1840</v>
      </c>
      <c r="H535">
        <v>0.05</v>
      </c>
      <c r="I535">
        <v>92</v>
      </c>
      <c r="J535" t="s">
        <v>112</v>
      </c>
    </row>
    <row r="536" spans="1:10" x14ac:dyDescent="0.25">
      <c r="A536" t="s">
        <v>660</v>
      </c>
      <c r="B536" s="18">
        <v>43300</v>
      </c>
      <c r="C536" t="s">
        <v>98</v>
      </c>
      <c r="D536" t="s">
        <v>106</v>
      </c>
      <c r="E536">
        <v>9</v>
      </c>
      <c r="F536">
        <v>40</v>
      </c>
      <c r="G536">
        <v>360</v>
      </c>
      <c r="H536">
        <v>0.06</v>
      </c>
      <c r="I536">
        <v>21.599999999999998</v>
      </c>
      <c r="J536" t="s">
        <v>113</v>
      </c>
    </row>
    <row r="537" spans="1:10" x14ac:dyDescent="0.25">
      <c r="A537" t="s">
        <v>661</v>
      </c>
      <c r="B537" s="18">
        <v>43300</v>
      </c>
      <c r="C537" t="s">
        <v>101</v>
      </c>
      <c r="D537" t="s">
        <v>106</v>
      </c>
      <c r="E537">
        <v>19</v>
      </c>
      <c r="F537">
        <v>230</v>
      </c>
      <c r="G537">
        <v>4370</v>
      </c>
      <c r="H537">
        <v>0.06</v>
      </c>
      <c r="I537">
        <v>262.2</v>
      </c>
      <c r="J537" t="s">
        <v>114</v>
      </c>
    </row>
    <row r="538" spans="1:10" x14ac:dyDescent="0.25">
      <c r="A538" t="s">
        <v>662</v>
      </c>
      <c r="B538" s="18">
        <v>43300</v>
      </c>
      <c r="C538" t="s">
        <v>98</v>
      </c>
      <c r="D538" t="s">
        <v>106</v>
      </c>
      <c r="E538">
        <v>22</v>
      </c>
      <c r="F538">
        <v>40</v>
      </c>
      <c r="G538">
        <v>880</v>
      </c>
      <c r="H538">
        <v>0.01</v>
      </c>
      <c r="I538">
        <v>8.8000000000000007</v>
      </c>
      <c r="J538" t="s">
        <v>115</v>
      </c>
    </row>
    <row r="539" spans="1:10" x14ac:dyDescent="0.25">
      <c r="A539" t="s">
        <v>663</v>
      </c>
      <c r="B539" s="18">
        <v>43300</v>
      </c>
      <c r="C539" t="s">
        <v>98</v>
      </c>
      <c r="D539" t="s">
        <v>96</v>
      </c>
      <c r="E539">
        <v>22</v>
      </c>
      <c r="F539">
        <v>40</v>
      </c>
      <c r="G539">
        <v>880</v>
      </c>
      <c r="H539">
        <v>0.02</v>
      </c>
      <c r="I539">
        <v>17.600000000000001</v>
      </c>
      <c r="J539" t="s">
        <v>116</v>
      </c>
    </row>
    <row r="540" spans="1:10" x14ac:dyDescent="0.25">
      <c r="A540" t="s">
        <v>664</v>
      </c>
      <c r="B540" s="18">
        <v>43300</v>
      </c>
      <c r="C540" t="s">
        <v>95</v>
      </c>
      <c r="D540" t="s">
        <v>109</v>
      </c>
      <c r="E540">
        <v>10</v>
      </c>
      <c r="F540">
        <v>80</v>
      </c>
      <c r="G540">
        <v>800</v>
      </c>
      <c r="H540">
        <v>0.06</v>
      </c>
      <c r="I540">
        <v>48</v>
      </c>
      <c r="J540" t="s">
        <v>97</v>
      </c>
    </row>
    <row r="541" spans="1:10" x14ac:dyDescent="0.25">
      <c r="A541" t="s">
        <v>665</v>
      </c>
      <c r="B541" s="18">
        <v>43300</v>
      </c>
      <c r="C541" t="s">
        <v>98</v>
      </c>
      <c r="D541" t="s">
        <v>106</v>
      </c>
      <c r="E541">
        <v>7</v>
      </c>
      <c r="F541">
        <v>40</v>
      </c>
      <c r="G541">
        <v>280</v>
      </c>
      <c r="H541">
        <v>0.11</v>
      </c>
      <c r="I541">
        <v>30.8</v>
      </c>
      <c r="J541" t="s">
        <v>100</v>
      </c>
    </row>
    <row r="542" spans="1:10" x14ac:dyDescent="0.25">
      <c r="A542" t="s">
        <v>666</v>
      </c>
      <c r="B542" s="18">
        <v>43300</v>
      </c>
      <c r="C542" t="s">
        <v>101</v>
      </c>
      <c r="D542" t="s">
        <v>96</v>
      </c>
      <c r="E542">
        <v>7</v>
      </c>
      <c r="F542">
        <v>230</v>
      </c>
      <c r="G542">
        <v>1610</v>
      </c>
      <c r="H542">
        <v>0.08</v>
      </c>
      <c r="I542">
        <v>128.80000000000001</v>
      </c>
      <c r="J542" t="s">
        <v>102</v>
      </c>
    </row>
    <row r="543" spans="1:10" x14ac:dyDescent="0.25">
      <c r="A543" t="s">
        <v>667</v>
      </c>
      <c r="B543" s="18">
        <v>43300</v>
      </c>
      <c r="C543" t="s">
        <v>108</v>
      </c>
      <c r="D543" t="s">
        <v>96</v>
      </c>
      <c r="E543">
        <v>18</v>
      </c>
      <c r="F543">
        <v>16</v>
      </c>
      <c r="G543">
        <v>288</v>
      </c>
      <c r="H543">
        <v>0.11</v>
      </c>
      <c r="I543">
        <v>31.68</v>
      </c>
      <c r="J543" t="s">
        <v>103</v>
      </c>
    </row>
    <row r="544" spans="1:10" x14ac:dyDescent="0.25">
      <c r="A544" t="s">
        <v>668</v>
      </c>
      <c r="B544" s="18">
        <v>43300</v>
      </c>
      <c r="C544" t="s">
        <v>101</v>
      </c>
      <c r="D544" t="s">
        <v>104</v>
      </c>
      <c r="E544">
        <v>14</v>
      </c>
      <c r="F544">
        <v>230</v>
      </c>
      <c r="G544">
        <v>3220</v>
      </c>
      <c r="H544">
        <v>0.12</v>
      </c>
      <c r="I544">
        <v>386.4</v>
      </c>
      <c r="J544" t="s">
        <v>105</v>
      </c>
    </row>
    <row r="545" spans="1:10" x14ac:dyDescent="0.25">
      <c r="A545" t="s">
        <v>669</v>
      </c>
      <c r="B545" s="18">
        <v>43300</v>
      </c>
      <c r="C545" t="s">
        <v>98</v>
      </c>
      <c r="D545" t="s">
        <v>99</v>
      </c>
      <c r="E545">
        <v>21</v>
      </c>
      <c r="F545">
        <v>40</v>
      </c>
      <c r="G545">
        <v>840</v>
      </c>
      <c r="H545">
        <v>0.03</v>
      </c>
      <c r="I545">
        <v>25.2</v>
      </c>
      <c r="J545" t="s">
        <v>107</v>
      </c>
    </row>
    <row r="546" spans="1:10" x14ac:dyDescent="0.25">
      <c r="A546" t="s">
        <v>670</v>
      </c>
      <c r="B546" s="18">
        <v>43300</v>
      </c>
      <c r="C546" t="s">
        <v>111</v>
      </c>
      <c r="D546" t="s">
        <v>96</v>
      </c>
      <c r="E546">
        <v>3</v>
      </c>
      <c r="F546">
        <v>150</v>
      </c>
      <c r="G546">
        <v>450</v>
      </c>
      <c r="H546">
        <v>0.03</v>
      </c>
      <c r="I546">
        <v>13.5</v>
      </c>
      <c r="J546" t="s">
        <v>110</v>
      </c>
    </row>
    <row r="547" spans="1:10" x14ac:dyDescent="0.25">
      <c r="A547" t="s">
        <v>671</v>
      </c>
      <c r="B547" s="18">
        <v>43300</v>
      </c>
      <c r="C547" t="s">
        <v>95</v>
      </c>
      <c r="D547" t="s">
        <v>96</v>
      </c>
      <c r="E547">
        <v>12</v>
      </c>
      <c r="F547">
        <v>80</v>
      </c>
      <c r="G547">
        <v>960</v>
      </c>
      <c r="H547">
        <v>0.04</v>
      </c>
      <c r="I547">
        <v>38.4</v>
      </c>
      <c r="J547" t="s">
        <v>112</v>
      </c>
    </row>
    <row r="548" spans="1:10" x14ac:dyDescent="0.25">
      <c r="A548" t="s">
        <v>672</v>
      </c>
      <c r="B548" s="18">
        <v>43301</v>
      </c>
      <c r="C548" t="s">
        <v>111</v>
      </c>
      <c r="D548" t="s">
        <v>106</v>
      </c>
      <c r="E548">
        <v>6</v>
      </c>
      <c r="F548">
        <v>150</v>
      </c>
      <c r="G548">
        <v>900</v>
      </c>
      <c r="H548">
        <v>0.03</v>
      </c>
      <c r="I548">
        <v>27</v>
      </c>
      <c r="J548" t="s">
        <v>113</v>
      </c>
    </row>
    <row r="549" spans="1:10" x14ac:dyDescent="0.25">
      <c r="A549" t="s">
        <v>673</v>
      </c>
      <c r="B549" s="18">
        <v>43301</v>
      </c>
      <c r="C549" t="s">
        <v>98</v>
      </c>
      <c r="D549" t="s">
        <v>104</v>
      </c>
      <c r="E549">
        <v>20</v>
      </c>
      <c r="F549">
        <v>40</v>
      </c>
      <c r="G549">
        <v>800</v>
      </c>
      <c r="H549">
        <v>0.01</v>
      </c>
      <c r="I549">
        <v>8</v>
      </c>
      <c r="J549" t="s">
        <v>114</v>
      </c>
    </row>
    <row r="550" spans="1:10" x14ac:dyDescent="0.25">
      <c r="A550" t="s">
        <v>674</v>
      </c>
      <c r="B550" s="18">
        <v>43301</v>
      </c>
      <c r="C550" t="s">
        <v>101</v>
      </c>
      <c r="D550" t="s">
        <v>96</v>
      </c>
      <c r="E550">
        <v>3</v>
      </c>
      <c r="F550">
        <v>230</v>
      </c>
      <c r="G550">
        <v>690</v>
      </c>
      <c r="H550">
        <v>0.06</v>
      </c>
      <c r="I550">
        <v>41.4</v>
      </c>
      <c r="J550" t="s">
        <v>110</v>
      </c>
    </row>
    <row r="551" spans="1:10" x14ac:dyDescent="0.25">
      <c r="A551" t="s">
        <v>675</v>
      </c>
      <c r="B551" s="18">
        <v>43301</v>
      </c>
      <c r="C551" t="s">
        <v>101</v>
      </c>
      <c r="D551" t="s">
        <v>106</v>
      </c>
      <c r="E551">
        <v>3</v>
      </c>
      <c r="F551">
        <v>230</v>
      </c>
      <c r="G551">
        <v>690</v>
      </c>
      <c r="H551">
        <v>0.01</v>
      </c>
      <c r="I551">
        <v>6.9</v>
      </c>
      <c r="J551" t="s">
        <v>112</v>
      </c>
    </row>
    <row r="552" spans="1:10" x14ac:dyDescent="0.25">
      <c r="A552" t="s">
        <v>676</v>
      </c>
      <c r="B552" s="18">
        <v>43301</v>
      </c>
      <c r="C552" t="s">
        <v>98</v>
      </c>
      <c r="D552" t="s">
        <v>96</v>
      </c>
      <c r="E552">
        <v>20</v>
      </c>
      <c r="F552">
        <v>40</v>
      </c>
      <c r="G552">
        <v>800</v>
      </c>
      <c r="H552">
        <v>0.04</v>
      </c>
      <c r="I552">
        <v>32</v>
      </c>
      <c r="J552" t="s">
        <v>113</v>
      </c>
    </row>
    <row r="553" spans="1:10" x14ac:dyDescent="0.25">
      <c r="A553" t="s">
        <v>677</v>
      </c>
      <c r="B553" s="18">
        <v>43301</v>
      </c>
      <c r="C553" t="s">
        <v>95</v>
      </c>
      <c r="D553" t="s">
        <v>104</v>
      </c>
      <c r="E553">
        <v>16</v>
      </c>
      <c r="F553">
        <v>80</v>
      </c>
      <c r="G553">
        <v>1280</v>
      </c>
      <c r="H553">
        <v>0.02</v>
      </c>
      <c r="I553">
        <v>25.6</v>
      </c>
      <c r="J553" t="s">
        <v>114</v>
      </c>
    </row>
    <row r="554" spans="1:10" x14ac:dyDescent="0.25">
      <c r="A554" t="s">
        <v>678</v>
      </c>
      <c r="B554" s="18">
        <v>43301</v>
      </c>
      <c r="C554" t="s">
        <v>111</v>
      </c>
      <c r="D554" t="s">
        <v>96</v>
      </c>
      <c r="E554">
        <v>8</v>
      </c>
      <c r="F554">
        <v>150</v>
      </c>
      <c r="G554">
        <v>1200</v>
      </c>
      <c r="H554">
        <v>0.09</v>
      </c>
      <c r="I554">
        <v>108</v>
      </c>
      <c r="J554" t="s">
        <v>110</v>
      </c>
    </row>
    <row r="555" spans="1:10" x14ac:dyDescent="0.25">
      <c r="A555" t="s">
        <v>679</v>
      </c>
      <c r="B555" s="18">
        <v>43302</v>
      </c>
      <c r="C555" t="s">
        <v>101</v>
      </c>
      <c r="D555" t="s">
        <v>99</v>
      </c>
      <c r="E555">
        <v>7</v>
      </c>
      <c r="F555">
        <v>230</v>
      </c>
      <c r="G555">
        <v>1610</v>
      </c>
      <c r="H555">
        <v>0.01</v>
      </c>
      <c r="I555">
        <v>16.100000000000001</v>
      </c>
      <c r="J555" t="s">
        <v>112</v>
      </c>
    </row>
    <row r="556" spans="1:10" x14ac:dyDescent="0.25">
      <c r="A556" t="s">
        <v>680</v>
      </c>
      <c r="B556" s="18">
        <v>43302</v>
      </c>
      <c r="C556" t="s">
        <v>111</v>
      </c>
      <c r="D556" t="s">
        <v>99</v>
      </c>
      <c r="E556">
        <v>23</v>
      </c>
      <c r="F556">
        <v>150</v>
      </c>
      <c r="G556">
        <v>3450</v>
      </c>
      <c r="H556">
        <v>0.11</v>
      </c>
      <c r="I556">
        <v>379.5</v>
      </c>
      <c r="J556" t="s">
        <v>113</v>
      </c>
    </row>
    <row r="557" spans="1:10" x14ac:dyDescent="0.25">
      <c r="A557" t="s">
        <v>681</v>
      </c>
      <c r="B557" s="18">
        <v>43302</v>
      </c>
      <c r="C557" t="s">
        <v>98</v>
      </c>
      <c r="D557" t="s">
        <v>109</v>
      </c>
      <c r="E557">
        <v>16</v>
      </c>
      <c r="F557">
        <v>40</v>
      </c>
      <c r="G557">
        <v>640</v>
      </c>
      <c r="H557">
        <v>0.09</v>
      </c>
      <c r="I557">
        <v>57.599999999999994</v>
      </c>
      <c r="J557" t="s">
        <v>114</v>
      </c>
    </row>
    <row r="558" spans="1:10" x14ac:dyDescent="0.25">
      <c r="A558" t="s">
        <v>682</v>
      </c>
      <c r="B558" s="18">
        <v>43302</v>
      </c>
      <c r="C558" t="s">
        <v>98</v>
      </c>
      <c r="D558" t="s">
        <v>109</v>
      </c>
      <c r="E558">
        <v>20</v>
      </c>
      <c r="F558">
        <v>40</v>
      </c>
      <c r="G558">
        <v>800</v>
      </c>
      <c r="H558">
        <v>0.1</v>
      </c>
      <c r="I558">
        <v>80</v>
      </c>
      <c r="J558" t="s">
        <v>110</v>
      </c>
    </row>
    <row r="559" spans="1:10" x14ac:dyDescent="0.25">
      <c r="A559" t="s">
        <v>683</v>
      </c>
      <c r="B559" s="18">
        <v>43302</v>
      </c>
      <c r="C559" t="s">
        <v>98</v>
      </c>
      <c r="D559" t="s">
        <v>99</v>
      </c>
      <c r="E559">
        <v>18</v>
      </c>
      <c r="F559">
        <v>40</v>
      </c>
      <c r="G559">
        <v>720</v>
      </c>
      <c r="H559">
        <v>0.08</v>
      </c>
      <c r="I559">
        <v>57.6</v>
      </c>
      <c r="J559" t="s">
        <v>112</v>
      </c>
    </row>
    <row r="560" spans="1:10" x14ac:dyDescent="0.25">
      <c r="A560" t="s">
        <v>684</v>
      </c>
      <c r="B560" s="18">
        <v>43302</v>
      </c>
      <c r="C560" t="s">
        <v>95</v>
      </c>
      <c r="D560" t="s">
        <v>109</v>
      </c>
      <c r="E560">
        <v>22</v>
      </c>
      <c r="F560">
        <v>80</v>
      </c>
      <c r="G560">
        <v>1760</v>
      </c>
      <c r="H560">
        <v>0.09</v>
      </c>
      <c r="I560">
        <v>158.4</v>
      </c>
      <c r="J560" t="s">
        <v>113</v>
      </c>
    </row>
    <row r="561" spans="1:10" x14ac:dyDescent="0.25">
      <c r="A561" t="s">
        <v>685</v>
      </c>
      <c r="B561" s="18">
        <v>43302</v>
      </c>
      <c r="C561" t="s">
        <v>111</v>
      </c>
      <c r="D561" t="s">
        <v>99</v>
      </c>
      <c r="E561">
        <v>22</v>
      </c>
      <c r="F561">
        <v>150</v>
      </c>
      <c r="G561">
        <v>3300</v>
      </c>
      <c r="H561">
        <v>0.02</v>
      </c>
      <c r="I561">
        <v>66</v>
      </c>
      <c r="J561" t="s">
        <v>114</v>
      </c>
    </row>
    <row r="562" spans="1:10" x14ac:dyDescent="0.25">
      <c r="A562" t="s">
        <v>686</v>
      </c>
      <c r="B562" s="18">
        <v>43302</v>
      </c>
      <c r="C562" t="s">
        <v>111</v>
      </c>
      <c r="D562" t="s">
        <v>99</v>
      </c>
      <c r="E562">
        <v>20</v>
      </c>
      <c r="F562">
        <v>150</v>
      </c>
      <c r="G562">
        <v>3000</v>
      </c>
      <c r="H562">
        <v>0.09</v>
      </c>
      <c r="I562">
        <v>270</v>
      </c>
      <c r="J562" t="s">
        <v>110</v>
      </c>
    </row>
    <row r="563" spans="1:10" x14ac:dyDescent="0.25">
      <c r="A563" t="s">
        <v>687</v>
      </c>
      <c r="B563" s="18">
        <v>43302</v>
      </c>
      <c r="C563" t="s">
        <v>108</v>
      </c>
      <c r="D563" t="s">
        <v>96</v>
      </c>
      <c r="E563">
        <v>10</v>
      </c>
      <c r="F563">
        <v>16</v>
      </c>
      <c r="G563">
        <v>160</v>
      </c>
      <c r="H563">
        <v>0.08</v>
      </c>
      <c r="I563">
        <v>12.8</v>
      </c>
      <c r="J563" t="s">
        <v>112</v>
      </c>
    </row>
    <row r="564" spans="1:10" x14ac:dyDescent="0.25">
      <c r="A564" t="s">
        <v>688</v>
      </c>
      <c r="B564" s="18">
        <v>43302</v>
      </c>
      <c r="C564" t="s">
        <v>98</v>
      </c>
      <c r="D564" t="s">
        <v>104</v>
      </c>
      <c r="E564">
        <v>12</v>
      </c>
      <c r="F564">
        <v>40</v>
      </c>
      <c r="G564">
        <v>480</v>
      </c>
      <c r="H564">
        <v>0.02</v>
      </c>
      <c r="I564">
        <v>9.6</v>
      </c>
      <c r="J564" t="s">
        <v>113</v>
      </c>
    </row>
    <row r="565" spans="1:10" x14ac:dyDescent="0.25">
      <c r="A565" t="s">
        <v>689</v>
      </c>
      <c r="B565" s="18">
        <v>43302</v>
      </c>
      <c r="C565" t="s">
        <v>111</v>
      </c>
      <c r="D565" t="s">
        <v>96</v>
      </c>
      <c r="E565">
        <v>4</v>
      </c>
      <c r="F565">
        <v>150</v>
      </c>
      <c r="G565">
        <v>600</v>
      </c>
      <c r="H565">
        <v>0.1</v>
      </c>
      <c r="I565">
        <v>60</v>
      </c>
      <c r="J565" t="s">
        <v>114</v>
      </c>
    </row>
    <row r="566" spans="1:10" x14ac:dyDescent="0.25">
      <c r="A566" t="s">
        <v>690</v>
      </c>
      <c r="B566" s="18">
        <v>43302</v>
      </c>
      <c r="C566" t="s">
        <v>95</v>
      </c>
      <c r="D566" t="s">
        <v>104</v>
      </c>
      <c r="E566">
        <v>5</v>
      </c>
      <c r="F566">
        <v>80</v>
      </c>
      <c r="G566">
        <v>400</v>
      </c>
      <c r="H566">
        <v>0.09</v>
      </c>
      <c r="I566">
        <v>36</v>
      </c>
      <c r="J566" t="s">
        <v>110</v>
      </c>
    </row>
    <row r="567" spans="1:10" x14ac:dyDescent="0.25">
      <c r="A567" t="s">
        <v>691</v>
      </c>
      <c r="B567" s="18">
        <v>43302</v>
      </c>
      <c r="C567" t="s">
        <v>98</v>
      </c>
      <c r="D567" t="s">
        <v>96</v>
      </c>
      <c r="E567">
        <v>11</v>
      </c>
      <c r="F567">
        <v>40</v>
      </c>
      <c r="G567">
        <v>440</v>
      </c>
      <c r="H567">
        <v>0.04</v>
      </c>
      <c r="I567">
        <v>17.600000000000001</v>
      </c>
      <c r="J567" t="s">
        <v>112</v>
      </c>
    </row>
    <row r="568" spans="1:10" x14ac:dyDescent="0.25">
      <c r="A568" t="s">
        <v>692</v>
      </c>
      <c r="B568" s="18">
        <v>43302</v>
      </c>
      <c r="C568" t="s">
        <v>111</v>
      </c>
      <c r="D568" t="s">
        <v>99</v>
      </c>
      <c r="E568">
        <v>13</v>
      </c>
      <c r="F568">
        <v>150</v>
      </c>
      <c r="G568">
        <v>1950</v>
      </c>
      <c r="H568">
        <v>0.08</v>
      </c>
      <c r="I568">
        <v>156</v>
      </c>
      <c r="J568" t="s">
        <v>113</v>
      </c>
    </row>
    <row r="569" spans="1:10" x14ac:dyDescent="0.25">
      <c r="A569" t="s">
        <v>693</v>
      </c>
      <c r="B569" s="18">
        <v>43302</v>
      </c>
      <c r="C569" t="s">
        <v>95</v>
      </c>
      <c r="D569" t="s">
        <v>106</v>
      </c>
      <c r="E569">
        <v>19</v>
      </c>
      <c r="F569">
        <v>80</v>
      </c>
      <c r="G569">
        <v>1520</v>
      </c>
      <c r="H569">
        <v>0.02</v>
      </c>
      <c r="I569">
        <v>30.400000000000002</v>
      </c>
      <c r="J569" t="s">
        <v>114</v>
      </c>
    </row>
    <row r="570" spans="1:10" x14ac:dyDescent="0.25">
      <c r="A570" t="s">
        <v>694</v>
      </c>
      <c r="B570" s="18">
        <v>43302</v>
      </c>
      <c r="C570" t="s">
        <v>101</v>
      </c>
      <c r="D570" t="s">
        <v>99</v>
      </c>
      <c r="E570">
        <v>7</v>
      </c>
      <c r="F570">
        <v>230</v>
      </c>
      <c r="G570">
        <v>1610</v>
      </c>
      <c r="H570">
        <v>0.01</v>
      </c>
      <c r="I570">
        <v>16.100000000000001</v>
      </c>
      <c r="J570" t="s">
        <v>110</v>
      </c>
    </row>
    <row r="571" spans="1:10" x14ac:dyDescent="0.25">
      <c r="A571" t="s">
        <v>695</v>
      </c>
      <c r="B571" s="18">
        <v>43303</v>
      </c>
      <c r="C571" t="s">
        <v>95</v>
      </c>
      <c r="D571" t="s">
        <v>109</v>
      </c>
      <c r="E571">
        <v>16</v>
      </c>
      <c r="F571">
        <v>80</v>
      </c>
      <c r="G571">
        <v>1280</v>
      </c>
      <c r="H571">
        <v>0.09</v>
      </c>
      <c r="I571">
        <v>115.19999999999999</v>
      </c>
      <c r="J571" t="s">
        <v>112</v>
      </c>
    </row>
    <row r="572" spans="1:10" x14ac:dyDescent="0.25">
      <c r="A572" t="s">
        <v>696</v>
      </c>
      <c r="B572" s="18">
        <v>43303</v>
      </c>
      <c r="C572" t="s">
        <v>101</v>
      </c>
      <c r="D572" t="s">
        <v>96</v>
      </c>
      <c r="E572">
        <v>7</v>
      </c>
      <c r="F572">
        <v>230</v>
      </c>
      <c r="G572">
        <v>1610</v>
      </c>
      <c r="H572">
        <v>0.02</v>
      </c>
      <c r="I572">
        <v>32.200000000000003</v>
      </c>
      <c r="J572" t="s">
        <v>113</v>
      </c>
    </row>
    <row r="573" spans="1:10" x14ac:dyDescent="0.25">
      <c r="A573" t="s">
        <v>697</v>
      </c>
      <c r="B573" s="18">
        <v>43303</v>
      </c>
      <c r="C573" t="s">
        <v>98</v>
      </c>
      <c r="D573" t="s">
        <v>96</v>
      </c>
      <c r="E573">
        <v>5</v>
      </c>
      <c r="F573">
        <v>40</v>
      </c>
      <c r="G573">
        <v>200</v>
      </c>
      <c r="H573">
        <v>0.06</v>
      </c>
      <c r="I573">
        <v>12</v>
      </c>
      <c r="J573" t="s">
        <v>114</v>
      </c>
    </row>
    <row r="574" spans="1:10" x14ac:dyDescent="0.25">
      <c r="A574" t="s">
        <v>698</v>
      </c>
      <c r="B574" s="18">
        <v>43303</v>
      </c>
      <c r="C574" t="s">
        <v>111</v>
      </c>
      <c r="D574" t="s">
        <v>104</v>
      </c>
      <c r="E574">
        <v>9</v>
      </c>
      <c r="F574">
        <v>150</v>
      </c>
      <c r="G574">
        <v>1350</v>
      </c>
      <c r="H574">
        <v>0.06</v>
      </c>
      <c r="I574">
        <v>81</v>
      </c>
      <c r="J574" t="s">
        <v>110</v>
      </c>
    </row>
    <row r="575" spans="1:10" x14ac:dyDescent="0.25">
      <c r="A575" t="s">
        <v>699</v>
      </c>
      <c r="B575" s="18">
        <v>43303</v>
      </c>
      <c r="C575" t="s">
        <v>98</v>
      </c>
      <c r="D575" t="s">
        <v>109</v>
      </c>
      <c r="E575">
        <v>20</v>
      </c>
      <c r="F575">
        <v>40</v>
      </c>
      <c r="G575">
        <v>800</v>
      </c>
      <c r="H575">
        <v>7.0000000000000007E-2</v>
      </c>
      <c r="I575">
        <v>56.000000000000007</v>
      </c>
      <c r="J575" t="s">
        <v>112</v>
      </c>
    </row>
    <row r="576" spans="1:10" x14ac:dyDescent="0.25">
      <c r="A576" t="s">
        <v>700</v>
      </c>
      <c r="B576" s="18">
        <v>43303</v>
      </c>
      <c r="C576" t="s">
        <v>108</v>
      </c>
      <c r="D576" t="s">
        <v>99</v>
      </c>
      <c r="E576">
        <v>20</v>
      </c>
      <c r="F576">
        <v>16</v>
      </c>
      <c r="G576">
        <v>320</v>
      </c>
      <c r="H576">
        <v>0.06</v>
      </c>
      <c r="I576">
        <v>19.2</v>
      </c>
      <c r="J576" t="s">
        <v>113</v>
      </c>
    </row>
    <row r="577" spans="1:10" x14ac:dyDescent="0.25">
      <c r="A577" t="s">
        <v>701</v>
      </c>
      <c r="B577" s="18">
        <v>43303</v>
      </c>
      <c r="C577" t="s">
        <v>98</v>
      </c>
      <c r="D577" t="s">
        <v>109</v>
      </c>
      <c r="E577">
        <v>5</v>
      </c>
      <c r="F577">
        <v>40</v>
      </c>
      <c r="G577">
        <v>200</v>
      </c>
      <c r="H577">
        <v>0.03</v>
      </c>
      <c r="I577">
        <v>6</v>
      </c>
      <c r="J577" t="s">
        <v>114</v>
      </c>
    </row>
    <row r="578" spans="1:10" x14ac:dyDescent="0.25">
      <c r="A578" t="s">
        <v>702</v>
      </c>
      <c r="B578" s="18">
        <v>43304</v>
      </c>
      <c r="C578" t="s">
        <v>95</v>
      </c>
      <c r="D578" t="s">
        <v>106</v>
      </c>
      <c r="E578">
        <v>7</v>
      </c>
      <c r="F578">
        <v>80</v>
      </c>
      <c r="G578">
        <v>560</v>
      </c>
      <c r="H578">
        <v>7.0000000000000007E-2</v>
      </c>
      <c r="I578">
        <v>39.200000000000003</v>
      </c>
      <c r="J578" t="s">
        <v>110</v>
      </c>
    </row>
    <row r="579" spans="1:10" x14ac:dyDescent="0.25">
      <c r="A579" t="s">
        <v>703</v>
      </c>
      <c r="B579" s="18">
        <v>43304</v>
      </c>
      <c r="C579" t="s">
        <v>108</v>
      </c>
      <c r="D579" t="s">
        <v>109</v>
      </c>
      <c r="E579">
        <v>22</v>
      </c>
      <c r="F579">
        <v>16</v>
      </c>
      <c r="G579">
        <v>352</v>
      </c>
      <c r="H579">
        <v>0.12</v>
      </c>
      <c r="I579">
        <v>42.239999999999995</v>
      </c>
      <c r="J579" t="s">
        <v>112</v>
      </c>
    </row>
    <row r="580" spans="1:10" x14ac:dyDescent="0.25">
      <c r="A580" t="s">
        <v>704</v>
      </c>
      <c r="B580" s="18">
        <v>43304</v>
      </c>
      <c r="C580" t="s">
        <v>108</v>
      </c>
      <c r="D580" t="s">
        <v>109</v>
      </c>
      <c r="E580">
        <v>11</v>
      </c>
      <c r="F580">
        <v>16</v>
      </c>
      <c r="G580">
        <v>176</v>
      </c>
      <c r="H580">
        <v>0.12</v>
      </c>
      <c r="I580">
        <v>21.119999999999997</v>
      </c>
      <c r="J580" t="s">
        <v>113</v>
      </c>
    </row>
    <row r="581" spans="1:10" x14ac:dyDescent="0.25">
      <c r="A581" t="s">
        <v>705</v>
      </c>
      <c r="B581" s="18">
        <v>43304</v>
      </c>
      <c r="C581" t="s">
        <v>101</v>
      </c>
      <c r="D581" t="s">
        <v>106</v>
      </c>
      <c r="E581">
        <v>17</v>
      </c>
      <c r="F581">
        <v>230</v>
      </c>
      <c r="G581">
        <v>3910</v>
      </c>
      <c r="H581">
        <v>0.12</v>
      </c>
      <c r="I581">
        <v>469.2</v>
      </c>
      <c r="J581" t="s">
        <v>114</v>
      </c>
    </row>
    <row r="582" spans="1:10" x14ac:dyDescent="0.25">
      <c r="A582" t="s">
        <v>706</v>
      </c>
      <c r="B582" s="18">
        <v>43304</v>
      </c>
      <c r="C582" t="s">
        <v>95</v>
      </c>
      <c r="D582" t="s">
        <v>96</v>
      </c>
      <c r="E582">
        <v>7</v>
      </c>
      <c r="F582">
        <v>80</v>
      </c>
      <c r="G582">
        <v>560</v>
      </c>
      <c r="H582">
        <v>0.02</v>
      </c>
      <c r="I582">
        <v>11.200000000000001</v>
      </c>
      <c r="J582" t="s">
        <v>110</v>
      </c>
    </row>
    <row r="583" spans="1:10" x14ac:dyDescent="0.25">
      <c r="A583" t="s">
        <v>707</v>
      </c>
      <c r="B583" s="18">
        <v>43304</v>
      </c>
      <c r="C583" t="s">
        <v>108</v>
      </c>
      <c r="D583" t="s">
        <v>99</v>
      </c>
      <c r="E583">
        <v>5</v>
      </c>
      <c r="F583">
        <v>16</v>
      </c>
      <c r="G583">
        <v>80</v>
      </c>
      <c r="H583">
        <v>0.11</v>
      </c>
      <c r="I583">
        <v>8.8000000000000007</v>
      </c>
      <c r="J583" t="s">
        <v>112</v>
      </c>
    </row>
    <row r="584" spans="1:10" x14ac:dyDescent="0.25">
      <c r="A584" t="s">
        <v>708</v>
      </c>
      <c r="B584" s="18">
        <v>43304</v>
      </c>
      <c r="C584" t="s">
        <v>111</v>
      </c>
      <c r="D584" t="s">
        <v>109</v>
      </c>
      <c r="E584">
        <v>18</v>
      </c>
      <c r="F584">
        <v>150</v>
      </c>
      <c r="G584">
        <v>2700</v>
      </c>
      <c r="H584">
        <v>0.12</v>
      </c>
      <c r="I584">
        <v>324</v>
      </c>
      <c r="J584" t="s">
        <v>113</v>
      </c>
    </row>
    <row r="585" spans="1:10" x14ac:dyDescent="0.25">
      <c r="A585" t="s">
        <v>709</v>
      </c>
      <c r="B585" s="18">
        <v>43304</v>
      </c>
      <c r="C585" t="s">
        <v>98</v>
      </c>
      <c r="D585" t="s">
        <v>109</v>
      </c>
      <c r="E585">
        <v>10</v>
      </c>
      <c r="F585">
        <v>40</v>
      </c>
      <c r="G585">
        <v>400</v>
      </c>
      <c r="H585">
        <v>0.03</v>
      </c>
      <c r="I585">
        <v>12</v>
      </c>
      <c r="J585" t="s">
        <v>114</v>
      </c>
    </row>
    <row r="586" spans="1:10" x14ac:dyDescent="0.25">
      <c r="A586" t="s">
        <v>710</v>
      </c>
      <c r="B586" s="18">
        <v>43304</v>
      </c>
      <c r="C586" t="s">
        <v>98</v>
      </c>
      <c r="D586" t="s">
        <v>109</v>
      </c>
      <c r="E586">
        <v>14</v>
      </c>
      <c r="F586">
        <v>40</v>
      </c>
      <c r="G586">
        <v>560</v>
      </c>
      <c r="H586">
        <v>0.11</v>
      </c>
      <c r="I586">
        <v>61.6</v>
      </c>
      <c r="J586" t="s">
        <v>110</v>
      </c>
    </row>
    <row r="587" spans="1:10" x14ac:dyDescent="0.25">
      <c r="A587" t="s">
        <v>711</v>
      </c>
      <c r="B587" s="18">
        <v>43304</v>
      </c>
      <c r="C587" t="s">
        <v>98</v>
      </c>
      <c r="D587" t="s">
        <v>109</v>
      </c>
      <c r="E587">
        <v>16</v>
      </c>
      <c r="F587">
        <v>40</v>
      </c>
      <c r="G587">
        <v>640</v>
      </c>
      <c r="H587">
        <v>0.09</v>
      </c>
      <c r="I587">
        <v>57.599999999999994</v>
      </c>
      <c r="J587" t="s">
        <v>112</v>
      </c>
    </row>
    <row r="588" spans="1:10" x14ac:dyDescent="0.25">
      <c r="A588" t="s">
        <v>712</v>
      </c>
      <c r="B588" s="18">
        <v>43305</v>
      </c>
      <c r="C588" t="s">
        <v>98</v>
      </c>
      <c r="D588" t="s">
        <v>106</v>
      </c>
      <c r="E588">
        <v>23</v>
      </c>
      <c r="F588">
        <v>40</v>
      </c>
      <c r="G588">
        <v>920</v>
      </c>
      <c r="H588">
        <v>0.06</v>
      </c>
      <c r="I588">
        <v>55.199999999999996</v>
      </c>
      <c r="J588" t="s">
        <v>113</v>
      </c>
    </row>
    <row r="589" spans="1:10" x14ac:dyDescent="0.25">
      <c r="A589" t="s">
        <v>713</v>
      </c>
      <c r="B589" s="18">
        <v>43305</v>
      </c>
      <c r="C589" t="s">
        <v>101</v>
      </c>
      <c r="D589" t="s">
        <v>106</v>
      </c>
      <c r="E589">
        <v>8</v>
      </c>
      <c r="F589">
        <v>230</v>
      </c>
      <c r="G589">
        <v>1840</v>
      </c>
      <c r="H589">
        <v>0.05</v>
      </c>
      <c r="I589">
        <v>92</v>
      </c>
      <c r="J589" t="s">
        <v>114</v>
      </c>
    </row>
    <row r="590" spans="1:10" x14ac:dyDescent="0.25">
      <c r="A590" t="s">
        <v>714</v>
      </c>
      <c r="B590" s="18">
        <v>43305</v>
      </c>
      <c r="C590" t="s">
        <v>108</v>
      </c>
      <c r="D590" t="s">
        <v>106</v>
      </c>
      <c r="E590">
        <v>14</v>
      </c>
      <c r="F590">
        <v>16</v>
      </c>
      <c r="G590">
        <v>224</v>
      </c>
      <c r="H590">
        <v>0.12</v>
      </c>
      <c r="I590">
        <v>26.88</v>
      </c>
      <c r="J590" t="s">
        <v>110</v>
      </c>
    </row>
    <row r="591" spans="1:10" x14ac:dyDescent="0.25">
      <c r="A591" t="s">
        <v>715</v>
      </c>
      <c r="B591" s="18">
        <v>43305</v>
      </c>
      <c r="C591" t="s">
        <v>95</v>
      </c>
      <c r="D591" t="s">
        <v>96</v>
      </c>
      <c r="E591">
        <v>17</v>
      </c>
      <c r="F591">
        <v>80</v>
      </c>
      <c r="G591">
        <v>1360</v>
      </c>
      <c r="H591">
        <v>0.09</v>
      </c>
      <c r="I591">
        <v>122.39999999999999</v>
      </c>
      <c r="J591" t="s">
        <v>112</v>
      </c>
    </row>
    <row r="592" spans="1:10" x14ac:dyDescent="0.25">
      <c r="A592" t="s">
        <v>716</v>
      </c>
      <c r="B592" s="18">
        <v>43305</v>
      </c>
      <c r="C592" t="s">
        <v>111</v>
      </c>
      <c r="D592" t="s">
        <v>104</v>
      </c>
      <c r="E592">
        <v>11</v>
      </c>
      <c r="F592">
        <v>150</v>
      </c>
      <c r="G592">
        <v>1650</v>
      </c>
      <c r="H592">
        <v>0.11</v>
      </c>
      <c r="I592">
        <v>181.5</v>
      </c>
      <c r="J592" t="s">
        <v>113</v>
      </c>
    </row>
    <row r="593" spans="1:10" x14ac:dyDescent="0.25">
      <c r="A593" t="s">
        <v>717</v>
      </c>
      <c r="B593" s="18">
        <v>43305</v>
      </c>
      <c r="C593" t="s">
        <v>98</v>
      </c>
      <c r="D593" t="s">
        <v>106</v>
      </c>
      <c r="E593">
        <v>15</v>
      </c>
      <c r="F593">
        <v>40</v>
      </c>
      <c r="G593">
        <v>600</v>
      </c>
      <c r="H593">
        <v>0.03</v>
      </c>
      <c r="I593">
        <v>18</v>
      </c>
      <c r="J593" t="s">
        <v>114</v>
      </c>
    </row>
    <row r="594" spans="1:10" x14ac:dyDescent="0.25">
      <c r="A594" t="s">
        <v>718</v>
      </c>
      <c r="B594" s="18">
        <v>43305</v>
      </c>
      <c r="C594" t="s">
        <v>95</v>
      </c>
      <c r="D594" t="s">
        <v>109</v>
      </c>
      <c r="E594">
        <v>9</v>
      </c>
      <c r="F594">
        <v>80</v>
      </c>
      <c r="G594">
        <v>720</v>
      </c>
      <c r="H594">
        <v>7.0000000000000007E-2</v>
      </c>
      <c r="I594">
        <v>50.400000000000006</v>
      </c>
      <c r="J594" t="s">
        <v>110</v>
      </c>
    </row>
    <row r="595" spans="1:10" x14ac:dyDescent="0.25">
      <c r="A595" t="s">
        <v>719</v>
      </c>
      <c r="B595" s="18">
        <v>43305</v>
      </c>
      <c r="C595" t="s">
        <v>101</v>
      </c>
      <c r="D595" t="s">
        <v>99</v>
      </c>
      <c r="E595">
        <v>22</v>
      </c>
      <c r="F595">
        <v>230</v>
      </c>
      <c r="G595">
        <v>5060</v>
      </c>
      <c r="H595">
        <v>0.04</v>
      </c>
      <c r="I595">
        <v>202.4</v>
      </c>
      <c r="J595" t="s">
        <v>112</v>
      </c>
    </row>
    <row r="596" spans="1:10" x14ac:dyDescent="0.25">
      <c r="A596" t="s">
        <v>720</v>
      </c>
      <c r="B596" s="18">
        <v>43305</v>
      </c>
      <c r="C596" t="s">
        <v>101</v>
      </c>
      <c r="D596" t="s">
        <v>99</v>
      </c>
      <c r="E596">
        <v>11</v>
      </c>
      <c r="F596">
        <v>230</v>
      </c>
      <c r="G596">
        <v>2530</v>
      </c>
      <c r="H596">
        <v>0.1</v>
      </c>
      <c r="I596">
        <v>253</v>
      </c>
      <c r="J596" t="s">
        <v>113</v>
      </c>
    </row>
    <row r="597" spans="1:10" x14ac:dyDescent="0.25">
      <c r="A597" t="s">
        <v>721</v>
      </c>
      <c r="B597" s="18">
        <v>43305</v>
      </c>
      <c r="C597" t="s">
        <v>98</v>
      </c>
      <c r="D597" t="s">
        <v>104</v>
      </c>
      <c r="E597">
        <v>11</v>
      </c>
      <c r="F597">
        <v>40</v>
      </c>
      <c r="G597">
        <v>440</v>
      </c>
      <c r="H597">
        <v>0.12</v>
      </c>
      <c r="I597">
        <v>52.8</v>
      </c>
      <c r="J597" t="s">
        <v>114</v>
      </c>
    </row>
    <row r="598" spans="1:10" x14ac:dyDescent="0.25">
      <c r="A598" t="s">
        <v>722</v>
      </c>
      <c r="B598" s="18">
        <v>43305</v>
      </c>
      <c r="C598" t="s">
        <v>98</v>
      </c>
      <c r="D598" t="s">
        <v>106</v>
      </c>
      <c r="E598">
        <v>9</v>
      </c>
      <c r="F598">
        <v>40</v>
      </c>
      <c r="G598">
        <v>360</v>
      </c>
      <c r="H598">
        <v>0.06</v>
      </c>
      <c r="I598">
        <v>21.599999999999998</v>
      </c>
      <c r="J598" t="s">
        <v>110</v>
      </c>
    </row>
    <row r="599" spans="1:10" x14ac:dyDescent="0.25">
      <c r="A599" t="s">
        <v>723</v>
      </c>
      <c r="B599" s="18">
        <v>43306</v>
      </c>
      <c r="C599" t="s">
        <v>98</v>
      </c>
      <c r="D599" t="s">
        <v>106</v>
      </c>
      <c r="E599">
        <v>13</v>
      </c>
      <c r="F599">
        <v>40</v>
      </c>
      <c r="G599">
        <v>520</v>
      </c>
      <c r="H599">
        <v>0.09</v>
      </c>
      <c r="I599">
        <v>46.8</v>
      </c>
      <c r="J599" t="s">
        <v>112</v>
      </c>
    </row>
    <row r="600" spans="1:10" x14ac:dyDescent="0.25">
      <c r="A600" t="s">
        <v>724</v>
      </c>
      <c r="B600" s="18">
        <v>43306</v>
      </c>
      <c r="C600" t="s">
        <v>98</v>
      </c>
      <c r="D600" t="s">
        <v>99</v>
      </c>
      <c r="E600">
        <v>4</v>
      </c>
      <c r="F600">
        <v>40</v>
      </c>
      <c r="G600">
        <v>160</v>
      </c>
      <c r="H600">
        <v>0.12</v>
      </c>
      <c r="I600">
        <v>19.2</v>
      </c>
      <c r="J600" t="s">
        <v>113</v>
      </c>
    </row>
    <row r="601" spans="1:10" x14ac:dyDescent="0.25">
      <c r="A601" t="s">
        <v>725</v>
      </c>
      <c r="B601" s="18">
        <v>43306</v>
      </c>
      <c r="C601" t="s">
        <v>111</v>
      </c>
      <c r="D601" t="s">
        <v>96</v>
      </c>
      <c r="E601">
        <v>22</v>
      </c>
      <c r="F601">
        <v>150</v>
      </c>
      <c r="G601">
        <v>3300</v>
      </c>
      <c r="H601">
        <v>0.05</v>
      </c>
      <c r="I601">
        <v>165</v>
      </c>
      <c r="J601" t="s">
        <v>114</v>
      </c>
    </row>
    <row r="602" spans="1:10" x14ac:dyDescent="0.25">
      <c r="A602" t="s">
        <v>726</v>
      </c>
      <c r="B602" s="18">
        <v>43306</v>
      </c>
      <c r="C602" t="s">
        <v>98</v>
      </c>
      <c r="D602" t="s">
        <v>109</v>
      </c>
      <c r="E602">
        <v>21</v>
      </c>
      <c r="F602">
        <v>40</v>
      </c>
      <c r="G602">
        <v>840</v>
      </c>
      <c r="H602">
        <v>0.01</v>
      </c>
      <c r="I602">
        <v>8.4</v>
      </c>
      <c r="J602" t="s">
        <v>110</v>
      </c>
    </row>
    <row r="603" spans="1:10" x14ac:dyDescent="0.25">
      <c r="A603" t="s">
        <v>727</v>
      </c>
      <c r="B603" s="18">
        <v>43306</v>
      </c>
      <c r="C603" t="s">
        <v>108</v>
      </c>
      <c r="D603" t="s">
        <v>96</v>
      </c>
      <c r="E603">
        <v>16</v>
      </c>
      <c r="F603">
        <v>16</v>
      </c>
      <c r="G603">
        <v>256</v>
      </c>
      <c r="H603">
        <v>0.03</v>
      </c>
      <c r="I603">
        <v>7.68</v>
      </c>
      <c r="J603" t="s">
        <v>112</v>
      </c>
    </row>
    <row r="604" spans="1:10" x14ac:dyDescent="0.25">
      <c r="A604" t="s">
        <v>728</v>
      </c>
      <c r="B604" s="18">
        <v>43306</v>
      </c>
      <c r="C604" t="s">
        <v>95</v>
      </c>
      <c r="D604" t="s">
        <v>106</v>
      </c>
      <c r="E604">
        <v>16</v>
      </c>
      <c r="F604">
        <v>80</v>
      </c>
      <c r="G604">
        <v>1280</v>
      </c>
      <c r="H604">
        <v>7.0000000000000007E-2</v>
      </c>
      <c r="I604">
        <v>89.600000000000009</v>
      </c>
      <c r="J604" t="s">
        <v>113</v>
      </c>
    </row>
    <row r="605" spans="1:10" x14ac:dyDescent="0.25">
      <c r="A605" t="s">
        <v>729</v>
      </c>
      <c r="B605" s="18">
        <v>43306</v>
      </c>
      <c r="C605" t="s">
        <v>95</v>
      </c>
      <c r="D605" t="s">
        <v>99</v>
      </c>
      <c r="E605">
        <v>15</v>
      </c>
      <c r="F605">
        <v>80</v>
      </c>
      <c r="G605">
        <v>1200</v>
      </c>
      <c r="H605">
        <v>0.12</v>
      </c>
      <c r="I605">
        <v>144</v>
      </c>
      <c r="J605" t="s">
        <v>114</v>
      </c>
    </row>
    <row r="606" spans="1:10" x14ac:dyDescent="0.25">
      <c r="A606" t="s">
        <v>730</v>
      </c>
      <c r="B606" s="18">
        <v>43306</v>
      </c>
      <c r="C606" t="s">
        <v>111</v>
      </c>
      <c r="D606" t="s">
        <v>96</v>
      </c>
      <c r="E606">
        <v>20</v>
      </c>
      <c r="F606">
        <v>150</v>
      </c>
      <c r="G606">
        <v>3000</v>
      </c>
      <c r="H606">
        <v>0.03</v>
      </c>
      <c r="I606">
        <v>90</v>
      </c>
      <c r="J606" t="s">
        <v>110</v>
      </c>
    </row>
    <row r="607" spans="1:10" x14ac:dyDescent="0.25">
      <c r="A607" t="s">
        <v>731</v>
      </c>
      <c r="B607" s="18">
        <v>43306</v>
      </c>
      <c r="C607" t="s">
        <v>98</v>
      </c>
      <c r="D607" t="s">
        <v>106</v>
      </c>
      <c r="E607">
        <v>13</v>
      </c>
      <c r="F607">
        <v>40</v>
      </c>
      <c r="G607">
        <v>520</v>
      </c>
      <c r="H607">
        <v>0.06</v>
      </c>
      <c r="I607">
        <v>31.2</v>
      </c>
      <c r="J607" t="s">
        <v>112</v>
      </c>
    </row>
    <row r="608" spans="1:10" x14ac:dyDescent="0.25">
      <c r="A608" t="s">
        <v>732</v>
      </c>
      <c r="B608" s="18">
        <v>43306</v>
      </c>
      <c r="C608" t="s">
        <v>108</v>
      </c>
      <c r="D608" t="s">
        <v>109</v>
      </c>
      <c r="E608">
        <v>3</v>
      </c>
      <c r="F608">
        <v>16</v>
      </c>
      <c r="G608">
        <v>48</v>
      </c>
      <c r="H608">
        <v>0.06</v>
      </c>
      <c r="I608">
        <v>2.88</v>
      </c>
      <c r="J608" t="s">
        <v>113</v>
      </c>
    </row>
    <row r="609" spans="1:10" x14ac:dyDescent="0.25">
      <c r="A609" t="s">
        <v>733</v>
      </c>
      <c r="B609" s="18">
        <v>43306</v>
      </c>
      <c r="C609" t="s">
        <v>108</v>
      </c>
      <c r="D609" t="s">
        <v>104</v>
      </c>
      <c r="E609">
        <v>11</v>
      </c>
      <c r="F609">
        <v>16</v>
      </c>
      <c r="G609">
        <v>176</v>
      </c>
      <c r="H609">
        <v>0.04</v>
      </c>
      <c r="I609">
        <v>7.04</v>
      </c>
      <c r="J609" t="s">
        <v>114</v>
      </c>
    </row>
    <row r="610" spans="1:10" x14ac:dyDescent="0.25">
      <c r="A610" t="s">
        <v>734</v>
      </c>
      <c r="B610" s="18">
        <v>43307</v>
      </c>
      <c r="C610" t="s">
        <v>98</v>
      </c>
      <c r="D610" t="s">
        <v>109</v>
      </c>
      <c r="E610">
        <v>16</v>
      </c>
      <c r="F610">
        <v>40</v>
      </c>
      <c r="G610">
        <v>640</v>
      </c>
      <c r="H610">
        <v>0.09</v>
      </c>
      <c r="I610">
        <v>57.599999999999994</v>
      </c>
      <c r="J610" t="s">
        <v>110</v>
      </c>
    </row>
    <row r="611" spans="1:10" x14ac:dyDescent="0.25">
      <c r="A611" t="s">
        <v>735</v>
      </c>
      <c r="B611" s="18">
        <v>43307</v>
      </c>
      <c r="C611" t="s">
        <v>98</v>
      </c>
      <c r="D611" t="s">
        <v>104</v>
      </c>
      <c r="E611">
        <v>4</v>
      </c>
      <c r="F611">
        <v>40</v>
      </c>
      <c r="G611">
        <v>160</v>
      </c>
      <c r="H611">
        <v>0.06</v>
      </c>
      <c r="I611">
        <v>9.6</v>
      </c>
      <c r="J611" t="s">
        <v>112</v>
      </c>
    </row>
    <row r="612" spans="1:10" x14ac:dyDescent="0.25">
      <c r="A612" t="s">
        <v>736</v>
      </c>
      <c r="B612" s="18">
        <v>43307</v>
      </c>
      <c r="C612" t="s">
        <v>98</v>
      </c>
      <c r="D612" t="s">
        <v>104</v>
      </c>
      <c r="E612">
        <v>20</v>
      </c>
      <c r="F612">
        <v>40</v>
      </c>
      <c r="G612">
        <v>800</v>
      </c>
      <c r="H612">
        <v>0.01</v>
      </c>
      <c r="I612">
        <v>8</v>
      </c>
      <c r="J612" t="s">
        <v>113</v>
      </c>
    </row>
    <row r="613" spans="1:10" x14ac:dyDescent="0.25">
      <c r="A613" t="s">
        <v>737</v>
      </c>
      <c r="B613" s="18">
        <v>43307</v>
      </c>
      <c r="C613" t="s">
        <v>98</v>
      </c>
      <c r="D613" t="s">
        <v>104</v>
      </c>
      <c r="E613">
        <v>4</v>
      </c>
      <c r="F613">
        <v>40</v>
      </c>
      <c r="G613">
        <v>160</v>
      </c>
      <c r="H613">
        <v>0.1</v>
      </c>
      <c r="I613">
        <v>16</v>
      </c>
      <c r="J613" t="s">
        <v>114</v>
      </c>
    </row>
    <row r="614" spans="1:10" x14ac:dyDescent="0.25">
      <c r="A614" t="s">
        <v>738</v>
      </c>
      <c r="B614" s="18">
        <v>43307</v>
      </c>
      <c r="C614" t="s">
        <v>95</v>
      </c>
      <c r="D614" t="s">
        <v>99</v>
      </c>
      <c r="E614">
        <v>14</v>
      </c>
      <c r="F614">
        <v>80</v>
      </c>
      <c r="G614">
        <v>1120</v>
      </c>
      <c r="H614">
        <v>0.06</v>
      </c>
      <c r="I614">
        <v>67.2</v>
      </c>
      <c r="J614" t="s">
        <v>110</v>
      </c>
    </row>
    <row r="615" spans="1:10" x14ac:dyDescent="0.25">
      <c r="A615" t="s">
        <v>739</v>
      </c>
      <c r="B615" s="18">
        <v>43307</v>
      </c>
      <c r="C615" t="s">
        <v>111</v>
      </c>
      <c r="D615" t="s">
        <v>99</v>
      </c>
      <c r="E615">
        <v>15</v>
      </c>
      <c r="F615">
        <v>150</v>
      </c>
      <c r="G615">
        <v>2250</v>
      </c>
      <c r="H615">
        <v>0.02</v>
      </c>
      <c r="I615">
        <v>45</v>
      </c>
      <c r="J615" t="s">
        <v>112</v>
      </c>
    </row>
    <row r="616" spans="1:10" x14ac:dyDescent="0.25">
      <c r="A616" t="s">
        <v>740</v>
      </c>
      <c r="B616" s="18">
        <v>43307</v>
      </c>
      <c r="C616" t="s">
        <v>95</v>
      </c>
      <c r="D616" t="s">
        <v>104</v>
      </c>
      <c r="E616">
        <v>14</v>
      </c>
      <c r="F616">
        <v>80</v>
      </c>
      <c r="G616">
        <v>1120</v>
      </c>
      <c r="H616">
        <v>0.1</v>
      </c>
      <c r="I616">
        <v>112</v>
      </c>
      <c r="J616" t="s">
        <v>113</v>
      </c>
    </row>
    <row r="617" spans="1:10" x14ac:dyDescent="0.25">
      <c r="A617" t="s">
        <v>741</v>
      </c>
      <c r="B617" s="18">
        <v>43307</v>
      </c>
      <c r="C617" t="s">
        <v>111</v>
      </c>
      <c r="D617" t="s">
        <v>96</v>
      </c>
      <c r="E617">
        <v>20</v>
      </c>
      <c r="F617">
        <v>150</v>
      </c>
      <c r="G617">
        <v>3000</v>
      </c>
      <c r="H617">
        <v>0.04</v>
      </c>
      <c r="I617">
        <v>120</v>
      </c>
      <c r="J617" t="s">
        <v>114</v>
      </c>
    </row>
    <row r="618" spans="1:10" x14ac:dyDescent="0.25">
      <c r="A618" t="s">
        <v>742</v>
      </c>
      <c r="B618" s="18">
        <v>43307</v>
      </c>
      <c r="C618" t="s">
        <v>95</v>
      </c>
      <c r="D618" t="s">
        <v>109</v>
      </c>
      <c r="E618">
        <v>22</v>
      </c>
      <c r="F618">
        <v>80</v>
      </c>
      <c r="G618">
        <v>1760</v>
      </c>
      <c r="H618">
        <v>0.1</v>
      </c>
      <c r="I618">
        <v>176</v>
      </c>
      <c r="J618" t="s">
        <v>110</v>
      </c>
    </row>
    <row r="619" spans="1:10" x14ac:dyDescent="0.25">
      <c r="A619" t="s">
        <v>743</v>
      </c>
      <c r="B619" s="18">
        <v>43307</v>
      </c>
      <c r="C619" t="s">
        <v>101</v>
      </c>
      <c r="D619" t="s">
        <v>109</v>
      </c>
      <c r="E619">
        <v>20</v>
      </c>
      <c r="F619">
        <v>230</v>
      </c>
      <c r="G619">
        <v>4600</v>
      </c>
      <c r="H619">
        <v>0.09</v>
      </c>
      <c r="I619">
        <v>414</v>
      </c>
      <c r="J619" t="s">
        <v>112</v>
      </c>
    </row>
    <row r="620" spans="1:10" x14ac:dyDescent="0.25">
      <c r="A620" t="s">
        <v>744</v>
      </c>
      <c r="B620" s="18">
        <v>43307</v>
      </c>
      <c r="C620" t="s">
        <v>101</v>
      </c>
      <c r="D620" t="s">
        <v>104</v>
      </c>
      <c r="E620">
        <v>12</v>
      </c>
      <c r="F620">
        <v>230</v>
      </c>
      <c r="G620">
        <v>2760</v>
      </c>
      <c r="H620">
        <v>0.03</v>
      </c>
      <c r="I620">
        <v>82.8</v>
      </c>
      <c r="J620" t="s">
        <v>113</v>
      </c>
    </row>
    <row r="621" spans="1:10" x14ac:dyDescent="0.25">
      <c r="A621" t="s">
        <v>745</v>
      </c>
      <c r="B621" s="18">
        <v>43308</v>
      </c>
      <c r="C621" t="s">
        <v>95</v>
      </c>
      <c r="D621" t="s">
        <v>96</v>
      </c>
      <c r="E621">
        <v>21</v>
      </c>
      <c r="F621">
        <v>80</v>
      </c>
      <c r="G621">
        <v>1680</v>
      </c>
      <c r="H621">
        <v>0.04</v>
      </c>
      <c r="I621">
        <v>67.2</v>
      </c>
      <c r="J621" t="s">
        <v>114</v>
      </c>
    </row>
    <row r="622" spans="1:10" x14ac:dyDescent="0.25">
      <c r="A622" t="s">
        <v>746</v>
      </c>
      <c r="B622" s="18">
        <v>43308</v>
      </c>
      <c r="C622" t="s">
        <v>98</v>
      </c>
      <c r="D622" t="s">
        <v>99</v>
      </c>
      <c r="E622">
        <v>15</v>
      </c>
      <c r="F622">
        <v>40</v>
      </c>
      <c r="G622">
        <v>600</v>
      </c>
      <c r="H622">
        <v>0.04</v>
      </c>
      <c r="I622">
        <v>24</v>
      </c>
      <c r="J622" t="s">
        <v>110</v>
      </c>
    </row>
    <row r="623" spans="1:10" x14ac:dyDescent="0.25">
      <c r="A623" t="s">
        <v>747</v>
      </c>
      <c r="B623" s="18">
        <v>43308</v>
      </c>
      <c r="C623" t="s">
        <v>95</v>
      </c>
      <c r="D623" t="s">
        <v>106</v>
      </c>
      <c r="E623">
        <v>16</v>
      </c>
      <c r="F623">
        <v>80</v>
      </c>
      <c r="G623">
        <v>1280</v>
      </c>
      <c r="H623">
        <v>0.1</v>
      </c>
      <c r="I623">
        <v>128</v>
      </c>
      <c r="J623" t="s">
        <v>112</v>
      </c>
    </row>
    <row r="624" spans="1:10" x14ac:dyDescent="0.25">
      <c r="A624" t="s">
        <v>748</v>
      </c>
      <c r="B624" s="18">
        <v>43308</v>
      </c>
      <c r="C624" t="s">
        <v>101</v>
      </c>
      <c r="D624" t="s">
        <v>109</v>
      </c>
      <c r="E624">
        <v>17</v>
      </c>
      <c r="F624">
        <v>230</v>
      </c>
      <c r="G624">
        <v>3910</v>
      </c>
      <c r="H624">
        <v>0.11</v>
      </c>
      <c r="I624">
        <v>430.1</v>
      </c>
      <c r="J624" t="s">
        <v>113</v>
      </c>
    </row>
    <row r="625" spans="1:10" x14ac:dyDescent="0.25">
      <c r="A625" t="s">
        <v>749</v>
      </c>
      <c r="B625" s="18">
        <v>43308</v>
      </c>
      <c r="C625" t="s">
        <v>101</v>
      </c>
      <c r="D625" t="s">
        <v>109</v>
      </c>
      <c r="E625">
        <v>5</v>
      </c>
      <c r="F625">
        <v>230</v>
      </c>
      <c r="G625">
        <v>1150</v>
      </c>
      <c r="H625">
        <v>0.12</v>
      </c>
      <c r="I625">
        <v>138</v>
      </c>
      <c r="J625" t="s">
        <v>114</v>
      </c>
    </row>
    <row r="626" spans="1:10" x14ac:dyDescent="0.25">
      <c r="A626" t="s">
        <v>750</v>
      </c>
      <c r="B626" s="18">
        <v>43308</v>
      </c>
      <c r="C626" t="s">
        <v>108</v>
      </c>
      <c r="D626" t="s">
        <v>96</v>
      </c>
      <c r="E626">
        <v>20</v>
      </c>
      <c r="F626">
        <v>16</v>
      </c>
      <c r="G626">
        <v>320</v>
      </c>
      <c r="H626">
        <v>0.01</v>
      </c>
      <c r="I626">
        <v>3.2</v>
      </c>
      <c r="J626" t="s">
        <v>110</v>
      </c>
    </row>
    <row r="627" spans="1:10" x14ac:dyDescent="0.25">
      <c r="A627" t="s">
        <v>751</v>
      </c>
      <c r="B627" s="18">
        <v>43308</v>
      </c>
      <c r="C627" t="s">
        <v>101</v>
      </c>
      <c r="D627" t="s">
        <v>96</v>
      </c>
      <c r="E627">
        <v>5</v>
      </c>
      <c r="F627">
        <v>230</v>
      </c>
      <c r="G627">
        <v>1150</v>
      </c>
      <c r="H627">
        <v>0.1</v>
      </c>
      <c r="I627">
        <v>115</v>
      </c>
      <c r="J627" t="s">
        <v>112</v>
      </c>
    </row>
    <row r="628" spans="1:10" x14ac:dyDescent="0.25">
      <c r="A628" t="s">
        <v>752</v>
      </c>
      <c r="B628" s="18">
        <v>43308</v>
      </c>
      <c r="C628" t="s">
        <v>98</v>
      </c>
      <c r="D628" t="s">
        <v>99</v>
      </c>
      <c r="E628">
        <v>8</v>
      </c>
      <c r="F628">
        <v>40</v>
      </c>
      <c r="G628">
        <v>320</v>
      </c>
      <c r="H628">
        <v>0.09</v>
      </c>
      <c r="I628">
        <v>28.799999999999997</v>
      </c>
      <c r="J628" t="s">
        <v>113</v>
      </c>
    </row>
    <row r="629" spans="1:10" x14ac:dyDescent="0.25">
      <c r="A629" t="s">
        <v>753</v>
      </c>
      <c r="B629" s="18">
        <v>43308</v>
      </c>
      <c r="C629" t="s">
        <v>108</v>
      </c>
      <c r="D629" t="s">
        <v>96</v>
      </c>
      <c r="E629">
        <v>7</v>
      </c>
      <c r="F629">
        <v>16</v>
      </c>
      <c r="G629">
        <v>112</v>
      </c>
      <c r="H629">
        <v>0.02</v>
      </c>
      <c r="I629">
        <v>2.2400000000000002</v>
      </c>
      <c r="J629" t="s">
        <v>114</v>
      </c>
    </row>
    <row r="630" spans="1:10" x14ac:dyDescent="0.25">
      <c r="A630" t="s">
        <v>754</v>
      </c>
      <c r="B630" s="18">
        <v>43308</v>
      </c>
      <c r="C630" t="s">
        <v>111</v>
      </c>
      <c r="D630" t="s">
        <v>106</v>
      </c>
      <c r="E630">
        <v>15</v>
      </c>
      <c r="F630">
        <v>150</v>
      </c>
      <c r="G630">
        <v>2250</v>
      </c>
      <c r="H630">
        <v>0.08</v>
      </c>
      <c r="I630">
        <v>180</v>
      </c>
      <c r="J630" t="s">
        <v>110</v>
      </c>
    </row>
    <row r="631" spans="1:10" x14ac:dyDescent="0.25">
      <c r="A631" t="s">
        <v>755</v>
      </c>
      <c r="B631" s="18">
        <v>43308</v>
      </c>
      <c r="C631" t="s">
        <v>101</v>
      </c>
      <c r="D631" t="s">
        <v>109</v>
      </c>
      <c r="E631">
        <v>20</v>
      </c>
      <c r="F631">
        <v>230</v>
      </c>
      <c r="G631">
        <v>4600</v>
      </c>
      <c r="H631">
        <v>0.11</v>
      </c>
      <c r="I631">
        <v>506</v>
      </c>
      <c r="J631" t="s">
        <v>112</v>
      </c>
    </row>
    <row r="632" spans="1:10" x14ac:dyDescent="0.25">
      <c r="A632" t="s">
        <v>756</v>
      </c>
      <c r="B632" s="18">
        <v>43308</v>
      </c>
      <c r="C632" t="s">
        <v>108</v>
      </c>
      <c r="D632" t="s">
        <v>99</v>
      </c>
      <c r="E632">
        <v>4</v>
      </c>
      <c r="F632">
        <v>16</v>
      </c>
      <c r="G632">
        <v>64</v>
      </c>
      <c r="H632">
        <v>0.09</v>
      </c>
      <c r="I632">
        <v>5.76</v>
      </c>
      <c r="J632" t="s">
        <v>113</v>
      </c>
    </row>
    <row r="633" spans="1:10" x14ac:dyDescent="0.25">
      <c r="A633" t="s">
        <v>757</v>
      </c>
      <c r="B633" s="18">
        <v>43308</v>
      </c>
      <c r="C633" t="s">
        <v>98</v>
      </c>
      <c r="D633" t="s">
        <v>106</v>
      </c>
      <c r="E633">
        <v>11</v>
      </c>
      <c r="F633">
        <v>40</v>
      </c>
      <c r="G633">
        <v>440</v>
      </c>
      <c r="H633">
        <v>0.09</v>
      </c>
      <c r="I633">
        <v>39.6</v>
      </c>
      <c r="J633" t="s">
        <v>114</v>
      </c>
    </row>
    <row r="634" spans="1:10" x14ac:dyDescent="0.25">
      <c r="A634" t="s">
        <v>758</v>
      </c>
      <c r="B634" s="18">
        <v>43308</v>
      </c>
      <c r="C634" t="s">
        <v>111</v>
      </c>
      <c r="D634" t="s">
        <v>104</v>
      </c>
      <c r="E634">
        <v>15</v>
      </c>
      <c r="F634">
        <v>150</v>
      </c>
      <c r="G634">
        <v>2250</v>
      </c>
      <c r="H634">
        <v>0.05</v>
      </c>
      <c r="I634">
        <v>112.5</v>
      </c>
      <c r="J634" t="s">
        <v>110</v>
      </c>
    </row>
    <row r="635" spans="1:10" x14ac:dyDescent="0.25">
      <c r="A635" t="s">
        <v>759</v>
      </c>
      <c r="B635" s="18">
        <v>43308</v>
      </c>
      <c r="C635" t="s">
        <v>101</v>
      </c>
      <c r="D635" t="s">
        <v>104</v>
      </c>
      <c r="E635">
        <v>5</v>
      </c>
      <c r="F635">
        <v>230</v>
      </c>
      <c r="G635">
        <v>1150</v>
      </c>
      <c r="H635">
        <v>0.01</v>
      </c>
      <c r="I635">
        <v>11.5</v>
      </c>
      <c r="J635" t="s">
        <v>112</v>
      </c>
    </row>
    <row r="636" spans="1:10" x14ac:dyDescent="0.25">
      <c r="A636" t="s">
        <v>760</v>
      </c>
      <c r="B636" s="18">
        <v>43308</v>
      </c>
      <c r="C636" t="s">
        <v>101</v>
      </c>
      <c r="D636" t="s">
        <v>104</v>
      </c>
      <c r="E636">
        <v>14</v>
      </c>
      <c r="F636">
        <v>230</v>
      </c>
      <c r="G636">
        <v>3220</v>
      </c>
      <c r="H636">
        <v>0.03</v>
      </c>
      <c r="I636">
        <v>96.6</v>
      </c>
      <c r="J636" t="s">
        <v>113</v>
      </c>
    </row>
    <row r="637" spans="1:10" x14ac:dyDescent="0.25">
      <c r="A637" t="s">
        <v>761</v>
      </c>
      <c r="B637" s="18">
        <v>43308</v>
      </c>
      <c r="C637" t="s">
        <v>98</v>
      </c>
      <c r="D637" t="s">
        <v>109</v>
      </c>
      <c r="E637">
        <v>23</v>
      </c>
      <c r="F637">
        <v>40</v>
      </c>
      <c r="G637">
        <v>920</v>
      </c>
      <c r="H637">
        <v>0.05</v>
      </c>
      <c r="I637">
        <v>46</v>
      </c>
      <c r="J637" t="s">
        <v>114</v>
      </c>
    </row>
    <row r="638" spans="1:10" x14ac:dyDescent="0.25">
      <c r="A638" t="s">
        <v>762</v>
      </c>
      <c r="B638" s="18">
        <v>43308</v>
      </c>
      <c r="C638" t="s">
        <v>95</v>
      </c>
      <c r="D638" t="s">
        <v>106</v>
      </c>
      <c r="E638">
        <v>22</v>
      </c>
      <c r="F638">
        <v>80</v>
      </c>
      <c r="G638">
        <v>1760</v>
      </c>
      <c r="H638">
        <v>0.03</v>
      </c>
      <c r="I638">
        <v>52.8</v>
      </c>
      <c r="J638" t="s">
        <v>110</v>
      </c>
    </row>
    <row r="639" spans="1:10" x14ac:dyDescent="0.25">
      <c r="A639" t="s">
        <v>763</v>
      </c>
      <c r="B639" s="18">
        <v>43309</v>
      </c>
      <c r="C639" t="s">
        <v>101</v>
      </c>
      <c r="D639" t="s">
        <v>104</v>
      </c>
      <c r="E639">
        <v>20</v>
      </c>
      <c r="F639">
        <v>230</v>
      </c>
      <c r="G639">
        <v>4600</v>
      </c>
      <c r="H639">
        <v>0.06</v>
      </c>
      <c r="I639">
        <v>276</v>
      </c>
      <c r="J639" t="s">
        <v>112</v>
      </c>
    </row>
    <row r="640" spans="1:10" x14ac:dyDescent="0.25">
      <c r="A640" t="s">
        <v>764</v>
      </c>
      <c r="B640" s="18">
        <v>43309</v>
      </c>
      <c r="C640" t="s">
        <v>101</v>
      </c>
      <c r="D640" t="s">
        <v>99</v>
      </c>
      <c r="E640">
        <v>15</v>
      </c>
      <c r="F640">
        <v>230</v>
      </c>
      <c r="G640">
        <v>3450</v>
      </c>
      <c r="H640">
        <v>0.09</v>
      </c>
      <c r="I640">
        <v>310.5</v>
      </c>
      <c r="J640" t="s">
        <v>113</v>
      </c>
    </row>
    <row r="641" spans="1:10" x14ac:dyDescent="0.25">
      <c r="A641" t="s">
        <v>765</v>
      </c>
      <c r="B641" s="18">
        <v>43309</v>
      </c>
      <c r="C641" t="s">
        <v>111</v>
      </c>
      <c r="D641" t="s">
        <v>104</v>
      </c>
      <c r="E641">
        <v>18</v>
      </c>
      <c r="F641">
        <v>150</v>
      </c>
      <c r="G641">
        <v>2700</v>
      </c>
      <c r="H641">
        <v>0.06</v>
      </c>
      <c r="I641">
        <v>162</v>
      </c>
      <c r="J641" t="s">
        <v>114</v>
      </c>
    </row>
    <row r="642" spans="1:10" x14ac:dyDescent="0.25">
      <c r="A642" t="s">
        <v>766</v>
      </c>
      <c r="B642" s="18">
        <v>43309</v>
      </c>
      <c r="C642" t="s">
        <v>101</v>
      </c>
      <c r="D642" t="s">
        <v>96</v>
      </c>
      <c r="E642">
        <v>3</v>
      </c>
      <c r="F642">
        <v>230</v>
      </c>
      <c r="G642">
        <v>690</v>
      </c>
      <c r="H642">
        <v>0.11</v>
      </c>
      <c r="I642">
        <v>75.900000000000006</v>
      </c>
      <c r="J642" t="s">
        <v>110</v>
      </c>
    </row>
    <row r="643" spans="1:10" x14ac:dyDescent="0.25">
      <c r="A643" t="s">
        <v>767</v>
      </c>
      <c r="B643" s="18">
        <v>43309</v>
      </c>
      <c r="C643" t="s">
        <v>111</v>
      </c>
      <c r="D643" t="s">
        <v>109</v>
      </c>
      <c r="E643">
        <v>11</v>
      </c>
      <c r="F643">
        <v>150</v>
      </c>
      <c r="G643">
        <v>1650</v>
      </c>
      <c r="H643">
        <v>0.09</v>
      </c>
      <c r="I643">
        <v>148.5</v>
      </c>
      <c r="J643" t="s">
        <v>112</v>
      </c>
    </row>
    <row r="644" spans="1:10" x14ac:dyDescent="0.25">
      <c r="A644" t="s">
        <v>768</v>
      </c>
      <c r="B644" s="18">
        <v>43309</v>
      </c>
      <c r="C644" t="s">
        <v>101</v>
      </c>
      <c r="D644" t="s">
        <v>96</v>
      </c>
      <c r="E644">
        <v>11</v>
      </c>
      <c r="F644">
        <v>230</v>
      </c>
      <c r="G644">
        <v>2530</v>
      </c>
      <c r="H644">
        <v>0.02</v>
      </c>
      <c r="I644">
        <v>50.6</v>
      </c>
      <c r="J644" t="s">
        <v>113</v>
      </c>
    </row>
    <row r="645" spans="1:10" x14ac:dyDescent="0.25">
      <c r="A645" t="s">
        <v>769</v>
      </c>
      <c r="B645" s="18">
        <v>43309</v>
      </c>
      <c r="C645" t="s">
        <v>101</v>
      </c>
      <c r="D645" t="s">
        <v>109</v>
      </c>
      <c r="E645">
        <v>13</v>
      </c>
      <c r="F645">
        <v>230</v>
      </c>
      <c r="G645">
        <v>2990</v>
      </c>
      <c r="H645">
        <v>0.06</v>
      </c>
      <c r="I645">
        <v>179.4</v>
      </c>
      <c r="J645" t="s">
        <v>114</v>
      </c>
    </row>
    <row r="646" spans="1:10" x14ac:dyDescent="0.25">
      <c r="A646" t="s">
        <v>770</v>
      </c>
      <c r="B646" s="18">
        <v>43310</v>
      </c>
      <c r="C646" t="s">
        <v>95</v>
      </c>
      <c r="D646" t="s">
        <v>106</v>
      </c>
      <c r="E646">
        <v>11</v>
      </c>
      <c r="F646">
        <v>80</v>
      </c>
      <c r="G646">
        <v>880</v>
      </c>
      <c r="H646">
        <v>0.01</v>
      </c>
      <c r="I646">
        <v>8.8000000000000007</v>
      </c>
      <c r="J646" t="s">
        <v>110</v>
      </c>
    </row>
    <row r="647" spans="1:10" x14ac:dyDescent="0.25">
      <c r="A647" t="s">
        <v>771</v>
      </c>
      <c r="B647" s="18">
        <v>43310</v>
      </c>
      <c r="C647" t="s">
        <v>95</v>
      </c>
      <c r="D647" t="s">
        <v>109</v>
      </c>
      <c r="E647">
        <v>17</v>
      </c>
      <c r="F647">
        <v>80</v>
      </c>
      <c r="G647">
        <v>1360</v>
      </c>
      <c r="H647">
        <v>7.0000000000000007E-2</v>
      </c>
      <c r="I647">
        <v>95.2</v>
      </c>
      <c r="J647" t="s">
        <v>112</v>
      </c>
    </row>
    <row r="648" spans="1:10" x14ac:dyDescent="0.25">
      <c r="A648" t="s">
        <v>772</v>
      </c>
      <c r="B648" s="18">
        <v>43310</v>
      </c>
      <c r="C648" t="s">
        <v>111</v>
      </c>
      <c r="D648" t="s">
        <v>109</v>
      </c>
      <c r="E648">
        <v>15</v>
      </c>
      <c r="F648">
        <v>150</v>
      </c>
      <c r="G648">
        <v>2250</v>
      </c>
      <c r="H648">
        <v>7.0000000000000007E-2</v>
      </c>
      <c r="I648">
        <v>157.50000000000003</v>
      </c>
      <c r="J648" t="s">
        <v>113</v>
      </c>
    </row>
    <row r="649" spans="1:10" x14ac:dyDescent="0.25">
      <c r="A649" t="s">
        <v>773</v>
      </c>
      <c r="B649" s="18">
        <v>43310</v>
      </c>
      <c r="C649" t="s">
        <v>108</v>
      </c>
      <c r="D649" t="s">
        <v>109</v>
      </c>
      <c r="E649">
        <v>14</v>
      </c>
      <c r="F649">
        <v>16</v>
      </c>
      <c r="G649">
        <v>224</v>
      </c>
      <c r="H649">
        <v>0.06</v>
      </c>
      <c r="I649">
        <v>13.44</v>
      </c>
      <c r="J649" t="s">
        <v>114</v>
      </c>
    </row>
    <row r="650" spans="1:10" x14ac:dyDescent="0.25">
      <c r="A650" t="s">
        <v>774</v>
      </c>
      <c r="B650" s="18">
        <v>43310</v>
      </c>
      <c r="C650" t="s">
        <v>108</v>
      </c>
      <c r="D650" t="s">
        <v>99</v>
      </c>
      <c r="E650">
        <v>4</v>
      </c>
      <c r="F650">
        <v>16</v>
      </c>
      <c r="G650">
        <v>64</v>
      </c>
      <c r="H650">
        <v>7.0000000000000007E-2</v>
      </c>
      <c r="I650">
        <v>4.4800000000000004</v>
      </c>
      <c r="J650" t="s">
        <v>110</v>
      </c>
    </row>
    <row r="651" spans="1:10" x14ac:dyDescent="0.25">
      <c r="A651" t="s">
        <v>775</v>
      </c>
      <c r="B651" s="18">
        <v>43310</v>
      </c>
      <c r="C651" t="s">
        <v>111</v>
      </c>
      <c r="D651" t="s">
        <v>109</v>
      </c>
      <c r="E651">
        <v>23</v>
      </c>
      <c r="F651">
        <v>150</v>
      </c>
      <c r="G651">
        <v>3450</v>
      </c>
      <c r="H651">
        <v>0.08</v>
      </c>
      <c r="I651">
        <v>276</v>
      </c>
      <c r="J651" t="s">
        <v>112</v>
      </c>
    </row>
    <row r="652" spans="1:10" x14ac:dyDescent="0.25">
      <c r="A652" t="s">
        <v>776</v>
      </c>
      <c r="B652" s="18">
        <v>43310</v>
      </c>
      <c r="C652" t="s">
        <v>95</v>
      </c>
      <c r="D652" t="s">
        <v>104</v>
      </c>
      <c r="E652">
        <v>10</v>
      </c>
      <c r="F652">
        <v>80</v>
      </c>
      <c r="G652">
        <v>800</v>
      </c>
      <c r="H652">
        <v>0.11</v>
      </c>
      <c r="I652">
        <v>88</v>
      </c>
      <c r="J652" t="s">
        <v>113</v>
      </c>
    </row>
    <row r="653" spans="1:10" x14ac:dyDescent="0.25">
      <c r="A653" t="s">
        <v>777</v>
      </c>
      <c r="B653" s="18">
        <v>43310</v>
      </c>
      <c r="C653" t="s">
        <v>101</v>
      </c>
      <c r="D653" t="s">
        <v>104</v>
      </c>
      <c r="E653">
        <v>7</v>
      </c>
      <c r="F653">
        <v>230</v>
      </c>
      <c r="G653">
        <v>1610</v>
      </c>
      <c r="H653">
        <v>0.01</v>
      </c>
      <c r="I653">
        <v>16.100000000000001</v>
      </c>
      <c r="J653" t="s">
        <v>114</v>
      </c>
    </row>
    <row r="654" spans="1:10" x14ac:dyDescent="0.25">
      <c r="A654" t="s">
        <v>778</v>
      </c>
      <c r="B654" s="18">
        <v>43310</v>
      </c>
      <c r="C654" t="s">
        <v>101</v>
      </c>
      <c r="D654" t="s">
        <v>96</v>
      </c>
      <c r="E654">
        <v>16</v>
      </c>
      <c r="F654">
        <v>230</v>
      </c>
      <c r="G654">
        <v>3680</v>
      </c>
      <c r="H654">
        <v>7.0000000000000007E-2</v>
      </c>
      <c r="I654">
        <v>257.60000000000002</v>
      </c>
      <c r="J654" t="s">
        <v>110</v>
      </c>
    </row>
    <row r="655" spans="1:10" x14ac:dyDescent="0.25">
      <c r="A655" t="s">
        <v>779</v>
      </c>
      <c r="B655" s="18">
        <v>43310</v>
      </c>
      <c r="C655" t="s">
        <v>108</v>
      </c>
      <c r="D655" t="s">
        <v>109</v>
      </c>
      <c r="E655">
        <v>17</v>
      </c>
      <c r="F655">
        <v>16</v>
      </c>
      <c r="G655">
        <v>272</v>
      </c>
      <c r="H655">
        <v>0.08</v>
      </c>
      <c r="I655">
        <v>21.76</v>
      </c>
      <c r="J655" t="s">
        <v>112</v>
      </c>
    </row>
    <row r="656" spans="1:10" x14ac:dyDescent="0.25">
      <c r="A656" t="s">
        <v>780</v>
      </c>
      <c r="B656" s="18">
        <v>43311</v>
      </c>
      <c r="C656" t="s">
        <v>95</v>
      </c>
      <c r="D656" t="s">
        <v>109</v>
      </c>
      <c r="E656">
        <v>6</v>
      </c>
      <c r="F656">
        <v>80</v>
      </c>
      <c r="G656">
        <v>480</v>
      </c>
      <c r="H656">
        <v>0.09</v>
      </c>
      <c r="I656">
        <v>43.199999999999996</v>
      </c>
      <c r="J656" t="s">
        <v>113</v>
      </c>
    </row>
    <row r="657" spans="1:10" x14ac:dyDescent="0.25">
      <c r="A657" t="s">
        <v>781</v>
      </c>
      <c r="B657" s="18">
        <v>43311</v>
      </c>
      <c r="C657" t="s">
        <v>111</v>
      </c>
      <c r="D657" t="s">
        <v>104</v>
      </c>
      <c r="E657">
        <v>22</v>
      </c>
      <c r="F657">
        <v>150</v>
      </c>
      <c r="G657">
        <v>3300</v>
      </c>
      <c r="H657">
        <v>0.04</v>
      </c>
      <c r="I657">
        <v>132</v>
      </c>
      <c r="J657" t="s">
        <v>114</v>
      </c>
    </row>
    <row r="658" spans="1:10" x14ac:dyDescent="0.25">
      <c r="A658" t="s">
        <v>782</v>
      </c>
      <c r="B658" s="18">
        <v>43311</v>
      </c>
      <c r="C658" t="s">
        <v>98</v>
      </c>
      <c r="D658" t="s">
        <v>109</v>
      </c>
      <c r="E658">
        <v>20</v>
      </c>
      <c r="F658">
        <v>40</v>
      </c>
      <c r="G658">
        <v>800</v>
      </c>
      <c r="H658">
        <v>0.03</v>
      </c>
      <c r="I658">
        <v>24</v>
      </c>
      <c r="J658" t="s">
        <v>110</v>
      </c>
    </row>
    <row r="659" spans="1:10" x14ac:dyDescent="0.25">
      <c r="A659" t="s">
        <v>783</v>
      </c>
      <c r="B659" s="18">
        <v>43311</v>
      </c>
      <c r="C659" t="s">
        <v>111</v>
      </c>
      <c r="D659" t="s">
        <v>99</v>
      </c>
      <c r="E659">
        <v>16</v>
      </c>
      <c r="F659">
        <v>150</v>
      </c>
      <c r="G659">
        <v>2400</v>
      </c>
      <c r="H659">
        <v>0.08</v>
      </c>
      <c r="I659">
        <v>192</v>
      </c>
      <c r="J659" t="s">
        <v>112</v>
      </c>
    </row>
    <row r="660" spans="1:10" x14ac:dyDescent="0.25">
      <c r="A660" t="s">
        <v>784</v>
      </c>
      <c r="B660" s="18">
        <v>43311</v>
      </c>
      <c r="C660" t="s">
        <v>95</v>
      </c>
      <c r="D660" t="s">
        <v>99</v>
      </c>
      <c r="E660">
        <v>5</v>
      </c>
      <c r="F660">
        <v>80</v>
      </c>
      <c r="G660">
        <v>400</v>
      </c>
      <c r="H660">
        <v>7.0000000000000007E-2</v>
      </c>
      <c r="I660">
        <v>28.000000000000004</v>
      </c>
      <c r="J660" t="s">
        <v>113</v>
      </c>
    </row>
    <row r="661" spans="1:10" x14ac:dyDescent="0.25">
      <c r="A661" t="s">
        <v>785</v>
      </c>
      <c r="B661" s="18">
        <v>43311</v>
      </c>
      <c r="C661" t="s">
        <v>111</v>
      </c>
      <c r="D661" t="s">
        <v>106</v>
      </c>
      <c r="E661">
        <v>6</v>
      </c>
      <c r="F661">
        <v>150</v>
      </c>
      <c r="G661">
        <v>900</v>
      </c>
      <c r="H661">
        <v>0.03</v>
      </c>
      <c r="I661">
        <v>27</v>
      </c>
      <c r="J661" t="s">
        <v>114</v>
      </c>
    </row>
    <row r="662" spans="1:10" x14ac:dyDescent="0.25">
      <c r="A662" t="s">
        <v>786</v>
      </c>
      <c r="B662" s="18">
        <v>43312</v>
      </c>
      <c r="C662" t="s">
        <v>95</v>
      </c>
      <c r="D662" t="s">
        <v>99</v>
      </c>
      <c r="E662">
        <v>9</v>
      </c>
      <c r="F662">
        <v>80</v>
      </c>
      <c r="G662">
        <v>720</v>
      </c>
      <c r="H662">
        <v>0.03</v>
      </c>
      <c r="I662">
        <v>21.599999999999998</v>
      </c>
      <c r="J662" t="s">
        <v>110</v>
      </c>
    </row>
    <row r="663" spans="1:10" x14ac:dyDescent="0.25">
      <c r="A663" t="s">
        <v>787</v>
      </c>
      <c r="B663" s="18">
        <v>43312</v>
      </c>
      <c r="C663" t="s">
        <v>95</v>
      </c>
      <c r="D663" t="s">
        <v>96</v>
      </c>
      <c r="E663">
        <v>8</v>
      </c>
      <c r="F663">
        <v>80</v>
      </c>
      <c r="G663">
        <v>640</v>
      </c>
      <c r="H663">
        <v>0.08</v>
      </c>
      <c r="I663">
        <v>51.2</v>
      </c>
      <c r="J663" t="s">
        <v>112</v>
      </c>
    </row>
    <row r="664" spans="1:10" x14ac:dyDescent="0.25">
      <c r="A664" t="s">
        <v>788</v>
      </c>
      <c r="B664" s="18">
        <v>43312</v>
      </c>
      <c r="C664" t="s">
        <v>101</v>
      </c>
      <c r="D664" t="s">
        <v>106</v>
      </c>
      <c r="E664">
        <v>8</v>
      </c>
      <c r="F664">
        <v>230</v>
      </c>
      <c r="G664">
        <v>1840</v>
      </c>
      <c r="H664">
        <v>0.01</v>
      </c>
      <c r="I664">
        <v>18.400000000000002</v>
      </c>
      <c r="J664" t="s">
        <v>113</v>
      </c>
    </row>
    <row r="665" spans="1:10" x14ac:dyDescent="0.25">
      <c r="A665" t="s">
        <v>789</v>
      </c>
      <c r="B665" s="18">
        <v>43312</v>
      </c>
      <c r="C665" t="s">
        <v>108</v>
      </c>
      <c r="D665" t="s">
        <v>109</v>
      </c>
      <c r="E665">
        <v>12</v>
      </c>
      <c r="F665">
        <v>16</v>
      </c>
      <c r="G665">
        <v>192</v>
      </c>
      <c r="H665">
        <v>0.04</v>
      </c>
      <c r="I665">
        <v>7.68</v>
      </c>
      <c r="J665" t="s">
        <v>114</v>
      </c>
    </row>
    <row r="666" spans="1:10" x14ac:dyDescent="0.25">
      <c r="A666" t="s">
        <v>790</v>
      </c>
      <c r="B666" s="18">
        <v>43312</v>
      </c>
      <c r="C666" t="s">
        <v>108</v>
      </c>
      <c r="D666" t="s">
        <v>106</v>
      </c>
      <c r="E666">
        <v>18</v>
      </c>
      <c r="F666">
        <v>16</v>
      </c>
      <c r="G666">
        <v>288</v>
      </c>
      <c r="H666">
        <v>0.04</v>
      </c>
      <c r="I666">
        <v>11.52</v>
      </c>
      <c r="J666" t="s">
        <v>110</v>
      </c>
    </row>
    <row r="667" spans="1:10" x14ac:dyDescent="0.25">
      <c r="A667" t="s">
        <v>791</v>
      </c>
      <c r="B667" s="18">
        <v>43282</v>
      </c>
      <c r="C667" t="s">
        <v>108</v>
      </c>
      <c r="D667" t="s">
        <v>106</v>
      </c>
      <c r="E667">
        <v>10</v>
      </c>
      <c r="F667">
        <v>16</v>
      </c>
      <c r="G667">
        <v>160</v>
      </c>
      <c r="H667">
        <v>0.01</v>
      </c>
      <c r="I667">
        <v>1.6</v>
      </c>
      <c r="J667" t="s">
        <v>112</v>
      </c>
    </row>
    <row r="668" spans="1:10" x14ac:dyDescent="0.25">
      <c r="A668" t="s">
        <v>792</v>
      </c>
      <c r="B668" s="18">
        <v>43282</v>
      </c>
      <c r="C668" t="s">
        <v>108</v>
      </c>
      <c r="D668" t="s">
        <v>106</v>
      </c>
      <c r="E668">
        <v>14</v>
      </c>
      <c r="F668">
        <v>16</v>
      </c>
      <c r="G668">
        <v>224</v>
      </c>
      <c r="H668">
        <v>0.12</v>
      </c>
      <c r="I668">
        <v>26.88</v>
      </c>
      <c r="J668" t="s">
        <v>113</v>
      </c>
    </row>
    <row r="669" spans="1:10" x14ac:dyDescent="0.25">
      <c r="A669" t="s">
        <v>793</v>
      </c>
      <c r="B669" s="18">
        <v>43282</v>
      </c>
      <c r="C669" t="s">
        <v>98</v>
      </c>
      <c r="D669" t="s">
        <v>104</v>
      </c>
      <c r="E669">
        <v>6</v>
      </c>
      <c r="F669">
        <v>40</v>
      </c>
      <c r="G669">
        <v>240</v>
      </c>
      <c r="H669">
        <v>0.06</v>
      </c>
      <c r="I669">
        <v>14.399999999999999</v>
      </c>
      <c r="J669" t="s">
        <v>114</v>
      </c>
    </row>
    <row r="670" spans="1:10" x14ac:dyDescent="0.25">
      <c r="A670" t="s">
        <v>794</v>
      </c>
      <c r="B670" s="18">
        <v>43282</v>
      </c>
      <c r="C670" t="s">
        <v>98</v>
      </c>
      <c r="D670" t="s">
        <v>106</v>
      </c>
      <c r="E670">
        <v>13</v>
      </c>
      <c r="F670">
        <v>40</v>
      </c>
      <c r="G670">
        <v>520</v>
      </c>
      <c r="H670">
        <v>0.09</v>
      </c>
      <c r="I670">
        <v>46.8</v>
      </c>
      <c r="J670" t="s">
        <v>110</v>
      </c>
    </row>
    <row r="671" spans="1:10" x14ac:dyDescent="0.25">
      <c r="A671" t="s">
        <v>795</v>
      </c>
      <c r="B671" s="18">
        <v>43282</v>
      </c>
      <c r="C671" t="s">
        <v>108</v>
      </c>
      <c r="D671" t="s">
        <v>106</v>
      </c>
      <c r="E671">
        <v>10</v>
      </c>
      <c r="F671">
        <v>16</v>
      </c>
      <c r="G671">
        <v>160</v>
      </c>
      <c r="H671">
        <v>0.04</v>
      </c>
      <c r="I671">
        <v>6.4</v>
      </c>
      <c r="J671" t="s">
        <v>112</v>
      </c>
    </row>
    <row r="672" spans="1:10" x14ac:dyDescent="0.25">
      <c r="A672" t="s">
        <v>796</v>
      </c>
      <c r="B672" s="18">
        <v>43282</v>
      </c>
      <c r="C672" t="s">
        <v>95</v>
      </c>
      <c r="D672" t="s">
        <v>99</v>
      </c>
      <c r="E672">
        <v>14</v>
      </c>
      <c r="F672">
        <v>80</v>
      </c>
      <c r="G672">
        <v>1120</v>
      </c>
      <c r="H672">
        <v>0.11</v>
      </c>
      <c r="I672">
        <v>123.2</v>
      </c>
      <c r="J672" t="s">
        <v>113</v>
      </c>
    </row>
    <row r="673" spans="1:10" x14ac:dyDescent="0.25">
      <c r="A673" t="s">
        <v>797</v>
      </c>
      <c r="B673" s="18">
        <v>43282</v>
      </c>
      <c r="C673" t="s">
        <v>98</v>
      </c>
      <c r="D673" t="s">
        <v>99</v>
      </c>
      <c r="E673">
        <v>4</v>
      </c>
      <c r="F673">
        <v>40</v>
      </c>
      <c r="G673">
        <v>160</v>
      </c>
      <c r="H673">
        <v>0.06</v>
      </c>
      <c r="I673">
        <v>9.6</v>
      </c>
      <c r="J673" t="s">
        <v>114</v>
      </c>
    </row>
    <row r="674" spans="1:10" x14ac:dyDescent="0.25">
      <c r="A674" t="s">
        <v>798</v>
      </c>
      <c r="B674" s="18">
        <v>43282</v>
      </c>
      <c r="C674" t="s">
        <v>98</v>
      </c>
      <c r="D674" t="s">
        <v>104</v>
      </c>
      <c r="E674">
        <v>11</v>
      </c>
      <c r="F674">
        <v>40</v>
      </c>
      <c r="G674">
        <v>440</v>
      </c>
      <c r="H674">
        <v>0.05</v>
      </c>
      <c r="I674">
        <v>22</v>
      </c>
      <c r="J674" t="s">
        <v>110</v>
      </c>
    </row>
    <row r="675" spans="1:10" x14ac:dyDescent="0.25">
      <c r="A675" t="s">
        <v>799</v>
      </c>
      <c r="B675" s="18">
        <v>43282</v>
      </c>
      <c r="C675" t="s">
        <v>108</v>
      </c>
      <c r="D675" t="s">
        <v>104</v>
      </c>
      <c r="E675">
        <v>14</v>
      </c>
      <c r="F675">
        <v>16</v>
      </c>
      <c r="G675">
        <v>224</v>
      </c>
      <c r="H675">
        <v>0.01</v>
      </c>
      <c r="I675">
        <v>2.2400000000000002</v>
      </c>
      <c r="J675" t="s">
        <v>112</v>
      </c>
    </row>
    <row r="676" spans="1:10" x14ac:dyDescent="0.25">
      <c r="A676" t="s">
        <v>800</v>
      </c>
      <c r="B676" s="18">
        <v>43282</v>
      </c>
      <c r="C676" t="s">
        <v>111</v>
      </c>
      <c r="D676" t="s">
        <v>96</v>
      </c>
      <c r="E676">
        <v>20</v>
      </c>
      <c r="F676">
        <v>150</v>
      </c>
      <c r="G676">
        <v>3000</v>
      </c>
      <c r="H676">
        <v>0.04</v>
      </c>
      <c r="I676">
        <v>120</v>
      </c>
      <c r="J676" t="s">
        <v>113</v>
      </c>
    </row>
    <row r="677" spans="1:10" x14ac:dyDescent="0.25">
      <c r="A677" t="s">
        <v>801</v>
      </c>
      <c r="B677" s="18">
        <v>43282</v>
      </c>
      <c r="C677" t="s">
        <v>98</v>
      </c>
      <c r="D677" t="s">
        <v>106</v>
      </c>
      <c r="E677">
        <v>9</v>
      </c>
      <c r="F677">
        <v>40</v>
      </c>
      <c r="G677">
        <v>360</v>
      </c>
      <c r="H677">
        <v>0.06</v>
      </c>
      <c r="I677">
        <v>21.599999999999998</v>
      </c>
      <c r="J677" t="s">
        <v>114</v>
      </c>
    </row>
    <row r="678" spans="1:10" x14ac:dyDescent="0.25">
      <c r="A678" t="s">
        <v>802</v>
      </c>
      <c r="B678" s="18">
        <v>43282</v>
      </c>
      <c r="C678" t="s">
        <v>111</v>
      </c>
      <c r="D678" t="s">
        <v>104</v>
      </c>
      <c r="E678">
        <v>18</v>
      </c>
      <c r="F678">
        <v>150</v>
      </c>
      <c r="G678">
        <v>2700</v>
      </c>
      <c r="H678">
        <v>0.06</v>
      </c>
      <c r="I678">
        <v>162</v>
      </c>
      <c r="J678" t="s">
        <v>110</v>
      </c>
    </row>
    <row r="679" spans="1:10" x14ac:dyDescent="0.25">
      <c r="A679" t="s">
        <v>803</v>
      </c>
      <c r="B679" s="18">
        <v>43282</v>
      </c>
      <c r="C679" t="s">
        <v>101</v>
      </c>
      <c r="D679" t="s">
        <v>109</v>
      </c>
      <c r="E679">
        <v>17</v>
      </c>
      <c r="F679">
        <v>230</v>
      </c>
      <c r="G679">
        <v>3910</v>
      </c>
      <c r="H679">
        <v>0.11</v>
      </c>
      <c r="I679">
        <v>430.1</v>
      </c>
      <c r="J679" t="s">
        <v>112</v>
      </c>
    </row>
    <row r="680" spans="1:10" x14ac:dyDescent="0.25">
      <c r="A680" t="s">
        <v>804</v>
      </c>
      <c r="B680" s="18">
        <v>43283</v>
      </c>
      <c r="C680" t="s">
        <v>98</v>
      </c>
      <c r="D680" t="s">
        <v>96</v>
      </c>
      <c r="E680">
        <v>20</v>
      </c>
      <c r="F680">
        <v>40</v>
      </c>
      <c r="G680">
        <v>800</v>
      </c>
      <c r="H680">
        <v>0.04</v>
      </c>
      <c r="I680">
        <v>32</v>
      </c>
      <c r="J680" t="s">
        <v>113</v>
      </c>
    </row>
    <row r="681" spans="1:10" x14ac:dyDescent="0.25">
      <c r="A681" t="s">
        <v>805</v>
      </c>
      <c r="B681" s="18">
        <v>43283</v>
      </c>
      <c r="C681" t="s">
        <v>98</v>
      </c>
      <c r="D681" t="s">
        <v>96</v>
      </c>
      <c r="E681">
        <v>23</v>
      </c>
      <c r="F681">
        <v>40</v>
      </c>
      <c r="G681">
        <v>920</v>
      </c>
      <c r="H681">
        <v>0.03</v>
      </c>
      <c r="I681">
        <v>27.599999999999998</v>
      </c>
      <c r="J681" t="s">
        <v>114</v>
      </c>
    </row>
    <row r="682" spans="1:10" x14ac:dyDescent="0.25">
      <c r="A682" t="s">
        <v>806</v>
      </c>
      <c r="B682" s="18">
        <v>43283</v>
      </c>
      <c r="C682" t="s">
        <v>101</v>
      </c>
      <c r="D682" t="s">
        <v>109</v>
      </c>
      <c r="E682">
        <v>21</v>
      </c>
      <c r="F682">
        <v>230</v>
      </c>
      <c r="G682">
        <v>4830</v>
      </c>
      <c r="H682">
        <v>0.05</v>
      </c>
      <c r="I682">
        <v>241.5</v>
      </c>
      <c r="J682" t="s">
        <v>110</v>
      </c>
    </row>
    <row r="683" spans="1:10" x14ac:dyDescent="0.25">
      <c r="A683" t="s">
        <v>807</v>
      </c>
      <c r="B683" s="18">
        <v>43283</v>
      </c>
      <c r="C683" t="s">
        <v>95</v>
      </c>
      <c r="D683" t="s">
        <v>104</v>
      </c>
      <c r="E683">
        <v>6</v>
      </c>
      <c r="F683">
        <v>80</v>
      </c>
      <c r="G683">
        <v>480</v>
      </c>
      <c r="H683">
        <v>0.09</v>
      </c>
      <c r="I683">
        <v>43.199999999999996</v>
      </c>
      <c r="J683" t="s">
        <v>112</v>
      </c>
    </row>
    <row r="684" spans="1:10" x14ac:dyDescent="0.25">
      <c r="A684" t="s">
        <v>808</v>
      </c>
      <c r="B684" s="18">
        <v>43283</v>
      </c>
      <c r="C684" t="s">
        <v>108</v>
      </c>
      <c r="D684" t="s">
        <v>96</v>
      </c>
      <c r="E684">
        <v>20</v>
      </c>
      <c r="F684">
        <v>16</v>
      </c>
      <c r="G684">
        <v>320</v>
      </c>
      <c r="H684">
        <v>0.01</v>
      </c>
      <c r="I684">
        <v>3.2</v>
      </c>
      <c r="J684" t="s">
        <v>113</v>
      </c>
    </row>
    <row r="685" spans="1:10" x14ac:dyDescent="0.25">
      <c r="A685" t="s">
        <v>809</v>
      </c>
      <c r="B685" s="18">
        <v>43283</v>
      </c>
      <c r="C685" t="s">
        <v>98</v>
      </c>
      <c r="D685" t="s">
        <v>99</v>
      </c>
      <c r="E685">
        <v>8</v>
      </c>
      <c r="F685">
        <v>40</v>
      </c>
      <c r="G685">
        <v>320</v>
      </c>
      <c r="H685">
        <v>0.09</v>
      </c>
      <c r="I685">
        <v>28.799999999999997</v>
      </c>
      <c r="J685" t="s">
        <v>114</v>
      </c>
    </row>
    <row r="686" spans="1:10" x14ac:dyDescent="0.25">
      <c r="A686" t="s">
        <v>810</v>
      </c>
      <c r="B686" s="18">
        <v>43283</v>
      </c>
      <c r="C686" t="s">
        <v>101</v>
      </c>
      <c r="D686" t="s">
        <v>99</v>
      </c>
      <c r="E686">
        <v>15</v>
      </c>
      <c r="F686">
        <v>230</v>
      </c>
      <c r="G686">
        <v>3450</v>
      </c>
      <c r="H686">
        <v>0.09</v>
      </c>
      <c r="I686">
        <v>310.5</v>
      </c>
      <c r="J686" t="s">
        <v>110</v>
      </c>
    </row>
    <row r="687" spans="1:10" x14ac:dyDescent="0.25">
      <c r="A687" t="s">
        <v>811</v>
      </c>
      <c r="B687" s="18">
        <v>43284</v>
      </c>
      <c r="C687" t="s">
        <v>95</v>
      </c>
      <c r="D687" t="s">
        <v>106</v>
      </c>
      <c r="E687">
        <v>21</v>
      </c>
      <c r="F687">
        <v>80</v>
      </c>
      <c r="G687">
        <v>1680</v>
      </c>
      <c r="H687">
        <v>0.02</v>
      </c>
      <c r="I687">
        <v>33.6</v>
      </c>
      <c r="J687" t="s">
        <v>112</v>
      </c>
    </row>
    <row r="688" spans="1:10" x14ac:dyDescent="0.25">
      <c r="A688" t="s">
        <v>812</v>
      </c>
      <c r="B688" s="18">
        <v>43284</v>
      </c>
      <c r="C688" t="s">
        <v>95</v>
      </c>
      <c r="D688" t="s">
        <v>106</v>
      </c>
      <c r="E688">
        <v>19</v>
      </c>
      <c r="F688">
        <v>80</v>
      </c>
      <c r="G688">
        <v>1520</v>
      </c>
      <c r="H688">
        <v>0.02</v>
      </c>
      <c r="I688">
        <v>30.400000000000002</v>
      </c>
      <c r="J688" t="s">
        <v>113</v>
      </c>
    </row>
    <row r="689" spans="1:10" x14ac:dyDescent="0.25">
      <c r="A689" t="s">
        <v>813</v>
      </c>
      <c r="B689" s="18">
        <v>43284</v>
      </c>
      <c r="C689" t="s">
        <v>108</v>
      </c>
      <c r="D689" t="s">
        <v>96</v>
      </c>
      <c r="E689">
        <v>7</v>
      </c>
      <c r="F689">
        <v>16</v>
      </c>
      <c r="G689">
        <v>112</v>
      </c>
      <c r="H689">
        <v>0.08</v>
      </c>
      <c r="I689">
        <v>8.9600000000000009</v>
      </c>
      <c r="J689" t="s">
        <v>114</v>
      </c>
    </row>
    <row r="690" spans="1:10" x14ac:dyDescent="0.25">
      <c r="A690" t="s">
        <v>814</v>
      </c>
      <c r="B690" s="18">
        <v>43284</v>
      </c>
      <c r="C690" t="s">
        <v>98</v>
      </c>
      <c r="D690" t="s">
        <v>109</v>
      </c>
      <c r="E690">
        <v>11</v>
      </c>
      <c r="F690">
        <v>40</v>
      </c>
      <c r="G690">
        <v>440</v>
      </c>
      <c r="H690">
        <v>0.05</v>
      </c>
      <c r="I690">
        <v>22</v>
      </c>
      <c r="J690" t="s">
        <v>110</v>
      </c>
    </row>
    <row r="691" spans="1:10" x14ac:dyDescent="0.25">
      <c r="A691" t="s">
        <v>815</v>
      </c>
      <c r="B691" s="18">
        <v>43284</v>
      </c>
      <c r="C691" t="s">
        <v>101</v>
      </c>
      <c r="D691" t="s">
        <v>106</v>
      </c>
      <c r="E691">
        <v>8</v>
      </c>
      <c r="F691">
        <v>230</v>
      </c>
      <c r="G691">
        <v>1840</v>
      </c>
      <c r="H691">
        <v>0.05</v>
      </c>
      <c r="I691">
        <v>92</v>
      </c>
      <c r="J691" t="s">
        <v>112</v>
      </c>
    </row>
    <row r="692" spans="1:10" x14ac:dyDescent="0.25">
      <c r="A692" t="s">
        <v>816</v>
      </c>
      <c r="B692" s="18">
        <v>43284</v>
      </c>
      <c r="C692" t="s">
        <v>95</v>
      </c>
      <c r="D692" t="s">
        <v>96</v>
      </c>
      <c r="E692">
        <v>18</v>
      </c>
      <c r="F692">
        <v>80</v>
      </c>
      <c r="G692">
        <v>1440</v>
      </c>
      <c r="H692">
        <v>0.02</v>
      </c>
      <c r="I692">
        <v>28.8</v>
      </c>
      <c r="J692" t="s">
        <v>113</v>
      </c>
    </row>
    <row r="693" spans="1:10" x14ac:dyDescent="0.25">
      <c r="A693" t="s">
        <v>817</v>
      </c>
      <c r="B693" s="18">
        <v>43284</v>
      </c>
      <c r="C693" t="s">
        <v>98</v>
      </c>
      <c r="D693" t="s">
        <v>96</v>
      </c>
      <c r="E693">
        <v>7</v>
      </c>
      <c r="F693">
        <v>40</v>
      </c>
      <c r="G693">
        <v>280</v>
      </c>
      <c r="H693">
        <v>0.1</v>
      </c>
      <c r="I693">
        <v>28</v>
      </c>
      <c r="J693" t="s">
        <v>114</v>
      </c>
    </row>
    <row r="694" spans="1:10" x14ac:dyDescent="0.25">
      <c r="A694" t="s">
        <v>818</v>
      </c>
      <c r="B694" s="18">
        <v>43285</v>
      </c>
      <c r="C694" t="s">
        <v>108</v>
      </c>
      <c r="D694" t="s">
        <v>96</v>
      </c>
      <c r="E694">
        <v>16</v>
      </c>
      <c r="F694">
        <v>16</v>
      </c>
      <c r="G694">
        <v>256</v>
      </c>
      <c r="H694">
        <v>0.03</v>
      </c>
      <c r="I694">
        <v>7.68</v>
      </c>
      <c r="J694" t="s">
        <v>110</v>
      </c>
    </row>
    <row r="695" spans="1:10" x14ac:dyDescent="0.25">
      <c r="A695" t="s">
        <v>819</v>
      </c>
      <c r="B695" s="18">
        <v>43285</v>
      </c>
      <c r="C695" t="s">
        <v>95</v>
      </c>
      <c r="D695" t="s">
        <v>96</v>
      </c>
      <c r="E695">
        <v>8</v>
      </c>
      <c r="F695">
        <v>80</v>
      </c>
      <c r="G695">
        <v>640</v>
      </c>
      <c r="H695">
        <v>0.08</v>
      </c>
      <c r="I695">
        <v>51.2</v>
      </c>
      <c r="J695" t="s">
        <v>112</v>
      </c>
    </row>
    <row r="696" spans="1:10" x14ac:dyDescent="0.25">
      <c r="A696" t="s">
        <v>820</v>
      </c>
      <c r="B696" s="18">
        <v>43285</v>
      </c>
      <c r="C696" t="s">
        <v>101</v>
      </c>
      <c r="D696" t="s">
        <v>109</v>
      </c>
      <c r="E696">
        <v>22</v>
      </c>
      <c r="F696">
        <v>230</v>
      </c>
      <c r="G696">
        <v>5060</v>
      </c>
      <c r="H696">
        <v>0.1</v>
      </c>
      <c r="I696">
        <v>506</v>
      </c>
      <c r="J696" t="s">
        <v>113</v>
      </c>
    </row>
    <row r="697" spans="1:10" x14ac:dyDescent="0.25">
      <c r="A697" t="s">
        <v>821</v>
      </c>
      <c r="B697" s="18">
        <v>43285</v>
      </c>
      <c r="C697" t="s">
        <v>101</v>
      </c>
      <c r="D697" t="s">
        <v>109</v>
      </c>
      <c r="E697">
        <v>3</v>
      </c>
      <c r="F697">
        <v>230</v>
      </c>
      <c r="G697">
        <v>690</v>
      </c>
      <c r="H697">
        <v>0.1</v>
      </c>
      <c r="I697">
        <v>69</v>
      </c>
      <c r="J697" t="s">
        <v>114</v>
      </c>
    </row>
    <row r="698" spans="1:10" x14ac:dyDescent="0.25">
      <c r="A698" t="s">
        <v>822</v>
      </c>
      <c r="B698" s="18">
        <v>43285</v>
      </c>
      <c r="C698" t="s">
        <v>101</v>
      </c>
      <c r="D698" t="s">
        <v>109</v>
      </c>
      <c r="E698">
        <v>20</v>
      </c>
      <c r="F698">
        <v>230</v>
      </c>
      <c r="G698">
        <v>4600</v>
      </c>
      <c r="H698">
        <v>0.11</v>
      </c>
      <c r="I698">
        <v>506</v>
      </c>
      <c r="J698" t="s">
        <v>110</v>
      </c>
    </row>
    <row r="699" spans="1:10" x14ac:dyDescent="0.25">
      <c r="A699" t="s">
        <v>823</v>
      </c>
      <c r="B699" s="18">
        <v>43285</v>
      </c>
      <c r="C699" t="s">
        <v>108</v>
      </c>
      <c r="D699" t="s">
        <v>104</v>
      </c>
      <c r="E699">
        <v>12</v>
      </c>
      <c r="F699">
        <v>16</v>
      </c>
      <c r="G699">
        <v>192</v>
      </c>
      <c r="H699">
        <v>0.03</v>
      </c>
      <c r="I699">
        <v>5.76</v>
      </c>
      <c r="J699" t="s">
        <v>112</v>
      </c>
    </row>
    <row r="700" spans="1:10" x14ac:dyDescent="0.25">
      <c r="A700" t="s">
        <v>824</v>
      </c>
      <c r="B700" s="18">
        <v>43285</v>
      </c>
      <c r="C700" t="s">
        <v>98</v>
      </c>
      <c r="D700" t="s">
        <v>109</v>
      </c>
      <c r="E700">
        <v>20</v>
      </c>
      <c r="F700">
        <v>40</v>
      </c>
      <c r="G700">
        <v>800</v>
      </c>
      <c r="H700">
        <v>7.0000000000000007E-2</v>
      </c>
      <c r="I700">
        <v>56.000000000000007</v>
      </c>
      <c r="J700" t="s">
        <v>113</v>
      </c>
    </row>
    <row r="701" spans="1:10" x14ac:dyDescent="0.25">
      <c r="A701" t="s">
        <v>825</v>
      </c>
      <c r="B701" s="18">
        <v>43285</v>
      </c>
      <c r="C701" t="s">
        <v>101</v>
      </c>
      <c r="D701" t="s">
        <v>96</v>
      </c>
      <c r="E701">
        <v>3</v>
      </c>
      <c r="F701">
        <v>230</v>
      </c>
      <c r="G701">
        <v>690</v>
      </c>
      <c r="H701">
        <v>0.06</v>
      </c>
      <c r="I701">
        <v>41.4</v>
      </c>
      <c r="J701" t="s">
        <v>114</v>
      </c>
    </row>
    <row r="702" spans="1:10" x14ac:dyDescent="0.25">
      <c r="A702" t="s">
        <v>826</v>
      </c>
      <c r="B702" s="18">
        <v>43285</v>
      </c>
      <c r="C702" t="s">
        <v>95</v>
      </c>
      <c r="D702" t="s">
        <v>106</v>
      </c>
      <c r="E702">
        <v>16</v>
      </c>
      <c r="F702">
        <v>80</v>
      </c>
      <c r="G702">
        <v>1280</v>
      </c>
      <c r="H702">
        <v>7.0000000000000007E-2</v>
      </c>
      <c r="I702">
        <v>89.600000000000009</v>
      </c>
      <c r="J702" t="s">
        <v>110</v>
      </c>
    </row>
    <row r="703" spans="1:10" x14ac:dyDescent="0.25">
      <c r="A703" t="s">
        <v>827</v>
      </c>
      <c r="B703" s="18">
        <v>43286</v>
      </c>
      <c r="C703" t="s">
        <v>98</v>
      </c>
      <c r="D703" t="s">
        <v>109</v>
      </c>
      <c r="E703">
        <v>3</v>
      </c>
      <c r="F703">
        <v>40</v>
      </c>
      <c r="G703">
        <v>120</v>
      </c>
      <c r="H703">
        <v>0.03</v>
      </c>
      <c r="I703">
        <v>3.5999999999999996</v>
      </c>
      <c r="J703" t="s">
        <v>112</v>
      </c>
    </row>
    <row r="704" spans="1:10" x14ac:dyDescent="0.25">
      <c r="A704" t="s">
        <v>828</v>
      </c>
      <c r="B704" s="18">
        <v>43286</v>
      </c>
      <c r="C704" t="s">
        <v>101</v>
      </c>
      <c r="D704" t="s">
        <v>104</v>
      </c>
      <c r="E704">
        <v>12</v>
      </c>
      <c r="F704">
        <v>230</v>
      </c>
      <c r="G704">
        <v>2760</v>
      </c>
      <c r="H704">
        <v>0.03</v>
      </c>
      <c r="I704">
        <v>82.8</v>
      </c>
      <c r="J704" t="s">
        <v>113</v>
      </c>
    </row>
    <row r="705" spans="1:10" x14ac:dyDescent="0.25">
      <c r="A705" t="s">
        <v>829</v>
      </c>
      <c r="B705" s="18">
        <v>43286</v>
      </c>
      <c r="C705" t="s">
        <v>98</v>
      </c>
      <c r="D705" t="s">
        <v>106</v>
      </c>
      <c r="E705">
        <v>22</v>
      </c>
      <c r="F705">
        <v>40</v>
      </c>
      <c r="G705">
        <v>880</v>
      </c>
      <c r="H705">
        <v>0.01</v>
      </c>
      <c r="I705">
        <v>8.8000000000000007</v>
      </c>
      <c r="J705" t="s">
        <v>114</v>
      </c>
    </row>
    <row r="706" spans="1:10" x14ac:dyDescent="0.25">
      <c r="A706" t="s">
        <v>830</v>
      </c>
      <c r="B706" s="18">
        <v>43286</v>
      </c>
      <c r="C706" t="s">
        <v>98</v>
      </c>
      <c r="D706" t="s">
        <v>99</v>
      </c>
      <c r="E706">
        <v>19</v>
      </c>
      <c r="F706">
        <v>40</v>
      </c>
      <c r="G706">
        <v>760</v>
      </c>
      <c r="H706">
        <v>0.1</v>
      </c>
      <c r="I706">
        <v>76</v>
      </c>
      <c r="J706" t="s">
        <v>110</v>
      </c>
    </row>
    <row r="707" spans="1:10" x14ac:dyDescent="0.25">
      <c r="A707" t="s">
        <v>831</v>
      </c>
      <c r="B707" s="18">
        <v>43286</v>
      </c>
      <c r="C707" t="s">
        <v>95</v>
      </c>
      <c r="D707" t="s">
        <v>99</v>
      </c>
      <c r="E707">
        <v>21</v>
      </c>
      <c r="F707">
        <v>80</v>
      </c>
      <c r="G707">
        <v>1680</v>
      </c>
      <c r="H707">
        <v>0.04</v>
      </c>
      <c r="I707">
        <v>67.2</v>
      </c>
      <c r="J707" t="s">
        <v>112</v>
      </c>
    </row>
    <row r="708" spans="1:10" x14ac:dyDescent="0.25">
      <c r="A708" t="s">
        <v>832</v>
      </c>
      <c r="B708" s="18">
        <v>43286</v>
      </c>
      <c r="C708" t="s">
        <v>95</v>
      </c>
      <c r="D708" t="s">
        <v>99</v>
      </c>
      <c r="E708">
        <v>2</v>
      </c>
      <c r="F708">
        <v>80</v>
      </c>
      <c r="G708">
        <v>160</v>
      </c>
      <c r="H708">
        <v>0.04</v>
      </c>
      <c r="I708">
        <v>6.4</v>
      </c>
      <c r="J708" t="s">
        <v>113</v>
      </c>
    </row>
    <row r="709" spans="1:10" x14ac:dyDescent="0.25">
      <c r="A709" t="s">
        <v>833</v>
      </c>
      <c r="B709" s="18">
        <v>43286</v>
      </c>
      <c r="C709" t="s">
        <v>111</v>
      </c>
      <c r="D709" t="s">
        <v>99</v>
      </c>
      <c r="E709">
        <v>15</v>
      </c>
      <c r="F709">
        <v>150</v>
      </c>
      <c r="G709">
        <v>2250</v>
      </c>
      <c r="H709">
        <v>0.02</v>
      </c>
      <c r="I709">
        <v>45</v>
      </c>
      <c r="J709" t="s">
        <v>114</v>
      </c>
    </row>
    <row r="710" spans="1:10" x14ac:dyDescent="0.25">
      <c r="A710" t="s">
        <v>834</v>
      </c>
      <c r="B710" s="18">
        <v>43287</v>
      </c>
      <c r="C710" t="s">
        <v>98</v>
      </c>
      <c r="D710" t="s">
        <v>99</v>
      </c>
      <c r="E710">
        <v>14</v>
      </c>
      <c r="F710">
        <v>40</v>
      </c>
      <c r="G710">
        <v>560</v>
      </c>
      <c r="H710">
        <v>0.06</v>
      </c>
      <c r="I710">
        <v>33.6</v>
      </c>
      <c r="J710" t="s">
        <v>110</v>
      </c>
    </row>
    <row r="711" spans="1:10" x14ac:dyDescent="0.25">
      <c r="A711" t="s">
        <v>835</v>
      </c>
      <c r="B711" s="18">
        <v>43287</v>
      </c>
      <c r="C711" t="s">
        <v>95</v>
      </c>
      <c r="D711" t="s">
        <v>106</v>
      </c>
      <c r="E711">
        <v>7</v>
      </c>
      <c r="F711">
        <v>80</v>
      </c>
      <c r="G711">
        <v>560</v>
      </c>
      <c r="H711">
        <v>7.0000000000000007E-2</v>
      </c>
      <c r="I711">
        <v>39.200000000000003</v>
      </c>
      <c r="J711" t="s">
        <v>112</v>
      </c>
    </row>
    <row r="712" spans="1:10" x14ac:dyDescent="0.25">
      <c r="A712" t="s">
        <v>836</v>
      </c>
      <c r="B712" s="18">
        <v>43287</v>
      </c>
      <c r="C712" t="s">
        <v>95</v>
      </c>
      <c r="D712" t="s">
        <v>104</v>
      </c>
      <c r="E712">
        <v>7</v>
      </c>
      <c r="F712">
        <v>80</v>
      </c>
      <c r="G712">
        <v>560</v>
      </c>
      <c r="H712">
        <v>0.05</v>
      </c>
      <c r="I712">
        <v>28</v>
      </c>
      <c r="J712" t="s">
        <v>113</v>
      </c>
    </row>
    <row r="713" spans="1:10" x14ac:dyDescent="0.25">
      <c r="A713" t="s">
        <v>837</v>
      </c>
      <c r="B713" s="18">
        <v>43287</v>
      </c>
      <c r="C713" t="s">
        <v>111</v>
      </c>
      <c r="D713" t="s">
        <v>99</v>
      </c>
      <c r="E713">
        <v>10</v>
      </c>
      <c r="F713">
        <v>150</v>
      </c>
      <c r="G713">
        <v>1500</v>
      </c>
      <c r="H713">
        <v>0.01</v>
      </c>
      <c r="I713">
        <v>15</v>
      </c>
      <c r="J713" t="s">
        <v>114</v>
      </c>
    </row>
    <row r="714" spans="1:10" x14ac:dyDescent="0.25">
      <c r="A714" t="s">
        <v>838</v>
      </c>
      <c r="B714" s="18">
        <v>43287</v>
      </c>
      <c r="C714" t="s">
        <v>95</v>
      </c>
      <c r="D714" t="s">
        <v>104</v>
      </c>
      <c r="E714">
        <v>10</v>
      </c>
      <c r="F714">
        <v>80</v>
      </c>
      <c r="G714">
        <v>800</v>
      </c>
      <c r="H714">
        <v>0.08</v>
      </c>
      <c r="I714">
        <v>64</v>
      </c>
      <c r="J714" t="s">
        <v>110</v>
      </c>
    </row>
    <row r="715" spans="1:10" x14ac:dyDescent="0.25">
      <c r="A715" t="s">
        <v>839</v>
      </c>
      <c r="B715" s="18">
        <v>43287</v>
      </c>
      <c r="C715" t="s">
        <v>95</v>
      </c>
      <c r="D715" t="s">
        <v>106</v>
      </c>
      <c r="E715">
        <v>15</v>
      </c>
      <c r="F715">
        <v>80</v>
      </c>
      <c r="G715">
        <v>1200</v>
      </c>
      <c r="H715">
        <v>0.08</v>
      </c>
      <c r="I715">
        <v>96</v>
      </c>
      <c r="J715" t="s">
        <v>112</v>
      </c>
    </row>
    <row r="716" spans="1:10" x14ac:dyDescent="0.25">
      <c r="A716" t="s">
        <v>840</v>
      </c>
      <c r="B716" s="18">
        <v>43287</v>
      </c>
      <c r="C716" t="s">
        <v>101</v>
      </c>
      <c r="D716" t="s">
        <v>106</v>
      </c>
      <c r="E716">
        <v>18</v>
      </c>
      <c r="F716">
        <v>230</v>
      </c>
      <c r="G716">
        <v>4140</v>
      </c>
      <c r="H716">
        <v>0.01</v>
      </c>
      <c r="I716">
        <v>41.4</v>
      </c>
      <c r="J716" t="s">
        <v>113</v>
      </c>
    </row>
    <row r="717" spans="1:10" x14ac:dyDescent="0.25">
      <c r="A717" t="s">
        <v>841</v>
      </c>
      <c r="B717" s="18">
        <v>43287</v>
      </c>
      <c r="C717" t="s">
        <v>95</v>
      </c>
      <c r="D717" t="s">
        <v>96</v>
      </c>
      <c r="E717">
        <v>8</v>
      </c>
      <c r="F717">
        <v>80</v>
      </c>
      <c r="G717">
        <v>640</v>
      </c>
      <c r="H717">
        <v>0.09</v>
      </c>
      <c r="I717">
        <v>57.599999999999994</v>
      </c>
      <c r="J717" t="s">
        <v>114</v>
      </c>
    </row>
    <row r="718" spans="1:10" x14ac:dyDescent="0.25">
      <c r="A718" t="s">
        <v>842</v>
      </c>
      <c r="B718" s="18">
        <v>43287</v>
      </c>
      <c r="C718" t="s">
        <v>108</v>
      </c>
      <c r="D718" t="s">
        <v>104</v>
      </c>
      <c r="E718">
        <v>6</v>
      </c>
      <c r="F718">
        <v>16</v>
      </c>
      <c r="G718">
        <v>96</v>
      </c>
      <c r="H718">
        <v>0.01</v>
      </c>
      <c r="I718">
        <v>0.96</v>
      </c>
      <c r="J718" t="s">
        <v>110</v>
      </c>
    </row>
    <row r="719" spans="1:10" x14ac:dyDescent="0.25">
      <c r="A719" t="s">
        <v>843</v>
      </c>
      <c r="B719" s="18">
        <v>43287</v>
      </c>
      <c r="C719" t="s">
        <v>101</v>
      </c>
      <c r="D719" t="s">
        <v>99</v>
      </c>
      <c r="E719">
        <v>9</v>
      </c>
      <c r="F719">
        <v>230</v>
      </c>
      <c r="G719">
        <v>2070</v>
      </c>
      <c r="H719">
        <v>0.03</v>
      </c>
      <c r="I719">
        <v>62.099999999999994</v>
      </c>
      <c r="J719" t="s">
        <v>112</v>
      </c>
    </row>
    <row r="720" spans="1:10" x14ac:dyDescent="0.25">
      <c r="A720" t="s">
        <v>844</v>
      </c>
      <c r="B720" s="18">
        <v>43288</v>
      </c>
      <c r="C720" t="s">
        <v>98</v>
      </c>
      <c r="D720" t="s">
        <v>106</v>
      </c>
      <c r="E720">
        <v>15</v>
      </c>
      <c r="F720">
        <v>40</v>
      </c>
      <c r="G720">
        <v>600</v>
      </c>
      <c r="H720">
        <v>0.03</v>
      </c>
      <c r="I720">
        <v>18</v>
      </c>
      <c r="J720" t="s">
        <v>113</v>
      </c>
    </row>
    <row r="721" spans="1:10" x14ac:dyDescent="0.25">
      <c r="A721" t="s">
        <v>845</v>
      </c>
      <c r="B721" s="18">
        <v>43288</v>
      </c>
      <c r="C721" t="s">
        <v>98</v>
      </c>
      <c r="D721" t="s">
        <v>99</v>
      </c>
      <c r="E721">
        <v>15</v>
      </c>
      <c r="F721">
        <v>40</v>
      </c>
      <c r="G721">
        <v>600</v>
      </c>
      <c r="H721">
        <v>0.04</v>
      </c>
      <c r="I721">
        <v>24</v>
      </c>
      <c r="J721" t="s">
        <v>114</v>
      </c>
    </row>
    <row r="722" spans="1:10" x14ac:dyDescent="0.25">
      <c r="A722" t="s">
        <v>846</v>
      </c>
      <c r="B722" s="18">
        <v>43288</v>
      </c>
      <c r="C722" t="s">
        <v>108</v>
      </c>
      <c r="D722" t="s">
        <v>109</v>
      </c>
      <c r="E722">
        <v>11</v>
      </c>
      <c r="F722">
        <v>16</v>
      </c>
      <c r="G722">
        <v>176</v>
      </c>
      <c r="H722">
        <v>0.12</v>
      </c>
      <c r="I722">
        <v>21.119999999999997</v>
      </c>
      <c r="J722" t="s">
        <v>110</v>
      </c>
    </row>
    <row r="723" spans="1:10" x14ac:dyDescent="0.25">
      <c r="A723" t="s">
        <v>847</v>
      </c>
      <c r="B723" s="18">
        <v>43288</v>
      </c>
      <c r="C723" t="s">
        <v>108</v>
      </c>
      <c r="D723" t="s">
        <v>96</v>
      </c>
      <c r="E723">
        <v>12</v>
      </c>
      <c r="F723">
        <v>16</v>
      </c>
      <c r="G723">
        <v>192</v>
      </c>
      <c r="H723">
        <v>0.11</v>
      </c>
      <c r="I723">
        <v>21.12</v>
      </c>
      <c r="J723" t="s">
        <v>102</v>
      </c>
    </row>
    <row r="724" spans="1:10" x14ac:dyDescent="0.25">
      <c r="A724" t="s">
        <v>848</v>
      </c>
      <c r="B724" s="18">
        <v>43288</v>
      </c>
      <c r="C724" t="s">
        <v>108</v>
      </c>
      <c r="D724" t="s">
        <v>106</v>
      </c>
      <c r="E724">
        <v>18</v>
      </c>
      <c r="F724">
        <v>16</v>
      </c>
      <c r="G724">
        <v>288</v>
      </c>
      <c r="H724">
        <v>0.04</v>
      </c>
      <c r="I724">
        <v>11.52</v>
      </c>
      <c r="J724" t="s">
        <v>113</v>
      </c>
    </row>
    <row r="725" spans="1:10" x14ac:dyDescent="0.25">
      <c r="A725" t="s">
        <v>849</v>
      </c>
      <c r="B725" s="18">
        <v>43288</v>
      </c>
      <c r="C725" t="s">
        <v>98</v>
      </c>
      <c r="D725" t="s">
        <v>104</v>
      </c>
      <c r="E725">
        <v>20</v>
      </c>
      <c r="F725">
        <v>40</v>
      </c>
      <c r="G725">
        <v>800</v>
      </c>
      <c r="H725">
        <v>0.01</v>
      </c>
      <c r="I725">
        <v>8</v>
      </c>
      <c r="J725" t="s">
        <v>102</v>
      </c>
    </row>
    <row r="726" spans="1:10" x14ac:dyDescent="0.25">
      <c r="A726" t="s">
        <v>850</v>
      </c>
      <c r="B726" s="18">
        <v>43288</v>
      </c>
      <c r="C726" t="s">
        <v>111</v>
      </c>
      <c r="D726" t="s">
        <v>109</v>
      </c>
      <c r="E726">
        <v>7</v>
      </c>
      <c r="F726">
        <v>150</v>
      </c>
      <c r="G726">
        <v>1050</v>
      </c>
      <c r="H726">
        <v>0.03</v>
      </c>
      <c r="I726">
        <v>31.5</v>
      </c>
      <c r="J726" t="s">
        <v>113</v>
      </c>
    </row>
    <row r="727" spans="1:10" x14ac:dyDescent="0.25">
      <c r="A727" t="s">
        <v>851</v>
      </c>
      <c r="B727" s="18">
        <v>43288</v>
      </c>
      <c r="C727" t="s">
        <v>98</v>
      </c>
      <c r="D727" t="s">
        <v>106</v>
      </c>
      <c r="E727">
        <v>23</v>
      </c>
      <c r="F727">
        <v>40</v>
      </c>
      <c r="G727">
        <v>920</v>
      </c>
      <c r="H727">
        <v>0.06</v>
      </c>
      <c r="I727">
        <v>55.199999999999996</v>
      </c>
      <c r="J727" t="s">
        <v>102</v>
      </c>
    </row>
    <row r="728" spans="1:10" x14ac:dyDescent="0.25">
      <c r="A728" t="s">
        <v>852</v>
      </c>
      <c r="B728" s="18">
        <v>43288</v>
      </c>
      <c r="C728" t="s">
        <v>95</v>
      </c>
      <c r="D728" t="s">
        <v>96</v>
      </c>
      <c r="E728">
        <v>7</v>
      </c>
      <c r="F728">
        <v>80</v>
      </c>
      <c r="G728">
        <v>560</v>
      </c>
      <c r="H728">
        <v>0.02</v>
      </c>
      <c r="I728">
        <v>11.200000000000001</v>
      </c>
      <c r="J728" t="s">
        <v>113</v>
      </c>
    </row>
    <row r="729" spans="1:10" x14ac:dyDescent="0.25">
      <c r="A729" t="s">
        <v>853</v>
      </c>
      <c r="B729" s="18">
        <v>43288</v>
      </c>
      <c r="C729" t="s">
        <v>111</v>
      </c>
      <c r="D729" t="s">
        <v>99</v>
      </c>
      <c r="E729">
        <v>16</v>
      </c>
      <c r="F729">
        <v>150</v>
      </c>
      <c r="G729">
        <v>2400</v>
      </c>
      <c r="H729">
        <v>0.05</v>
      </c>
      <c r="I729">
        <v>120</v>
      </c>
      <c r="J729" t="s">
        <v>102</v>
      </c>
    </row>
    <row r="730" spans="1:10" x14ac:dyDescent="0.25">
      <c r="A730" t="s">
        <v>854</v>
      </c>
      <c r="B730" s="18">
        <v>43288</v>
      </c>
      <c r="C730" t="s">
        <v>101</v>
      </c>
      <c r="D730" t="s">
        <v>99</v>
      </c>
      <c r="E730">
        <v>6</v>
      </c>
      <c r="F730">
        <v>230</v>
      </c>
      <c r="G730">
        <v>1380</v>
      </c>
      <c r="H730">
        <v>0.1</v>
      </c>
      <c r="I730">
        <v>138</v>
      </c>
      <c r="J730" t="s">
        <v>113</v>
      </c>
    </row>
    <row r="731" spans="1:10" x14ac:dyDescent="0.25">
      <c r="A731" t="s">
        <v>855</v>
      </c>
      <c r="B731" s="18">
        <v>43289</v>
      </c>
      <c r="C731" t="s">
        <v>98</v>
      </c>
      <c r="D731" t="s">
        <v>109</v>
      </c>
      <c r="E731">
        <v>7</v>
      </c>
      <c r="F731">
        <v>40</v>
      </c>
      <c r="G731">
        <v>280</v>
      </c>
      <c r="H731">
        <v>0.12</v>
      </c>
      <c r="I731">
        <v>33.6</v>
      </c>
      <c r="J731" t="s">
        <v>102</v>
      </c>
    </row>
    <row r="732" spans="1:10" x14ac:dyDescent="0.25">
      <c r="A732" t="s">
        <v>856</v>
      </c>
      <c r="B732" s="18">
        <v>43289</v>
      </c>
      <c r="C732" t="s">
        <v>95</v>
      </c>
      <c r="D732" t="s">
        <v>104</v>
      </c>
      <c r="E732">
        <v>23</v>
      </c>
      <c r="F732">
        <v>80</v>
      </c>
      <c r="G732">
        <v>1840</v>
      </c>
      <c r="H732">
        <v>0.05</v>
      </c>
      <c r="I732">
        <v>92</v>
      </c>
      <c r="J732" t="s">
        <v>113</v>
      </c>
    </row>
    <row r="733" spans="1:10" x14ac:dyDescent="0.25">
      <c r="A733" t="s">
        <v>857</v>
      </c>
      <c r="B733" s="18">
        <v>43289</v>
      </c>
      <c r="C733" t="s">
        <v>95</v>
      </c>
      <c r="D733" t="s">
        <v>106</v>
      </c>
      <c r="E733">
        <v>16</v>
      </c>
      <c r="F733">
        <v>80</v>
      </c>
      <c r="G733">
        <v>1280</v>
      </c>
      <c r="H733">
        <v>0.1</v>
      </c>
      <c r="I733">
        <v>128</v>
      </c>
      <c r="J733" t="s">
        <v>102</v>
      </c>
    </row>
    <row r="734" spans="1:10" x14ac:dyDescent="0.25">
      <c r="A734" t="s">
        <v>858</v>
      </c>
      <c r="B734" s="18">
        <v>43289</v>
      </c>
      <c r="C734" t="s">
        <v>95</v>
      </c>
      <c r="D734" t="s">
        <v>96</v>
      </c>
      <c r="E734">
        <v>16</v>
      </c>
      <c r="F734">
        <v>80</v>
      </c>
      <c r="G734">
        <v>1280</v>
      </c>
      <c r="H734">
        <v>0.03</v>
      </c>
      <c r="I734">
        <v>38.4</v>
      </c>
      <c r="J734" t="s">
        <v>113</v>
      </c>
    </row>
    <row r="735" spans="1:10" x14ac:dyDescent="0.25">
      <c r="A735" t="s">
        <v>859</v>
      </c>
      <c r="B735" s="18">
        <v>43289</v>
      </c>
      <c r="C735" t="s">
        <v>95</v>
      </c>
      <c r="D735" t="s">
        <v>109</v>
      </c>
      <c r="E735">
        <v>22</v>
      </c>
      <c r="F735">
        <v>80</v>
      </c>
      <c r="G735">
        <v>1760</v>
      </c>
      <c r="H735">
        <v>0.09</v>
      </c>
      <c r="I735">
        <v>158.4</v>
      </c>
      <c r="J735" t="s">
        <v>102</v>
      </c>
    </row>
    <row r="736" spans="1:10" x14ac:dyDescent="0.25">
      <c r="A736" t="s">
        <v>860</v>
      </c>
      <c r="B736" s="18">
        <v>43289</v>
      </c>
      <c r="C736" t="s">
        <v>108</v>
      </c>
      <c r="D736" t="s">
        <v>96</v>
      </c>
      <c r="E736">
        <v>18</v>
      </c>
      <c r="F736">
        <v>16</v>
      </c>
      <c r="G736">
        <v>288</v>
      </c>
      <c r="H736">
        <v>0.05</v>
      </c>
      <c r="I736">
        <v>14.4</v>
      </c>
      <c r="J736" t="s">
        <v>113</v>
      </c>
    </row>
    <row r="737" spans="1:10" x14ac:dyDescent="0.25">
      <c r="A737" t="s">
        <v>861</v>
      </c>
      <c r="B737" s="18">
        <v>43289</v>
      </c>
      <c r="C737" t="s">
        <v>101</v>
      </c>
      <c r="D737" t="s">
        <v>109</v>
      </c>
      <c r="E737">
        <v>5</v>
      </c>
      <c r="F737">
        <v>230</v>
      </c>
      <c r="G737">
        <v>1150</v>
      </c>
      <c r="H737">
        <v>0.12</v>
      </c>
      <c r="I737">
        <v>138</v>
      </c>
      <c r="J737" t="s">
        <v>102</v>
      </c>
    </row>
    <row r="738" spans="1:10" x14ac:dyDescent="0.25">
      <c r="A738" t="s">
        <v>862</v>
      </c>
      <c r="B738" s="18">
        <v>43289</v>
      </c>
      <c r="C738" t="s">
        <v>111</v>
      </c>
      <c r="D738" t="s">
        <v>109</v>
      </c>
      <c r="E738">
        <v>7</v>
      </c>
      <c r="F738">
        <v>150</v>
      </c>
      <c r="G738">
        <v>1050</v>
      </c>
      <c r="H738">
        <v>0.02</v>
      </c>
      <c r="I738">
        <v>21</v>
      </c>
      <c r="J738" t="s">
        <v>113</v>
      </c>
    </row>
    <row r="739" spans="1:10" x14ac:dyDescent="0.25">
      <c r="A739" t="s">
        <v>863</v>
      </c>
      <c r="B739" s="18">
        <v>43289</v>
      </c>
      <c r="C739" t="s">
        <v>98</v>
      </c>
      <c r="D739" t="s">
        <v>104</v>
      </c>
      <c r="E739">
        <v>2</v>
      </c>
      <c r="F739">
        <v>40</v>
      </c>
      <c r="G739">
        <v>80</v>
      </c>
      <c r="H739">
        <v>0.03</v>
      </c>
      <c r="I739">
        <v>2.4</v>
      </c>
      <c r="J739" t="s">
        <v>102</v>
      </c>
    </row>
    <row r="740" spans="1:10" x14ac:dyDescent="0.25">
      <c r="A740" t="s">
        <v>864</v>
      </c>
      <c r="B740" s="18">
        <v>43289</v>
      </c>
      <c r="C740" t="s">
        <v>98</v>
      </c>
      <c r="D740" t="s">
        <v>106</v>
      </c>
      <c r="E740">
        <v>11</v>
      </c>
      <c r="F740">
        <v>40</v>
      </c>
      <c r="G740">
        <v>440</v>
      </c>
      <c r="H740">
        <v>0.06</v>
      </c>
      <c r="I740">
        <v>26.4</v>
      </c>
      <c r="J740" t="s">
        <v>113</v>
      </c>
    </row>
    <row r="741" spans="1:10" x14ac:dyDescent="0.25">
      <c r="A741" t="s">
        <v>865</v>
      </c>
      <c r="B741" s="18">
        <v>43289</v>
      </c>
      <c r="C741" t="s">
        <v>95</v>
      </c>
      <c r="D741" t="s">
        <v>106</v>
      </c>
      <c r="E741">
        <v>7</v>
      </c>
      <c r="F741">
        <v>80</v>
      </c>
      <c r="G741">
        <v>560</v>
      </c>
      <c r="H741">
        <v>0.02</v>
      </c>
      <c r="I741">
        <v>11.200000000000001</v>
      </c>
      <c r="J741" t="s">
        <v>102</v>
      </c>
    </row>
    <row r="742" spans="1:10" x14ac:dyDescent="0.25">
      <c r="A742" t="s">
        <v>866</v>
      </c>
      <c r="B742" s="18">
        <v>43290</v>
      </c>
      <c r="C742" t="s">
        <v>98</v>
      </c>
      <c r="D742" t="s">
        <v>104</v>
      </c>
      <c r="E742">
        <v>4</v>
      </c>
      <c r="F742">
        <v>40</v>
      </c>
      <c r="G742">
        <v>160</v>
      </c>
      <c r="H742">
        <v>0.11</v>
      </c>
      <c r="I742">
        <v>17.600000000000001</v>
      </c>
      <c r="J742" t="s">
        <v>113</v>
      </c>
    </row>
    <row r="743" spans="1:10" x14ac:dyDescent="0.25">
      <c r="A743" t="s">
        <v>867</v>
      </c>
      <c r="B743" s="18">
        <v>43290</v>
      </c>
      <c r="C743" t="s">
        <v>98</v>
      </c>
      <c r="D743" t="s">
        <v>104</v>
      </c>
      <c r="E743">
        <v>2</v>
      </c>
      <c r="F743">
        <v>40</v>
      </c>
      <c r="G743">
        <v>80</v>
      </c>
      <c r="H743">
        <v>0.02</v>
      </c>
      <c r="I743">
        <v>1.6</v>
      </c>
      <c r="J743" t="s">
        <v>102</v>
      </c>
    </row>
    <row r="744" spans="1:10" x14ac:dyDescent="0.25">
      <c r="A744" t="s">
        <v>868</v>
      </c>
      <c r="B744" s="18">
        <v>43290</v>
      </c>
      <c r="C744" t="s">
        <v>101</v>
      </c>
      <c r="D744" t="s">
        <v>106</v>
      </c>
      <c r="E744">
        <v>23</v>
      </c>
      <c r="F744">
        <v>230</v>
      </c>
      <c r="G744">
        <v>5290</v>
      </c>
      <c r="H744">
        <v>0.06</v>
      </c>
      <c r="I744">
        <v>317.39999999999998</v>
      </c>
      <c r="J744" t="s">
        <v>113</v>
      </c>
    </row>
    <row r="745" spans="1:10" x14ac:dyDescent="0.25">
      <c r="A745" t="s">
        <v>869</v>
      </c>
      <c r="B745" s="18">
        <v>43290</v>
      </c>
      <c r="C745" t="s">
        <v>95</v>
      </c>
      <c r="D745" t="s">
        <v>109</v>
      </c>
      <c r="E745">
        <v>21</v>
      </c>
      <c r="F745">
        <v>80</v>
      </c>
      <c r="G745">
        <v>1680</v>
      </c>
      <c r="H745">
        <v>0.09</v>
      </c>
      <c r="I745">
        <v>151.19999999999999</v>
      </c>
      <c r="J745" t="s">
        <v>102</v>
      </c>
    </row>
    <row r="746" spans="1:10" x14ac:dyDescent="0.25">
      <c r="A746" t="s">
        <v>870</v>
      </c>
      <c r="B746" s="18">
        <v>43290</v>
      </c>
      <c r="C746" t="s">
        <v>95</v>
      </c>
      <c r="D746" t="s">
        <v>109</v>
      </c>
      <c r="E746">
        <v>9</v>
      </c>
      <c r="F746">
        <v>80</v>
      </c>
      <c r="G746">
        <v>720</v>
      </c>
      <c r="H746">
        <v>0.06</v>
      </c>
      <c r="I746">
        <v>43.199999999999996</v>
      </c>
      <c r="J746" t="s">
        <v>113</v>
      </c>
    </row>
    <row r="747" spans="1:10" x14ac:dyDescent="0.25">
      <c r="A747" t="s">
        <v>871</v>
      </c>
      <c r="B747" s="18">
        <v>43290</v>
      </c>
      <c r="C747" t="s">
        <v>95</v>
      </c>
      <c r="D747" t="s">
        <v>109</v>
      </c>
      <c r="E747">
        <v>22</v>
      </c>
      <c r="F747">
        <v>80</v>
      </c>
      <c r="G747">
        <v>1760</v>
      </c>
      <c r="H747">
        <v>0.11</v>
      </c>
      <c r="I747">
        <v>193.6</v>
      </c>
      <c r="J747" t="s">
        <v>102</v>
      </c>
    </row>
    <row r="748" spans="1:10" x14ac:dyDescent="0.25">
      <c r="A748" t="s">
        <v>872</v>
      </c>
      <c r="B748" s="18">
        <v>43291</v>
      </c>
      <c r="C748" t="s">
        <v>101</v>
      </c>
      <c r="D748" t="s">
        <v>104</v>
      </c>
      <c r="E748">
        <v>15</v>
      </c>
      <c r="F748">
        <v>230</v>
      </c>
      <c r="G748">
        <v>3450</v>
      </c>
      <c r="H748">
        <v>0.11</v>
      </c>
      <c r="I748">
        <v>379.5</v>
      </c>
      <c r="J748" t="s">
        <v>113</v>
      </c>
    </row>
    <row r="749" spans="1:10" x14ac:dyDescent="0.25">
      <c r="A749" t="s">
        <v>873</v>
      </c>
      <c r="B749" s="18">
        <v>43291</v>
      </c>
      <c r="C749" t="s">
        <v>98</v>
      </c>
      <c r="D749" t="s">
        <v>99</v>
      </c>
      <c r="E749">
        <v>7</v>
      </c>
      <c r="F749">
        <v>40</v>
      </c>
      <c r="G749">
        <v>280</v>
      </c>
      <c r="H749">
        <v>0.01</v>
      </c>
      <c r="I749">
        <v>2.8000000000000003</v>
      </c>
      <c r="J749" t="s">
        <v>102</v>
      </c>
    </row>
    <row r="750" spans="1:10" x14ac:dyDescent="0.25">
      <c r="A750" t="s">
        <v>874</v>
      </c>
      <c r="B750" s="18">
        <v>43291</v>
      </c>
      <c r="C750" t="s">
        <v>111</v>
      </c>
      <c r="D750" t="s">
        <v>109</v>
      </c>
      <c r="E750">
        <v>17</v>
      </c>
      <c r="F750">
        <v>150</v>
      </c>
      <c r="G750">
        <v>2550</v>
      </c>
      <c r="H750">
        <v>0.02</v>
      </c>
      <c r="I750">
        <v>51</v>
      </c>
      <c r="J750" t="s">
        <v>113</v>
      </c>
    </row>
    <row r="751" spans="1:10" x14ac:dyDescent="0.25">
      <c r="A751" t="s">
        <v>875</v>
      </c>
      <c r="B751" s="18">
        <v>43291</v>
      </c>
      <c r="C751" t="s">
        <v>111</v>
      </c>
      <c r="D751" t="s">
        <v>99</v>
      </c>
      <c r="E751">
        <v>22</v>
      </c>
      <c r="F751">
        <v>150</v>
      </c>
      <c r="G751">
        <v>3300</v>
      </c>
      <c r="H751">
        <v>0.02</v>
      </c>
      <c r="I751">
        <v>66</v>
      </c>
      <c r="J751" t="s">
        <v>102</v>
      </c>
    </row>
    <row r="752" spans="1:10" x14ac:dyDescent="0.25">
      <c r="A752" t="s">
        <v>876</v>
      </c>
      <c r="B752" s="18">
        <v>43291</v>
      </c>
      <c r="C752" t="s">
        <v>101</v>
      </c>
      <c r="D752" t="s">
        <v>104</v>
      </c>
      <c r="E752">
        <v>10</v>
      </c>
      <c r="F752">
        <v>230</v>
      </c>
      <c r="G752">
        <v>2300</v>
      </c>
      <c r="H752">
        <v>0.02</v>
      </c>
      <c r="I752">
        <v>46</v>
      </c>
      <c r="J752" t="s">
        <v>113</v>
      </c>
    </row>
    <row r="753" spans="1:10" x14ac:dyDescent="0.25">
      <c r="A753" t="s">
        <v>877</v>
      </c>
      <c r="B753" s="18">
        <v>43291</v>
      </c>
      <c r="C753" t="s">
        <v>98</v>
      </c>
      <c r="D753" t="s">
        <v>109</v>
      </c>
      <c r="E753">
        <v>21</v>
      </c>
      <c r="F753">
        <v>40</v>
      </c>
      <c r="G753">
        <v>840</v>
      </c>
      <c r="H753">
        <v>0.01</v>
      </c>
      <c r="I753">
        <v>8.4</v>
      </c>
      <c r="J753" t="s">
        <v>102</v>
      </c>
    </row>
    <row r="754" spans="1:10" x14ac:dyDescent="0.25">
      <c r="A754" t="s">
        <v>878</v>
      </c>
      <c r="B754" s="18">
        <v>43291</v>
      </c>
      <c r="C754" t="s">
        <v>101</v>
      </c>
      <c r="D754" t="s">
        <v>104</v>
      </c>
      <c r="E754">
        <v>5</v>
      </c>
      <c r="F754">
        <v>230</v>
      </c>
      <c r="G754">
        <v>1150</v>
      </c>
      <c r="H754">
        <v>0.1</v>
      </c>
      <c r="I754">
        <v>115</v>
      </c>
      <c r="J754" t="s">
        <v>113</v>
      </c>
    </row>
    <row r="755" spans="1:10" x14ac:dyDescent="0.25">
      <c r="A755" t="s">
        <v>879</v>
      </c>
      <c r="B755" s="18">
        <v>43291</v>
      </c>
      <c r="C755" t="s">
        <v>101</v>
      </c>
      <c r="D755" t="s">
        <v>109</v>
      </c>
      <c r="E755">
        <v>13</v>
      </c>
      <c r="F755">
        <v>230</v>
      </c>
      <c r="G755">
        <v>2990</v>
      </c>
      <c r="H755">
        <v>0.06</v>
      </c>
      <c r="I755">
        <v>179.4</v>
      </c>
      <c r="J755" t="s">
        <v>102</v>
      </c>
    </row>
    <row r="756" spans="1:10" x14ac:dyDescent="0.25">
      <c r="A756" t="s">
        <v>880</v>
      </c>
      <c r="B756" s="18">
        <v>43291</v>
      </c>
      <c r="C756" t="s">
        <v>111</v>
      </c>
      <c r="D756" t="s">
        <v>96</v>
      </c>
      <c r="E756">
        <v>23</v>
      </c>
      <c r="F756">
        <v>150</v>
      </c>
      <c r="G756">
        <v>3450</v>
      </c>
      <c r="H756">
        <v>0.1</v>
      </c>
      <c r="I756">
        <v>345</v>
      </c>
      <c r="J756" t="s">
        <v>113</v>
      </c>
    </row>
    <row r="757" spans="1:10" x14ac:dyDescent="0.25">
      <c r="A757" t="s">
        <v>881</v>
      </c>
      <c r="B757" s="18">
        <v>43291</v>
      </c>
      <c r="C757" t="s">
        <v>111</v>
      </c>
      <c r="D757" t="s">
        <v>96</v>
      </c>
      <c r="E757">
        <v>20</v>
      </c>
      <c r="F757">
        <v>150</v>
      </c>
      <c r="G757">
        <v>3000</v>
      </c>
      <c r="H757">
        <v>0.03</v>
      </c>
      <c r="I757">
        <v>90</v>
      </c>
      <c r="J757" t="s">
        <v>102</v>
      </c>
    </row>
    <row r="758" spans="1:10" x14ac:dyDescent="0.25">
      <c r="A758" t="s">
        <v>882</v>
      </c>
      <c r="B758" s="18">
        <v>43292</v>
      </c>
      <c r="C758" t="s">
        <v>101</v>
      </c>
      <c r="D758" t="s">
        <v>96</v>
      </c>
      <c r="E758">
        <v>3</v>
      </c>
      <c r="F758">
        <v>230</v>
      </c>
      <c r="G758">
        <v>690</v>
      </c>
      <c r="H758">
        <v>0.11</v>
      </c>
      <c r="I758">
        <v>75.900000000000006</v>
      </c>
      <c r="J758" t="s">
        <v>113</v>
      </c>
    </row>
    <row r="759" spans="1:10" x14ac:dyDescent="0.25">
      <c r="A759" t="s">
        <v>883</v>
      </c>
      <c r="B759" s="18">
        <v>43292</v>
      </c>
      <c r="C759" t="s">
        <v>111</v>
      </c>
      <c r="D759" t="s">
        <v>99</v>
      </c>
      <c r="E759">
        <v>16</v>
      </c>
      <c r="F759">
        <v>150</v>
      </c>
      <c r="G759">
        <v>2400</v>
      </c>
      <c r="H759">
        <v>0.08</v>
      </c>
      <c r="I759">
        <v>192</v>
      </c>
      <c r="J759" t="s">
        <v>102</v>
      </c>
    </row>
    <row r="760" spans="1:10" x14ac:dyDescent="0.25">
      <c r="A760" t="s">
        <v>884</v>
      </c>
      <c r="B760" s="18">
        <v>43292</v>
      </c>
      <c r="C760" t="s">
        <v>108</v>
      </c>
      <c r="D760" t="s">
        <v>109</v>
      </c>
      <c r="E760">
        <v>14</v>
      </c>
      <c r="F760">
        <v>16</v>
      </c>
      <c r="G760">
        <v>224</v>
      </c>
      <c r="H760">
        <v>0.06</v>
      </c>
      <c r="I760">
        <v>13.44</v>
      </c>
      <c r="J760" t="s">
        <v>113</v>
      </c>
    </row>
    <row r="761" spans="1:10" x14ac:dyDescent="0.25">
      <c r="A761" t="s">
        <v>885</v>
      </c>
      <c r="B761" s="18">
        <v>43292</v>
      </c>
      <c r="C761" t="s">
        <v>111</v>
      </c>
      <c r="D761" t="s">
        <v>99</v>
      </c>
      <c r="E761">
        <v>16</v>
      </c>
      <c r="F761">
        <v>150</v>
      </c>
      <c r="G761">
        <v>2400</v>
      </c>
      <c r="H761">
        <v>0.03</v>
      </c>
      <c r="I761">
        <v>72</v>
      </c>
      <c r="J761" t="s">
        <v>102</v>
      </c>
    </row>
    <row r="762" spans="1:10" x14ac:dyDescent="0.25">
      <c r="A762" t="s">
        <v>886</v>
      </c>
      <c r="B762" s="18">
        <v>43292</v>
      </c>
      <c r="C762" t="s">
        <v>108</v>
      </c>
      <c r="D762" t="s">
        <v>109</v>
      </c>
      <c r="E762">
        <v>19</v>
      </c>
      <c r="F762">
        <v>16</v>
      </c>
      <c r="G762">
        <v>304</v>
      </c>
      <c r="H762">
        <v>0.02</v>
      </c>
      <c r="I762">
        <v>6.08</v>
      </c>
      <c r="J762" t="s">
        <v>113</v>
      </c>
    </row>
    <row r="763" spans="1:10" x14ac:dyDescent="0.25">
      <c r="A763" t="s">
        <v>887</v>
      </c>
      <c r="B763" s="18">
        <v>43292</v>
      </c>
      <c r="C763" t="s">
        <v>95</v>
      </c>
      <c r="D763" t="s">
        <v>109</v>
      </c>
      <c r="E763">
        <v>6</v>
      </c>
      <c r="F763">
        <v>80</v>
      </c>
      <c r="G763">
        <v>480</v>
      </c>
      <c r="H763">
        <v>0.09</v>
      </c>
      <c r="I763">
        <v>43.199999999999996</v>
      </c>
      <c r="J763" t="s">
        <v>102</v>
      </c>
    </row>
    <row r="764" spans="1:10" x14ac:dyDescent="0.25">
      <c r="A764" t="s">
        <v>888</v>
      </c>
      <c r="B764" s="18">
        <v>43292</v>
      </c>
      <c r="C764" t="s">
        <v>95</v>
      </c>
      <c r="D764" t="s">
        <v>109</v>
      </c>
      <c r="E764">
        <v>9</v>
      </c>
      <c r="F764">
        <v>80</v>
      </c>
      <c r="G764">
        <v>720</v>
      </c>
      <c r="H764">
        <v>7.0000000000000007E-2</v>
      </c>
      <c r="I764">
        <v>50.400000000000006</v>
      </c>
      <c r="J764" t="s">
        <v>113</v>
      </c>
    </row>
    <row r="765" spans="1:10" x14ac:dyDescent="0.25">
      <c r="A765" t="s">
        <v>889</v>
      </c>
      <c r="B765" s="18">
        <v>43292</v>
      </c>
      <c r="C765" t="s">
        <v>111</v>
      </c>
      <c r="D765" t="s">
        <v>99</v>
      </c>
      <c r="E765">
        <v>20</v>
      </c>
      <c r="F765">
        <v>150</v>
      </c>
      <c r="G765">
        <v>3000</v>
      </c>
      <c r="H765">
        <v>0.09</v>
      </c>
      <c r="I765">
        <v>270</v>
      </c>
      <c r="J765" t="s">
        <v>102</v>
      </c>
    </row>
    <row r="766" spans="1:10" x14ac:dyDescent="0.25">
      <c r="A766" t="s">
        <v>890</v>
      </c>
      <c r="B766" s="18">
        <v>43292</v>
      </c>
      <c r="C766" t="s">
        <v>95</v>
      </c>
      <c r="D766" t="s">
        <v>104</v>
      </c>
      <c r="E766">
        <v>10</v>
      </c>
      <c r="F766">
        <v>80</v>
      </c>
      <c r="G766">
        <v>800</v>
      </c>
      <c r="H766">
        <v>0.11</v>
      </c>
      <c r="I766">
        <v>88</v>
      </c>
      <c r="J766" t="s">
        <v>113</v>
      </c>
    </row>
    <row r="767" spans="1:10" x14ac:dyDescent="0.25">
      <c r="A767" t="s">
        <v>891</v>
      </c>
      <c r="B767" s="18">
        <v>43292</v>
      </c>
      <c r="C767" t="s">
        <v>108</v>
      </c>
      <c r="D767" t="s">
        <v>96</v>
      </c>
      <c r="E767">
        <v>4</v>
      </c>
      <c r="F767">
        <v>16</v>
      </c>
      <c r="G767">
        <v>64</v>
      </c>
      <c r="H767">
        <v>0.12</v>
      </c>
      <c r="I767">
        <v>7.68</v>
      </c>
      <c r="J767" t="s">
        <v>102</v>
      </c>
    </row>
    <row r="768" spans="1:10" x14ac:dyDescent="0.25">
      <c r="A768" t="s">
        <v>892</v>
      </c>
      <c r="B768" s="18">
        <v>43292</v>
      </c>
      <c r="C768" t="s">
        <v>98</v>
      </c>
      <c r="D768" t="s">
        <v>109</v>
      </c>
      <c r="E768">
        <v>16</v>
      </c>
      <c r="F768">
        <v>40</v>
      </c>
      <c r="G768">
        <v>640</v>
      </c>
      <c r="H768">
        <v>0.11</v>
      </c>
      <c r="I768">
        <v>70.400000000000006</v>
      </c>
      <c r="J768" t="s">
        <v>113</v>
      </c>
    </row>
    <row r="769" spans="1:10" x14ac:dyDescent="0.25">
      <c r="A769" t="s">
        <v>893</v>
      </c>
      <c r="B769" s="18">
        <v>43293</v>
      </c>
      <c r="C769" t="s">
        <v>95</v>
      </c>
      <c r="D769" t="s">
        <v>99</v>
      </c>
      <c r="E769">
        <v>5</v>
      </c>
      <c r="F769">
        <v>80</v>
      </c>
      <c r="G769">
        <v>400</v>
      </c>
      <c r="H769">
        <v>0.04</v>
      </c>
      <c r="I769">
        <v>16</v>
      </c>
      <c r="J769" t="s">
        <v>102</v>
      </c>
    </row>
    <row r="770" spans="1:10" x14ac:dyDescent="0.25">
      <c r="A770" t="s">
        <v>894</v>
      </c>
      <c r="B770" s="18">
        <v>43293</v>
      </c>
      <c r="C770" t="s">
        <v>108</v>
      </c>
      <c r="D770" t="s">
        <v>104</v>
      </c>
      <c r="E770">
        <v>11</v>
      </c>
      <c r="F770">
        <v>16</v>
      </c>
      <c r="G770">
        <v>176</v>
      </c>
      <c r="H770">
        <v>0.04</v>
      </c>
      <c r="I770">
        <v>7.04</v>
      </c>
      <c r="J770" t="s">
        <v>113</v>
      </c>
    </row>
    <row r="771" spans="1:10" x14ac:dyDescent="0.25">
      <c r="A771" t="s">
        <v>895</v>
      </c>
      <c r="B771" s="18">
        <v>43293</v>
      </c>
      <c r="C771" t="s">
        <v>111</v>
      </c>
      <c r="D771" t="s">
        <v>96</v>
      </c>
      <c r="E771">
        <v>17</v>
      </c>
      <c r="F771">
        <v>150</v>
      </c>
      <c r="G771">
        <v>2550</v>
      </c>
      <c r="H771">
        <v>0.12</v>
      </c>
      <c r="I771">
        <v>306</v>
      </c>
      <c r="J771" t="s">
        <v>102</v>
      </c>
    </row>
    <row r="772" spans="1:10" x14ac:dyDescent="0.25">
      <c r="A772" t="s">
        <v>896</v>
      </c>
      <c r="B772" s="18">
        <v>43293</v>
      </c>
      <c r="C772" t="s">
        <v>101</v>
      </c>
      <c r="D772" t="s">
        <v>99</v>
      </c>
      <c r="E772">
        <v>19</v>
      </c>
      <c r="F772">
        <v>230</v>
      </c>
      <c r="G772">
        <v>4370</v>
      </c>
      <c r="H772">
        <v>0.11</v>
      </c>
      <c r="I772">
        <v>480.7</v>
      </c>
      <c r="J772" t="s">
        <v>113</v>
      </c>
    </row>
    <row r="773" spans="1:10" x14ac:dyDescent="0.25">
      <c r="A773" t="s">
        <v>897</v>
      </c>
      <c r="B773" s="18">
        <v>43293</v>
      </c>
      <c r="C773" t="s">
        <v>95</v>
      </c>
      <c r="D773" t="s">
        <v>96</v>
      </c>
      <c r="E773">
        <v>21</v>
      </c>
      <c r="F773">
        <v>80</v>
      </c>
      <c r="G773">
        <v>1680</v>
      </c>
      <c r="H773">
        <v>0.04</v>
      </c>
      <c r="I773">
        <v>67.2</v>
      </c>
      <c r="J773" t="s">
        <v>102</v>
      </c>
    </row>
    <row r="774" spans="1:10" x14ac:dyDescent="0.25">
      <c r="A774" t="s">
        <v>898</v>
      </c>
      <c r="B774" s="18">
        <v>43293</v>
      </c>
      <c r="C774" t="s">
        <v>101</v>
      </c>
      <c r="D774" t="s">
        <v>99</v>
      </c>
      <c r="E774">
        <v>7</v>
      </c>
      <c r="F774">
        <v>230</v>
      </c>
      <c r="G774">
        <v>1610</v>
      </c>
      <c r="H774">
        <v>0.01</v>
      </c>
      <c r="I774">
        <v>16.100000000000001</v>
      </c>
      <c r="J774" t="s">
        <v>113</v>
      </c>
    </row>
    <row r="775" spans="1:10" x14ac:dyDescent="0.25">
      <c r="A775" t="s">
        <v>899</v>
      </c>
      <c r="B775" s="18">
        <v>43293</v>
      </c>
      <c r="C775" t="s">
        <v>98</v>
      </c>
      <c r="D775" t="s">
        <v>104</v>
      </c>
      <c r="E775">
        <v>2</v>
      </c>
      <c r="F775">
        <v>40</v>
      </c>
      <c r="G775">
        <v>80</v>
      </c>
      <c r="H775">
        <v>0.03</v>
      </c>
      <c r="I775">
        <v>2.4</v>
      </c>
      <c r="J775" t="s">
        <v>102</v>
      </c>
    </row>
    <row r="776" spans="1:10" x14ac:dyDescent="0.25">
      <c r="A776" t="s">
        <v>900</v>
      </c>
      <c r="B776" s="18">
        <v>43293</v>
      </c>
      <c r="C776" t="s">
        <v>111</v>
      </c>
      <c r="D776" t="s">
        <v>96</v>
      </c>
      <c r="E776">
        <v>7</v>
      </c>
      <c r="F776">
        <v>150</v>
      </c>
      <c r="G776">
        <v>1050</v>
      </c>
      <c r="H776">
        <v>0.02</v>
      </c>
      <c r="I776">
        <v>21</v>
      </c>
      <c r="J776" t="s">
        <v>113</v>
      </c>
    </row>
    <row r="777" spans="1:10" x14ac:dyDescent="0.25">
      <c r="A777" t="s">
        <v>901</v>
      </c>
      <c r="B777" s="18">
        <v>43294</v>
      </c>
      <c r="C777" t="s">
        <v>95</v>
      </c>
      <c r="D777" t="s">
        <v>104</v>
      </c>
      <c r="E777">
        <v>16</v>
      </c>
      <c r="F777">
        <v>80</v>
      </c>
      <c r="G777">
        <v>1280</v>
      </c>
      <c r="H777">
        <v>0.04</v>
      </c>
      <c r="I777">
        <v>51.2</v>
      </c>
      <c r="J777" t="s">
        <v>102</v>
      </c>
    </row>
    <row r="778" spans="1:10" x14ac:dyDescent="0.25">
      <c r="A778" t="s">
        <v>902</v>
      </c>
      <c r="B778" s="18">
        <v>43294</v>
      </c>
      <c r="C778" t="s">
        <v>98</v>
      </c>
      <c r="D778" t="s">
        <v>99</v>
      </c>
      <c r="E778">
        <v>4</v>
      </c>
      <c r="F778">
        <v>40</v>
      </c>
      <c r="G778">
        <v>160</v>
      </c>
      <c r="H778">
        <v>0.12</v>
      </c>
      <c r="I778">
        <v>19.2</v>
      </c>
      <c r="J778" t="s">
        <v>113</v>
      </c>
    </row>
    <row r="779" spans="1:10" x14ac:dyDescent="0.25">
      <c r="A779" t="s">
        <v>903</v>
      </c>
      <c r="B779" s="18">
        <v>43294</v>
      </c>
      <c r="C779" t="s">
        <v>108</v>
      </c>
      <c r="D779" t="s">
        <v>96</v>
      </c>
      <c r="E779">
        <v>22</v>
      </c>
      <c r="F779">
        <v>16</v>
      </c>
      <c r="G779">
        <v>352</v>
      </c>
      <c r="H779">
        <v>0.01</v>
      </c>
      <c r="I779">
        <v>3.52</v>
      </c>
      <c r="J779" t="s">
        <v>102</v>
      </c>
    </row>
    <row r="780" spans="1:10" x14ac:dyDescent="0.25">
      <c r="A780" t="s">
        <v>904</v>
      </c>
      <c r="B780" s="18">
        <v>43294</v>
      </c>
      <c r="C780" t="s">
        <v>98</v>
      </c>
      <c r="D780" t="s">
        <v>106</v>
      </c>
      <c r="E780">
        <v>18</v>
      </c>
      <c r="F780">
        <v>40</v>
      </c>
      <c r="G780">
        <v>720</v>
      </c>
      <c r="H780">
        <v>0.06</v>
      </c>
      <c r="I780">
        <v>43.199999999999996</v>
      </c>
      <c r="J780" t="s">
        <v>113</v>
      </c>
    </row>
    <row r="781" spans="1:10" x14ac:dyDescent="0.25">
      <c r="A781" t="s">
        <v>905</v>
      </c>
      <c r="B781" s="18">
        <v>43294</v>
      </c>
      <c r="C781" t="s">
        <v>95</v>
      </c>
      <c r="D781" t="s">
        <v>104</v>
      </c>
      <c r="E781">
        <v>6</v>
      </c>
      <c r="F781">
        <v>80</v>
      </c>
      <c r="G781">
        <v>480</v>
      </c>
      <c r="H781">
        <v>0.01</v>
      </c>
      <c r="I781">
        <v>4.8</v>
      </c>
      <c r="J781" t="s">
        <v>102</v>
      </c>
    </row>
    <row r="782" spans="1:10" x14ac:dyDescent="0.25">
      <c r="A782" t="s">
        <v>906</v>
      </c>
      <c r="B782" s="18">
        <v>43294</v>
      </c>
      <c r="C782" t="s">
        <v>101</v>
      </c>
      <c r="D782" t="s">
        <v>104</v>
      </c>
      <c r="E782">
        <v>2</v>
      </c>
      <c r="F782">
        <v>230</v>
      </c>
      <c r="G782">
        <v>460</v>
      </c>
      <c r="H782">
        <v>0.09</v>
      </c>
      <c r="I782">
        <v>41.4</v>
      </c>
      <c r="J782" t="s">
        <v>113</v>
      </c>
    </row>
    <row r="783" spans="1:10" x14ac:dyDescent="0.25">
      <c r="A783" t="s">
        <v>907</v>
      </c>
      <c r="B783" s="18">
        <v>43295</v>
      </c>
      <c r="C783" t="s">
        <v>111</v>
      </c>
      <c r="D783" t="s">
        <v>109</v>
      </c>
      <c r="E783">
        <v>11</v>
      </c>
      <c r="F783">
        <v>150</v>
      </c>
      <c r="G783">
        <v>1650</v>
      </c>
      <c r="H783">
        <v>0.09</v>
      </c>
      <c r="I783">
        <v>148.5</v>
      </c>
      <c r="J783" t="s">
        <v>102</v>
      </c>
    </row>
    <row r="784" spans="1:10" x14ac:dyDescent="0.25">
      <c r="A784" t="s">
        <v>908</v>
      </c>
      <c r="B784" s="18">
        <v>43295</v>
      </c>
      <c r="C784" t="s">
        <v>111</v>
      </c>
      <c r="D784" t="s">
        <v>106</v>
      </c>
      <c r="E784">
        <v>15</v>
      </c>
      <c r="F784">
        <v>150</v>
      </c>
      <c r="G784">
        <v>2250</v>
      </c>
      <c r="H784">
        <v>0.08</v>
      </c>
      <c r="I784">
        <v>180</v>
      </c>
      <c r="J784" t="s">
        <v>113</v>
      </c>
    </row>
    <row r="785" spans="1:10" x14ac:dyDescent="0.25">
      <c r="A785" t="s">
        <v>909</v>
      </c>
      <c r="B785" s="18">
        <v>43295</v>
      </c>
      <c r="C785" t="s">
        <v>95</v>
      </c>
      <c r="D785" t="s">
        <v>96</v>
      </c>
      <c r="E785">
        <v>17</v>
      </c>
      <c r="F785">
        <v>80</v>
      </c>
      <c r="G785">
        <v>1360</v>
      </c>
      <c r="H785">
        <v>0.09</v>
      </c>
      <c r="I785">
        <v>122.39999999999999</v>
      </c>
      <c r="J785" t="s">
        <v>102</v>
      </c>
    </row>
    <row r="786" spans="1:10" x14ac:dyDescent="0.25">
      <c r="A786" t="s">
        <v>910</v>
      </c>
      <c r="B786" s="18">
        <v>43295</v>
      </c>
      <c r="C786" t="s">
        <v>111</v>
      </c>
      <c r="D786" t="s">
        <v>109</v>
      </c>
      <c r="E786">
        <v>13</v>
      </c>
      <c r="F786">
        <v>150</v>
      </c>
      <c r="G786">
        <v>1950</v>
      </c>
      <c r="H786">
        <v>0.11</v>
      </c>
      <c r="I786">
        <v>214.5</v>
      </c>
      <c r="J786" t="s">
        <v>113</v>
      </c>
    </row>
    <row r="787" spans="1:10" x14ac:dyDescent="0.25">
      <c r="A787" t="s">
        <v>911</v>
      </c>
      <c r="B787" s="18">
        <v>43295</v>
      </c>
      <c r="C787" t="s">
        <v>98</v>
      </c>
      <c r="D787" t="s">
        <v>106</v>
      </c>
      <c r="E787">
        <v>7</v>
      </c>
      <c r="F787">
        <v>40</v>
      </c>
      <c r="G787">
        <v>280</v>
      </c>
      <c r="H787">
        <v>7.0000000000000007E-2</v>
      </c>
      <c r="I787">
        <v>19.600000000000001</v>
      </c>
      <c r="J787" t="s">
        <v>102</v>
      </c>
    </row>
    <row r="788" spans="1:10" x14ac:dyDescent="0.25">
      <c r="A788" t="s">
        <v>912</v>
      </c>
      <c r="B788" s="18">
        <v>43295</v>
      </c>
      <c r="C788" t="s">
        <v>101</v>
      </c>
      <c r="D788" t="s">
        <v>106</v>
      </c>
      <c r="E788">
        <v>3</v>
      </c>
      <c r="F788">
        <v>230</v>
      </c>
      <c r="G788">
        <v>690</v>
      </c>
      <c r="H788">
        <v>0.01</v>
      </c>
      <c r="I788">
        <v>6.9</v>
      </c>
      <c r="J788" t="s">
        <v>113</v>
      </c>
    </row>
    <row r="789" spans="1:10" x14ac:dyDescent="0.25">
      <c r="A789" t="s">
        <v>913</v>
      </c>
      <c r="B789" s="18">
        <v>43295</v>
      </c>
      <c r="C789" t="s">
        <v>98</v>
      </c>
      <c r="D789" t="s">
        <v>104</v>
      </c>
      <c r="E789">
        <v>12</v>
      </c>
      <c r="F789">
        <v>40</v>
      </c>
      <c r="G789">
        <v>480</v>
      </c>
      <c r="H789">
        <v>0.02</v>
      </c>
      <c r="I789">
        <v>9.6</v>
      </c>
      <c r="J789" t="s">
        <v>102</v>
      </c>
    </row>
    <row r="790" spans="1:10" x14ac:dyDescent="0.25">
      <c r="A790" t="s">
        <v>914</v>
      </c>
      <c r="B790" s="18">
        <v>43295</v>
      </c>
      <c r="C790" t="s">
        <v>111</v>
      </c>
      <c r="D790" t="s">
        <v>104</v>
      </c>
      <c r="E790">
        <v>11</v>
      </c>
      <c r="F790">
        <v>150</v>
      </c>
      <c r="G790">
        <v>1650</v>
      </c>
      <c r="H790">
        <v>0.11</v>
      </c>
      <c r="I790">
        <v>181.5</v>
      </c>
      <c r="J790" t="s">
        <v>113</v>
      </c>
    </row>
    <row r="791" spans="1:10" x14ac:dyDescent="0.25">
      <c r="A791" t="s">
        <v>915</v>
      </c>
      <c r="B791" s="18">
        <v>43295</v>
      </c>
      <c r="C791" t="s">
        <v>98</v>
      </c>
      <c r="D791" t="s">
        <v>99</v>
      </c>
      <c r="E791">
        <v>21</v>
      </c>
      <c r="F791">
        <v>40</v>
      </c>
      <c r="G791">
        <v>840</v>
      </c>
      <c r="H791">
        <v>0.03</v>
      </c>
      <c r="I791">
        <v>25.2</v>
      </c>
      <c r="J791" t="s">
        <v>102</v>
      </c>
    </row>
    <row r="792" spans="1:10" x14ac:dyDescent="0.25">
      <c r="A792" t="s">
        <v>916</v>
      </c>
      <c r="B792" s="18">
        <v>43295</v>
      </c>
      <c r="C792" t="s">
        <v>111</v>
      </c>
      <c r="D792" t="s">
        <v>96</v>
      </c>
      <c r="E792">
        <v>22</v>
      </c>
      <c r="F792">
        <v>150</v>
      </c>
      <c r="G792">
        <v>3300</v>
      </c>
      <c r="H792">
        <v>7.0000000000000007E-2</v>
      </c>
      <c r="I792">
        <v>231.00000000000003</v>
      </c>
      <c r="J792" t="s">
        <v>113</v>
      </c>
    </row>
    <row r="793" spans="1:10" x14ac:dyDescent="0.25">
      <c r="A793" t="s">
        <v>917</v>
      </c>
      <c r="B793" s="18">
        <v>43295</v>
      </c>
      <c r="C793" t="s">
        <v>98</v>
      </c>
      <c r="D793" t="s">
        <v>104</v>
      </c>
      <c r="E793">
        <v>20</v>
      </c>
      <c r="F793">
        <v>40</v>
      </c>
      <c r="G793">
        <v>800</v>
      </c>
      <c r="H793">
        <v>0.01</v>
      </c>
      <c r="I793">
        <v>8</v>
      </c>
      <c r="J793" t="s">
        <v>102</v>
      </c>
    </row>
    <row r="794" spans="1:10" x14ac:dyDescent="0.25">
      <c r="A794" t="s">
        <v>918</v>
      </c>
      <c r="B794" s="18">
        <v>43296</v>
      </c>
      <c r="C794" t="s">
        <v>108</v>
      </c>
      <c r="D794" t="s">
        <v>109</v>
      </c>
      <c r="E794">
        <v>22</v>
      </c>
      <c r="F794">
        <v>16</v>
      </c>
      <c r="G794">
        <v>352</v>
      </c>
      <c r="H794">
        <v>0.12</v>
      </c>
      <c r="I794">
        <v>42.239999999999995</v>
      </c>
      <c r="J794" t="s">
        <v>113</v>
      </c>
    </row>
    <row r="795" spans="1:10" x14ac:dyDescent="0.25">
      <c r="A795" t="s">
        <v>919</v>
      </c>
      <c r="B795" s="18">
        <v>43296</v>
      </c>
      <c r="C795" t="s">
        <v>98</v>
      </c>
      <c r="D795" t="s">
        <v>104</v>
      </c>
      <c r="E795">
        <v>4</v>
      </c>
      <c r="F795">
        <v>40</v>
      </c>
      <c r="G795">
        <v>160</v>
      </c>
      <c r="H795">
        <v>0.1</v>
      </c>
      <c r="I795">
        <v>16</v>
      </c>
      <c r="J795" t="s">
        <v>102</v>
      </c>
    </row>
    <row r="796" spans="1:10" x14ac:dyDescent="0.25">
      <c r="A796" t="s">
        <v>920</v>
      </c>
      <c r="B796" s="18">
        <v>43296</v>
      </c>
      <c r="C796" t="s">
        <v>101</v>
      </c>
      <c r="D796" t="s">
        <v>106</v>
      </c>
      <c r="E796">
        <v>2</v>
      </c>
      <c r="F796">
        <v>230</v>
      </c>
      <c r="G796">
        <v>460</v>
      </c>
      <c r="H796">
        <v>0.09</v>
      </c>
      <c r="I796">
        <v>41.4</v>
      </c>
      <c r="J796" t="s">
        <v>113</v>
      </c>
    </row>
    <row r="797" spans="1:10" x14ac:dyDescent="0.25">
      <c r="A797" t="s">
        <v>921</v>
      </c>
      <c r="B797" s="18">
        <v>43296</v>
      </c>
      <c r="C797" t="s">
        <v>98</v>
      </c>
      <c r="D797" t="s">
        <v>96</v>
      </c>
      <c r="E797">
        <v>22</v>
      </c>
      <c r="F797">
        <v>40</v>
      </c>
      <c r="G797">
        <v>880</v>
      </c>
      <c r="H797">
        <v>0.02</v>
      </c>
      <c r="I797">
        <v>17.600000000000001</v>
      </c>
      <c r="J797" t="s">
        <v>102</v>
      </c>
    </row>
    <row r="798" spans="1:10" x14ac:dyDescent="0.25">
      <c r="A798" t="s">
        <v>922</v>
      </c>
      <c r="B798" s="18">
        <v>43296</v>
      </c>
      <c r="C798" t="s">
        <v>98</v>
      </c>
      <c r="D798" t="s">
        <v>99</v>
      </c>
      <c r="E798">
        <v>4</v>
      </c>
      <c r="F798">
        <v>40</v>
      </c>
      <c r="G798">
        <v>160</v>
      </c>
      <c r="H798">
        <v>0.03</v>
      </c>
      <c r="I798">
        <v>4.8</v>
      </c>
      <c r="J798" t="s">
        <v>113</v>
      </c>
    </row>
    <row r="799" spans="1:10" x14ac:dyDescent="0.25">
      <c r="A799" t="s">
        <v>923</v>
      </c>
      <c r="B799" s="18">
        <v>43296</v>
      </c>
      <c r="C799" t="s">
        <v>108</v>
      </c>
      <c r="D799" t="s">
        <v>99</v>
      </c>
      <c r="E799">
        <v>5</v>
      </c>
      <c r="F799">
        <v>16</v>
      </c>
      <c r="G799">
        <v>80</v>
      </c>
      <c r="H799">
        <v>0.11</v>
      </c>
      <c r="I799">
        <v>8.8000000000000007</v>
      </c>
      <c r="J799" t="s">
        <v>102</v>
      </c>
    </row>
    <row r="800" spans="1:10" x14ac:dyDescent="0.25">
      <c r="A800" t="s">
        <v>924</v>
      </c>
      <c r="B800" s="18">
        <v>43296</v>
      </c>
      <c r="C800" t="s">
        <v>95</v>
      </c>
      <c r="D800" t="s">
        <v>106</v>
      </c>
      <c r="E800">
        <v>2</v>
      </c>
      <c r="F800">
        <v>80</v>
      </c>
      <c r="G800">
        <v>160</v>
      </c>
      <c r="H800">
        <v>0.08</v>
      </c>
      <c r="I800">
        <v>12.8</v>
      </c>
      <c r="J800" t="s">
        <v>113</v>
      </c>
    </row>
    <row r="801" spans="1:10" x14ac:dyDescent="0.25">
      <c r="A801" t="s">
        <v>925</v>
      </c>
      <c r="B801" s="18">
        <v>43296</v>
      </c>
      <c r="C801" t="s">
        <v>108</v>
      </c>
      <c r="D801" t="s">
        <v>104</v>
      </c>
      <c r="E801">
        <v>9</v>
      </c>
      <c r="F801">
        <v>16</v>
      </c>
      <c r="G801">
        <v>144</v>
      </c>
      <c r="H801">
        <v>0.05</v>
      </c>
      <c r="I801">
        <v>7.2</v>
      </c>
      <c r="J801" t="s">
        <v>102</v>
      </c>
    </row>
    <row r="802" spans="1:10" x14ac:dyDescent="0.25">
      <c r="A802" t="s">
        <v>926</v>
      </c>
      <c r="B802" s="18">
        <v>43296</v>
      </c>
      <c r="C802" t="s">
        <v>101</v>
      </c>
      <c r="D802" t="s">
        <v>104</v>
      </c>
      <c r="E802">
        <v>6</v>
      </c>
      <c r="F802">
        <v>230</v>
      </c>
      <c r="G802">
        <v>1380</v>
      </c>
      <c r="H802">
        <v>0.05</v>
      </c>
      <c r="I802">
        <v>69</v>
      </c>
      <c r="J802" t="s">
        <v>113</v>
      </c>
    </row>
    <row r="803" spans="1:10" x14ac:dyDescent="0.25">
      <c r="A803" t="s">
        <v>927</v>
      </c>
      <c r="B803" s="18">
        <v>43296</v>
      </c>
      <c r="C803" t="s">
        <v>111</v>
      </c>
      <c r="D803" t="s">
        <v>106</v>
      </c>
      <c r="E803">
        <v>22</v>
      </c>
      <c r="F803">
        <v>150</v>
      </c>
      <c r="G803">
        <v>3300</v>
      </c>
      <c r="H803">
        <v>0.05</v>
      </c>
      <c r="I803">
        <v>165</v>
      </c>
      <c r="J803" t="s">
        <v>102</v>
      </c>
    </row>
    <row r="804" spans="1:10" x14ac:dyDescent="0.25">
      <c r="A804" t="s">
        <v>928</v>
      </c>
      <c r="B804" s="18">
        <v>43297</v>
      </c>
      <c r="C804" t="s">
        <v>101</v>
      </c>
      <c r="D804" t="s">
        <v>106</v>
      </c>
      <c r="E804">
        <v>8</v>
      </c>
      <c r="F804">
        <v>230</v>
      </c>
      <c r="G804">
        <v>1840</v>
      </c>
      <c r="H804">
        <v>0.01</v>
      </c>
      <c r="I804">
        <v>18.400000000000002</v>
      </c>
      <c r="J804" t="s">
        <v>113</v>
      </c>
    </row>
    <row r="805" spans="1:10" x14ac:dyDescent="0.25">
      <c r="A805" t="s">
        <v>929</v>
      </c>
      <c r="B805" s="18">
        <v>43297</v>
      </c>
      <c r="C805" t="s">
        <v>111</v>
      </c>
      <c r="D805" t="s">
        <v>96</v>
      </c>
      <c r="E805">
        <v>22</v>
      </c>
      <c r="F805">
        <v>150</v>
      </c>
      <c r="G805">
        <v>3300</v>
      </c>
      <c r="H805">
        <v>0.05</v>
      </c>
      <c r="I805">
        <v>165</v>
      </c>
      <c r="J805" t="s">
        <v>102</v>
      </c>
    </row>
    <row r="806" spans="1:10" x14ac:dyDescent="0.25">
      <c r="A806" t="s">
        <v>930</v>
      </c>
      <c r="B806" s="18">
        <v>43297</v>
      </c>
      <c r="C806" t="s">
        <v>98</v>
      </c>
      <c r="D806" t="s">
        <v>96</v>
      </c>
      <c r="E806">
        <v>5</v>
      </c>
      <c r="F806">
        <v>40</v>
      </c>
      <c r="G806">
        <v>200</v>
      </c>
      <c r="H806">
        <v>0.06</v>
      </c>
      <c r="I806">
        <v>12</v>
      </c>
      <c r="J806" t="s">
        <v>113</v>
      </c>
    </row>
    <row r="807" spans="1:10" x14ac:dyDescent="0.25">
      <c r="A807" t="s">
        <v>931</v>
      </c>
      <c r="B807" s="18">
        <v>43297</v>
      </c>
      <c r="C807" t="s">
        <v>111</v>
      </c>
      <c r="D807" t="s">
        <v>106</v>
      </c>
      <c r="E807">
        <v>20</v>
      </c>
      <c r="F807">
        <v>150</v>
      </c>
      <c r="G807">
        <v>3000</v>
      </c>
      <c r="H807">
        <v>0.1</v>
      </c>
      <c r="I807">
        <v>300</v>
      </c>
      <c r="J807" t="s">
        <v>102</v>
      </c>
    </row>
    <row r="808" spans="1:10" x14ac:dyDescent="0.25">
      <c r="A808" t="s">
        <v>932</v>
      </c>
      <c r="B808" s="18">
        <v>43297</v>
      </c>
      <c r="C808" t="s">
        <v>95</v>
      </c>
      <c r="D808" t="s">
        <v>106</v>
      </c>
      <c r="E808">
        <v>22</v>
      </c>
      <c r="F808">
        <v>80</v>
      </c>
      <c r="G808">
        <v>1760</v>
      </c>
      <c r="H808">
        <v>0.03</v>
      </c>
      <c r="I808">
        <v>52.8</v>
      </c>
      <c r="J808" t="s">
        <v>113</v>
      </c>
    </row>
    <row r="809" spans="1:10" x14ac:dyDescent="0.25">
      <c r="A809" t="s">
        <v>933</v>
      </c>
      <c r="B809" s="18">
        <v>43297</v>
      </c>
      <c r="C809" t="s">
        <v>108</v>
      </c>
      <c r="D809" t="s">
        <v>96</v>
      </c>
      <c r="E809">
        <v>11</v>
      </c>
      <c r="F809">
        <v>16</v>
      </c>
      <c r="G809">
        <v>176</v>
      </c>
      <c r="H809">
        <v>0.09</v>
      </c>
      <c r="I809">
        <v>15.84</v>
      </c>
      <c r="J809" t="s">
        <v>102</v>
      </c>
    </row>
    <row r="810" spans="1:10" x14ac:dyDescent="0.25">
      <c r="A810" t="s">
        <v>934</v>
      </c>
      <c r="B810" s="18">
        <v>43297</v>
      </c>
      <c r="C810" t="s">
        <v>108</v>
      </c>
      <c r="D810" t="s">
        <v>99</v>
      </c>
      <c r="E810">
        <v>22</v>
      </c>
      <c r="F810">
        <v>16</v>
      </c>
      <c r="G810">
        <v>352</v>
      </c>
      <c r="H810">
        <v>0.01</v>
      </c>
      <c r="I810">
        <v>3.52</v>
      </c>
      <c r="J810" t="s">
        <v>113</v>
      </c>
    </row>
    <row r="811" spans="1:10" x14ac:dyDescent="0.25">
      <c r="A811" t="s">
        <v>935</v>
      </c>
      <c r="B811" s="18">
        <v>43297</v>
      </c>
      <c r="C811" t="s">
        <v>98</v>
      </c>
      <c r="D811" t="s">
        <v>99</v>
      </c>
      <c r="E811">
        <v>23</v>
      </c>
      <c r="F811">
        <v>40</v>
      </c>
      <c r="G811">
        <v>920</v>
      </c>
      <c r="H811">
        <v>0.06</v>
      </c>
      <c r="I811">
        <v>55.199999999999996</v>
      </c>
      <c r="J811" t="s">
        <v>102</v>
      </c>
    </row>
    <row r="812" spans="1:10" x14ac:dyDescent="0.25">
      <c r="A812" t="s">
        <v>936</v>
      </c>
      <c r="B812" s="18">
        <v>43297</v>
      </c>
      <c r="C812" t="s">
        <v>95</v>
      </c>
      <c r="D812" t="s">
        <v>104</v>
      </c>
      <c r="E812">
        <v>14</v>
      </c>
      <c r="F812">
        <v>80</v>
      </c>
      <c r="G812">
        <v>1120</v>
      </c>
      <c r="H812">
        <v>0.1</v>
      </c>
      <c r="I812">
        <v>112</v>
      </c>
      <c r="J812" t="s">
        <v>113</v>
      </c>
    </row>
    <row r="813" spans="1:10" x14ac:dyDescent="0.25">
      <c r="A813" t="s">
        <v>937</v>
      </c>
      <c r="B813" s="18">
        <v>43297</v>
      </c>
      <c r="C813" t="s">
        <v>98</v>
      </c>
      <c r="D813" t="s">
        <v>96</v>
      </c>
      <c r="E813">
        <v>18</v>
      </c>
      <c r="F813">
        <v>40</v>
      </c>
      <c r="G813">
        <v>720</v>
      </c>
      <c r="H813">
        <v>0.06</v>
      </c>
      <c r="I813">
        <v>43.199999999999996</v>
      </c>
      <c r="J813" t="s">
        <v>102</v>
      </c>
    </row>
    <row r="814" spans="1:10" x14ac:dyDescent="0.25">
      <c r="A814" t="s">
        <v>938</v>
      </c>
      <c r="B814" s="18">
        <v>43298</v>
      </c>
      <c r="C814" t="s">
        <v>111</v>
      </c>
      <c r="D814" t="s">
        <v>106</v>
      </c>
      <c r="E814">
        <v>7</v>
      </c>
      <c r="F814">
        <v>150</v>
      </c>
      <c r="G814">
        <v>1050</v>
      </c>
      <c r="H814">
        <v>0.05</v>
      </c>
      <c r="I814">
        <v>52.5</v>
      </c>
      <c r="J814" t="s">
        <v>100</v>
      </c>
    </row>
    <row r="815" spans="1:10" x14ac:dyDescent="0.25">
      <c r="A815" t="s">
        <v>939</v>
      </c>
      <c r="B815" s="18">
        <v>43298</v>
      </c>
      <c r="C815" t="s">
        <v>98</v>
      </c>
      <c r="D815" t="s">
        <v>106</v>
      </c>
      <c r="E815">
        <v>15</v>
      </c>
      <c r="F815">
        <v>40</v>
      </c>
      <c r="G815">
        <v>600</v>
      </c>
      <c r="H815">
        <v>0.03</v>
      </c>
      <c r="I815">
        <v>18</v>
      </c>
      <c r="J815" t="s">
        <v>102</v>
      </c>
    </row>
    <row r="816" spans="1:10" x14ac:dyDescent="0.25">
      <c r="A816" t="s">
        <v>940</v>
      </c>
      <c r="B816" s="18">
        <v>43298</v>
      </c>
      <c r="C816" t="s">
        <v>108</v>
      </c>
      <c r="D816" t="s">
        <v>96</v>
      </c>
      <c r="E816">
        <v>7</v>
      </c>
      <c r="F816">
        <v>16</v>
      </c>
      <c r="G816">
        <v>112</v>
      </c>
      <c r="H816">
        <v>0.02</v>
      </c>
      <c r="I816">
        <v>2.2400000000000002</v>
      </c>
      <c r="J816" t="s">
        <v>103</v>
      </c>
    </row>
    <row r="817" spans="1:10" x14ac:dyDescent="0.25">
      <c r="A817" t="s">
        <v>941</v>
      </c>
      <c r="B817" s="18">
        <v>43298</v>
      </c>
      <c r="C817" t="s">
        <v>108</v>
      </c>
      <c r="D817" t="s">
        <v>106</v>
      </c>
      <c r="E817">
        <v>15</v>
      </c>
      <c r="F817">
        <v>16</v>
      </c>
      <c r="G817">
        <v>240</v>
      </c>
      <c r="H817">
        <v>0.12</v>
      </c>
      <c r="I817">
        <v>28.799999999999997</v>
      </c>
      <c r="J817" t="s">
        <v>105</v>
      </c>
    </row>
    <row r="818" spans="1:10" x14ac:dyDescent="0.25">
      <c r="A818" t="s">
        <v>942</v>
      </c>
      <c r="B818" s="18">
        <v>43298</v>
      </c>
      <c r="C818" t="s">
        <v>98</v>
      </c>
      <c r="D818" t="s">
        <v>96</v>
      </c>
      <c r="E818">
        <v>5</v>
      </c>
      <c r="F818">
        <v>40</v>
      </c>
      <c r="G818">
        <v>200</v>
      </c>
      <c r="H818">
        <v>0.09</v>
      </c>
      <c r="I818">
        <v>18</v>
      </c>
      <c r="J818" t="s">
        <v>107</v>
      </c>
    </row>
    <row r="819" spans="1:10" x14ac:dyDescent="0.25">
      <c r="A819" t="s">
        <v>943</v>
      </c>
      <c r="B819" s="18">
        <v>43298</v>
      </c>
      <c r="C819" t="s">
        <v>98</v>
      </c>
      <c r="D819" t="s">
        <v>109</v>
      </c>
      <c r="E819">
        <v>20</v>
      </c>
      <c r="F819">
        <v>40</v>
      </c>
      <c r="G819">
        <v>800</v>
      </c>
      <c r="H819">
        <v>0.03</v>
      </c>
      <c r="I819">
        <v>24</v>
      </c>
      <c r="J819" t="s">
        <v>110</v>
      </c>
    </row>
    <row r="820" spans="1:10" x14ac:dyDescent="0.25">
      <c r="A820" t="s">
        <v>944</v>
      </c>
      <c r="B820" s="18">
        <v>43298</v>
      </c>
      <c r="C820" t="s">
        <v>101</v>
      </c>
      <c r="D820" t="s">
        <v>106</v>
      </c>
      <c r="E820">
        <v>11</v>
      </c>
      <c r="F820">
        <v>230</v>
      </c>
      <c r="G820">
        <v>2530</v>
      </c>
      <c r="H820">
        <v>0.12</v>
      </c>
      <c r="I820">
        <v>303.59999999999997</v>
      </c>
      <c r="J820" t="s">
        <v>112</v>
      </c>
    </row>
    <row r="821" spans="1:10" x14ac:dyDescent="0.25">
      <c r="A821" t="s">
        <v>945</v>
      </c>
      <c r="B821" s="18">
        <v>43298</v>
      </c>
      <c r="C821" t="s">
        <v>108</v>
      </c>
      <c r="D821" t="s">
        <v>109</v>
      </c>
      <c r="E821">
        <v>17</v>
      </c>
      <c r="F821">
        <v>16</v>
      </c>
      <c r="G821">
        <v>272</v>
      </c>
      <c r="H821">
        <v>0.08</v>
      </c>
      <c r="I821">
        <v>21.76</v>
      </c>
      <c r="J821" t="s">
        <v>113</v>
      </c>
    </row>
    <row r="822" spans="1:10" x14ac:dyDescent="0.25">
      <c r="A822" t="s">
        <v>946</v>
      </c>
      <c r="B822" s="18">
        <v>43299</v>
      </c>
      <c r="C822" t="s">
        <v>108</v>
      </c>
      <c r="D822" t="s">
        <v>96</v>
      </c>
      <c r="E822">
        <v>18</v>
      </c>
      <c r="F822">
        <v>16</v>
      </c>
      <c r="G822">
        <v>288</v>
      </c>
      <c r="H822">
        <v>0.11</v>
      </c>
      <c r="I822">
        <v>31.68</v>
      </c>
      <c r="J822" t="s">
        <v>114</v>
      </c>
    </row>
    <row r="823" spans="1:10" x14ac:dyDescent="0.25">
      <c r="A823" t="s">
        <v>947</v>
      </c>
      <c r="B823" s="18">
        <v>43299</v>
      </c>
      <c r="C823" t="s">
        <v>101</v>
      </c>
      <c r="D823" t="s">
        <v>106</v>
      </c>
      <c r="E823">
        <v>2</v>
      </c>
      <c r="F823">
        <v>230</v>
      </c>
      <c r="G823">
        <v>460</v>
      </c>
      <c r="H823">
        <v>0.08</v>
      </c>
      <c r="I823">
        <v>36.800000000000004</v>
      </c>
      <c r="J823" t="s">
        <v>115</v>
      </c>
    </row>
    <row r="824" spans="1:10" x14ac:dyDescent="0.25">
      <c r="A824" t="s">
        <v>948</v>
      </c>
      <c r="B824" s="18">
        <v>43299</v>
      </c>
      <c r="C824" t="s">
        <v>108</v>
      </c>
      <c r="D824" t="s">
        <v>104</v>
      </c>
      <c r="E824">
        <v>17</v>
      </c>
      <c r="F824">
        <v>16</v>
      </c>
      <c r="G824">
        <v>272</v>
      </c>
      <c r="H824">
        <v>0.05</v>
      </c>
      <c r="I824">
        <v>13.600000000000001</v>
      </c>
      <c r="J824" t="s">
        <v>116</v>
      </c>
    </row>
    <row r="825" spans="1:10" x14ac:dyDescent="0.25">
      <c r="A825" t="s">
        <v>949</v>
      </c>
      <c r="B825" s="18">
        <v>43299</v>
      </c>
      <c r="C825" t="s">
        <v>95</v>
      </c>
      <c r="D825" t="s">
        <v>106</v>
      </c>
      <c r="E825">
        <v>16</v>
      </c>
      <c r="F825">
        <v>80</v>
      </c>
      <c r="G825">
        <v>1280</v>
      </c>
      <c r="H825">
        <v>0.05</v>
      </c>
      <c r="I825">
        <v>64</v>
      </c>
      <c r="J825" t="s">
        <v>97</v>
      </c>
    </row>
    <row r="826" spans="1:10" x14ac:dyDescent="0.25">
      <c r="A826" t="s">
        <v>950</v>
      </c>
      <c r="B826" s="18">
        <v>43299</v>
      </c>
      <c r="C826" t="s">
        <v>101</v>
      </c>
      <c r="D826" t="s">
        <v>99</v>
      </c>
      <c r="E826">
        <v>14</v>
      </c>
      <c r="F826">
        <v>230</v>
      </c>
      <c r="G826">
        <v>3220</v>
      </c>
      <c r="H826">
        <v>0.05</v>
      </c>
      <c r="I826">
        <v>161</v>
      </c>
      <c r="J826" t="s">
        <v>100</v>
      </c>
    </row>
    <row r="827" spans="1:10" x14ac:dyDescent="0.25">
      <c r="A827" t="s">
        <v>951</v>
      </c>
      <c r="B827" s="18">
        <v>43299</v>
      </c>
      <c r="C827" t="s">
        <v>98</v>
      </c>
      <c r="D827" t="s">
        <v>104</v>
      </c>
      <c r="E827">
        <v>13</v>
      </c>
      <c r="F827">
        <v>40</v>
      </c>
      <c r="G827">
        <v>520</v>
      </c>
      <c r="H827">
        <v>0.02</v>
      </c>
      <c r="I827">
        <v>10.4</v>
      </c>
      <c r="J827" t="s">
        <v>102</v>
      </c>
    </row>
    <row r="828" spans="1:10" x14ac:dyDescent="0.25">
      <c r="A828" t="s">
        <v>952</v>
      </c>
      <c r="B828" s="18">
        <v>43299</v>
      </c>
      <c r="C828" t="s">
        <v>101</v>
      </c>
      <c r="D828" t="s">
        <v>99</v>
      </c>
      <c r="E828">
        <v>7</v>
      </c>
      <c r="F828">
        <v>230</v>
      </c>
      <c r="G828">
        <v>1610</v>
      </c>
      <c r="H828">
        <v>0.08</v>
      </c>
      <c r="I828">
        <v>128.80000000000001</v>
      </c>
      <c r="J828" t="s">
        <v>103</v>
      </c>
    </row>
    <row r="829" spans="1:10" x14ac:dyDescent="0.25">
      <c r="A829" t="s">
        <v>953</v>
      </c>
      <c r="B829" s="18">
        <v>43299</v>
      </c>
      <c r="C829" t="s">
        <v>98</v>
      </c>
      <c r="D829" t="s">
        <v>106</v>
      </c>
      <c r="E829">
        <v>7</v>
      </c>
      <c r="F829">
        <v>40</v>
      </c>
      <c r="G829">
        <v>280</v>
      </c>
      <c r="H829">
        <v>0.11</v>
      </c>
      <c r="I829">
        <v>30.8</v>
      </c>
      <c r="J829" t="s">
        <v>105</v>
      </c>
    </row>
    <row r="830" spans="1:10" x14ac:dyDescent="0.25">
      <c r="A830" t="s">
        <v>954</v>
      </c>
      <c r="B830" s="18">
        <v>43299</v>
      </c>
      <c r="C830" t="s">
        <v>101</v>
      </c>
      <c r="D830" t="s">
        <v>104</v>
      </c>
      <c r="E830">
        <v>12</v>
      </c>
      <c r="F830">
        <v>230</v>
      </c>
      <c r="G830">
        <v>2760</v>
      </c>
      <c r="H830">
        <v>0.06</v>
      </c>
      <c r="I830">
        <v>165.6</v>
      </c>
      <c r="J830" t="s">
        <v>107</v>
      </c>
    </row>
    <row r="831" spans="1:10" x14ac:dyDescent="0.25">
      <c r="A831" t="s">
        <v>955</v>
      </c>
      <c r="B831" s="18">
        <v>43299</v>
      </c>
      <c r="C831" t="s">
        <v>98</v>
      </c>
      <c r="D831" t="s">
        <v>96</v>
      </c>
      <c r="E831">
        <v>19</v>
      </c>
      <c r="F831">
        <v>40</v>
      </c>
      <c r="G831">
        <v>760</v>
      </c>
      <c r="H831">
        <v>0.04</v>
      </c>
      <c r="I831">
        <v>30.400000000000002</v>
      </c>
      <c r="J831" t="s">
        <v>100</v>
      </c>
    </row>
    <row r="832" spans="1:10" x14ac:dyDescent="0.25">
      <c r="A832" t="s">
        <v>956</v>
      </c>
      <c r="B832" s="18">
        <v>43300</v>
      </c>
      <c r="C832" t="s">
        <v>101</v>
      </c>
      <c r="D832" t="s">
        <v>104</v>
      </c>
      <c r="E832">
        <v>20</v>
      </c>
      <c r="F832">
        <v>230</v>
      </c>
      <c r="G832">
        <v>4600</v>
      </c>
      <c r="H832">
        <v>0.06</v>
      </c>
      <c r="I832">
        <v>276</v>
      </c>
      <c r="J832" t="s">
        <v>102</v>
      </c>
    </row>
    <row r="833" spans="1:10" x14ac:dyDescent="0.25">
      <c r="A833" t="s">
        <v>957</v>
      </c>
      <c r="B833" s="18">
        <v>43300</v>
      </c>
      <c r="C833" t="s">
        <v>98</v>
      </c>
      <c r="D833" t="s">
        <v>109</v>
      </c>
      <c r="E833">
        <v>23</v>
      </c>
      <c r="F833">
        <v>40</v>
      </c>
      <c r="G833">
        <v>920</v>
      </c>
      <c r="H833">
        <v>0.04</v>
      </c>
      <c r="I833">
        <v>36.800000000000004</v>
      </c>
      <c r="J833" t="s">
        <v>103</v>
      </c>
    </row>
    <row r="834" spans="1:10" x14ac:dyDescent="0.25">
      <c r="A834" t="s">
        <v>958</v>
      </c>
      <c r="B834" s="18">
        <v>43300</v>
      </c>
      <c r="C834" t="s">
        <v>95</v>
      </c>
      <c r="D834" t="s">
        <v>109</v>
      </c>
      <c r="E834">
        <v>16</v>
      </c>
      <c r="F834">
        <v>80</v>
      </c>
      <c r="G834">
        <v>1280</v>
      </c>
      <c r="H834">
        <v>0.05</v>
      </c>
      <c r="I834">
        <v>64</v>
      </c>
      <c r="J834" t="s">
        <v>105</v>
      </c>
    </row>
    <row r="835" spans="1:10" x14ac:dyDescent="0.25">
      <c r="A835" t="s">
        <v>959</v>
      </c>
      <c r="B835" s="18">
        <v>43300</v>
      </c>
      <c r="C835" t="s">
        <v>111</v>
      </c>
      <c r="D835" t="s">
        <v>99</v>
      </c>
      <c r="E835">
        <v>23</v>
      </c>
      <c r="F835">
        <v>150</v>
      </c>
      <c r="G835">
        <v>3450</v>
      </c>
      <c r="H835">
        <v>0.11</v>
      </c>
      <c r="I835">
        <v>379.5</v>
      </c>
      <c r="J835" t="s">
        <v>107</v>
      </c>
    </row>
    <row r="836" spans="1:10" x14ac:dyDescent="0.25">
      <c r="A836" t="s">
        <v>960</v>
      </c>
      <c r="B836" s="18">
        <v>43300</v>
      </c>
      <c r="C836" t="s">
        <v>108</v>
      </c>
      <c r="D836" t="s">
        <v>99</v>
      </c>
      <c r="E836">
        <v>4</v>
      </c>
      <c r="F836">
        <v>16</v>
      </c>
      <c r="G836">
        <v>64</v>
      </c>
      <c r="H836">
        <v>7.0000000000000007E-2</v>
      </c>
      <c r="I836">
        <v>4.4800000000000004</v>
      </c>
      <c r="J836" t="s">
        <v>110</v>
      </c>
    </row>
    <row r="837" spans="1:10" x14ac:dyDescent="0.25">
      <c r="A837" t="s">
        <v>961</v>
      </c>
      <c r="B837" s="18">
        <v>43300</v>
      </c>
      <c r="C837" t="s">
        <v>101</v>
      </c>
      <c r="D837" t="s">
        <v>96</v>
      </c>
      <c r="E837">
        <v>8</v>
      </c>
      <c r="F837">
        <v>230</v>
      </c>
      <c r="G837">
        <v>1840</v>
      </c>
      <c r="H837">
        <v>0.03</v>
      </c>
      <c r="I837">
        <v>55.199999999999996</v>
      </c>
      <c r="J837" t="s">
        <v>112</v>
      </c>
    </row>
    <row r="838" spans="1:10" x14ac:dyDescent="0.25">
      <c r="A838" t="s">
        <v>962</v>
      </c>
      <c r="B838" s="18">
        <v>43300</v>
      </c>
      <c r="C838" t="s">
        <v>95</v>
      </c>
      <c r="D838" t="s">
        <v>99</v>
      </c>
      <c r="E838">
        <v>17</v>
      </c>
      <c r="F838">
        <v>80</v>
      </c>
      <c r="G838">
        <v>1360</v>
      </c>
      <c r="H838">
        <v>0.03</v>
      </c>
      <c r="I838">
        <v>40.799999999999997</v>
      </c>
      <c r="J838" t="s">
        <v>113</v>
      </c>
    </row>
    <row r="839" spans="1:10" x14ac:dyDescent="0.25">
      <c r="A839" t="s">
        <v>963</v>
      </c>
      <c r="B839" s="18">
        <v>43300</v>
      </c>
      <c r="C839" t="s">
        <v>95</v>
      </c>
      <c r="D839" t="s">
        <v>106</v>
      </c>
      <c r="E839">
        <v>10</v>
      </c>
      <c r="F839">
        <v>80</v>
      </c>
      <c r="G839">
        <v>800</v>
      </c>
      <c r="H839">
        <v>0.1</v>
      </c>
      <c r="I839">
        <v>80</v>
      </c>
      <c r="J839" t="s">
        <v>114</v>
      </c>
    </row>
    <row r="840" spans="1:10" x14ac:dyDescent="0.25">
      <c r="A840" t="s">
        <v>964</v>
      </c>
      <c r="B840" s="18">
        <v>43300</v>
      </c>
      <c r="C840" t="s">
        <v>108</v>
      </c>
      <c r="D840" t="s">
        <v>96</v>
      </c>
      <c r="E840">
        <v>20</v>
      </c>
      <c r="F840">
        <v>16</v>
      </c>
      <c r="G840">
        <v>320</v>
      </c>
      <c r="H840">
        <v>0.11</v>
      </c>
      <c r="I840">
        <v>35.200000000000003</v>
      </c>
      <c r="J840" t="s">
        <v>115</v>
      </c>
    </row>
    <row r="841" spans="1:10" x14ac:dyDescent="0.25">
      <c r="A841" t="s">
        <v>965</v>
      </c>
      <c r="B841" s="18">
        <v>43301</v>
      </c>
      <c r="C841" t="s">
        <v>101</v>
      </c>
      <c r="D841" t="s">
        <v>106</v>
      </c>
      <c r="E841">
        <v>19</v>
      </c>
      <c r="F841">
        <v>230</v>
      </c>
      <c r="G841">
        <v>4370</v>
      </c>
      <c r="H841">
        <v>0.06</v>
      </c>
      <c r="I841">
        <v>262.2</v>
      </c>
      <c r="J841" t="s">
        <v>116</v>
      </c>
    </row>
    <row r="842" spans="1:10" x14ac:dyDescent="0.25">
      <c r="A842" t="s">
        <v>966</v>
      </c>
      <c r="B842" s="18">
        <v>43301</v>
      </c>
      <c r="C842" t="s">
        <v>98</v>
      </c>
      <c r="D842" t="s">
        <v>104</v>
      </c>
      <c r="E842">
        <v>18</v>
      </c>
      <c r="F842">
        <v>40</v>
      </c>
      <c r="G842">
        <v>720</v>
      </c>
      <c r="H842">
        <v>0.03</v>
      </c>
      <c r="I842">
        <v>21.599999999999998</v>
      </c>
      <c r="J842" t="s">
        <v>97</v>
      </c>
    </row>
    <row r="843" spans="1:10" x14ac:dyDescent="0.25">
      <c r="A843" t="s">
        <v>967</v>
      </c>
      <c r="B843" s="18">
        <v>43301</v>
      </c>
      <c r="C843" t="s">
        <v>95</v>
      </c>
      <c r="D843" t="s">
        <v>99</v>
      </c>
      <c r="E843">
        <v>16</v>
      </c>
      <c r="F843">
        <v>80</v>
      </c>
      <c r="G843">
        <v>1280</v>
      </c>
      <c r="H843">
        <v>0.04</v>
      </c>
      <c r="I843">
        <v>51.2</v>
      </c>
      <c r="J843" t="s">
        <v>100</v>
      </c>
    </row>
    <row r="844" spans="1:10" x14ac:dyDescent="0.25">
      <c r="A844" t="s">
        <v>968</v>
      </c>
      <c r="B844" s="18">
        <v>43301</v>
      </c>
      <c r="C844" t="s">
        <v>95</v>
      </c>
      <c r="D844" t="s">
        <v>106</v>
      </c>
      <c r="E844">
        <v>8</v>
      </c>
      <c r="F844">
        <v>80</v>
      </c>
      <c r="G844">
        <v>640</v>
      </c>
      <c r="H844">
        <v>0.06</v>
      </c>
      <c r="I844">
        <v>38.4</v>
      </c>
      <c r="J844" t="s">
        <v>102</v>
      </c>
    </row>
    <row r="845" spans="1:10" x14ac:dyDescent="0.25">
      <c r="A845" t="s">
        <v>969</v>
      </c>
      <c r="B845" s="18">
        <v>43301</v>
      </c>
      <c r="C845" t="s">
        <v>111</v>
      </c>
      <c r="D845" t="s">
        <v>106</v>
      </c>
      <c r="E845">
        <v>4</v>
      </c>
      <c r="F845">
        <v>150</v>
      </c>
      <c r="G845">
        <v>600</v>
      </c>
      <c r="H845">
        <v>0.12</v>
      </c>
      <c r="I845">
        <v>72</v>
      </c>
      <c r="J845" t="s">
        <v>103</v>
      </c>
    </row>
    <row r="846" spans="1:10" x14ac:dyDescent="0.25">
      <c r="A846" t="s">
        <v>970</v>
      </c>
      <c r="B846" s="18">
        <v>43301</v>
      </c>
      <c r="C846" t="s">
        <v>101</v>
      </c>
      <c r="D846" t="s">
        <v>104</v>
      </c>
      <c r="E846">
        <v>15</v>
      </c>
      <c r="F846">
        <v>230</v>
      </c>
      <c r="G846">
        <v>3450</v>
      </c>
      <c r="H846">
        <v>0.04</v>
      </c>
      <c r="I846">
        <v>138</v>
      </c>
      <c r="J846" t="s">
        <v>105</v>
      </c>
    </row>
    <row r="847" spans="1:10" x14ac:dyDescent="0.25">
      <c r="A847" t="s">
        <v>971</v>
      </c>
      <c r="B847" s="18">
        <v>43302</v>
      </c>
      <c r="C847" t="s">
        <v>108</v>
      </c>
      <c r="D847" t="s">
        <v>99</v>
      </c>
      <c r="E847">
        <v>7</v>
      </c>
      <c r="F847">
        <v>16</v>
      </c>
      <c r="G847">
        <v>112</v>
      </c>
      <c r="H847">
        <v>0.08</v>
      </c>
      <c r="I847">
        <v>8.9600000000000009</v>
      </c>
      <c r="J847" t="s">
        <v>107</v>
      </c>
    </row>
    <row r="848" spans="1:10" x14ac:dyDescent="0.25">
      <c r="A848" t="s">
        <v>972</v>
      </c>
      <c r="B848" s="18">
        <v>43302</v>
      </c>
      <c r="C848" t="s">
        <v>98</v>
      </c>
      <c r="D848" t="s">
        <v>96</v>
      </c>
      <c r="E848">
        <v>18</v>
      </c>
      <c r="F848">
        <v>40</v>
      </c>
      <c r="G848">
        <v>720</v>
      </c>
      <c r="H848">
        <v>0.11</v>
      </c>
      <c r="I848">
        <v>79.2</v>
      </c>
      <c r="J848" t="s">
        <v>100</v>
      </c>
    </row>
    <row r="849" spans="1:10" x14ac:dyDescent="0.25">
      <c r="A849" t="s">
        <v>973</v>
      </c>
      <c r="B849" s="18">
        <v>43302</v>
      </c>
      <c r="C849" t="s">
        <v>98</v>
      </c>
      <c r="D849" t="s">
        <v>104</v>
      </c>
      <c r="E849">
        <v>4</v>
      </c>
      <c r="F849">
        <v>40</v>
      </c>
      <c r="G849">
        <v>160</v>
      </c>
      <c r="H849">
        <v>0.06</v>
      </c>
      <c r="I849">
        <v>9.6</v>
      </c>
      <c r="J849" t="s">
        <v>102</v>
      </c>
    </row>
    <row r="850" spans="1:10" x14ac:dyDescent="0.25">
      <c r="A850" t="s">
        <v>974</v>
      </c>
      <c r="B850" s="18">
        <v>43302</v>
      </c>
      <c r="C850" t="s">
        <v>98</v>
      </c>
      <c r="D850" t="s">
        <v>109</v>
      </c>
      <c r="E850">
        <v>16</v>
      </c>
      <c r="F850">
        <v>40</v>
      </c>
      <c r="G850">
        <v>640</v>
      </c>
      <c r="H850">
        <v>0.09</v>
      </c>
      <c r="I850">
        <v>57.599999999999994</v>
      </c>
      <c r="J850" t="s">
        <v>103</v>
      </c>
    </row>
    <row r="851" spans="1:10" x14ac:dyDescent="0.25">
      <c r="A851" t="s">
        <v>975</v>
      </c>
      <c r="B851" s="18">
        <v>43302</v>
      </c>
      <c r="C851" t="s">
        <v>98</v>
      </c>
      <c r="D851" t="s">
        <v>99</v>
      </c>
      <c r="E851">
        <v>18</v>
      </c>
      <c r="F851">
        <v>40</v>
      </c>
      <c r="G851">
        <v>720</v>
      </c>
      <c r="H851">
        <v>0.08</v>
      </c>
      <c r="I851">
        <v>57.6</v>
      </c>
      <c r="J851" t="s">
        <v>105</v>
      </c>
    </row>
    <row r="852" spans="1:10" x14ac:dyDescent="0.25">
      <c r="A852" t="s">
        <v>976</v>
      </c>
      <c r="B852" s="18">
        <v>43302</v>
      </c>
      <c r="C852" t="s">
        <v>98</v>
      </c>
      <c r="D852" t="s">
        <v>96</v>
      </c>
      <c r="E852">
        <v>9</v>
      </c>
      <c r="F852">
        <v>40</v>
      </c>
      <c r="G852">
        <v>360</v>
      </c>
      <c r="H852">
        <v>0.01</v>
      </c>
      <c r="I852">
        <v>3.6</v>
      </c>
      <c r="J852" t="s">
        <v>107</v>
      </c>
    </row>
    <row r="853" spans="1:10" x14ac:dyDescent="0.25">
      <c r="A853" t="s">
        <v>977</v>
      </c>
      <c r="B853" s="18">
        <v>43302</v>
      </c>
      <c r="C853" t="s">
        <v>101</v>
      </c>
      <c r="D853" t="s">
        <v>106</v>
      </c>
      <c r="E853">
        <v>16</v>
      </c>
      <c r="F853">
        <v>230</v>
      </c>
      <c r="G853">
        <v>3680</v>
      </c>
      <c r="H853">
        <v>0.11</v>
      </c>
      <c r="I853">
        <v>404.8</v>
      </c>
      <c r="J853" t="s">
        <v>110</v>
      </c>
    </row>
    <row r="854" spans="1:10" x14ac:dyDescent="0.25">
      <c r="A854" t="s">
        <v>978</v>
      </c>
      <c r="B854" s="18">
        <v>43302</v>
      </c>
      <c r="C854" t="s">
        <v>108</v>
      </c>
      <c r="D854" t="s">
        <v>104</v>
      </c>
      <c r="E854">
        <v>12</v>
      </c>
      <c r="F854">
        <v>16</v>
      </c>
      <c r="G854">
        <v>192</v>
      </c>
      <c r="H854">
        <v>0.11</v>
      </c>
      <c r="I854">
        <v>21.12</v>
      </c>
      <c r="J854" t="s">
        <v>112</v>
      </c>
    </row>
    <row r="855" spans="1:10" x14ac:dyDescent="0.25">
      <c r="A855" t="s">
        <v>979</v>
      </c>
      <c r="B855" s="18">
        <v>43302</v>
      </c>
      <c r="C855" t="s">
        <v>95</v>
      </c>
      <c r="D855" t="s">
        <v>99</v>
      </c>
      <c r="E855">
        <v>2</v>
      </c>
      <c r="F855">
        <v>80</v>
      </c>
      <c r="G855">
        <v>160</v>
      </c>
      <c r="H855">
        <v>7.0000000000000007E-2</v>
      </c>
      <c r="I855">
        <v>11.200000000000001</v>
      </c>
      <c r="J855" t="s">
        <v>113</v>
      </c>
    </row>
    <row r="856" spans="1:10" x14ac:dyDescent="0.25">
      <c r="A856" t="s">
        <v>980</v>
      </c>
      <c r="B856" s="18">
        <v>43302</v>
      </c>
      <c r="C856" t="s">
        <v>98</v>
      </c>
      <c r="D856" t="s">
        <v>96</v>
      </c>
      <c r="E856">
        <v>2</v>
      </c>
      <c r="F856">
        <v>40</v>
      </c>
      <c r="G856">
        <v>80</v>
      </c>
      <c r="H856">
        <v>0.12</v>
      </c>
      <c r="I856">
        <v>9.6</v>
      </c>
      <c r="J856" t="s">
        <v>114</v>
      </c>
    </row>
    <row r="857" spans="1:10" x14ac:dyDescent="0.25">
      <c r="A857" t="s">
        <v>981</v>
      </c>
      <c r="B857" s="18">
        <v>43303</v>
      </c>
      <c r="C857" t="s">
        <v>111</v>
      </c>
      <c r="D857" t="s">
        <v>96</v>
      </c>
      <c r="E857">
        <v>13</v>
      </c>
      <c r="F857">
        <v>150</v>
      </c>
      <c r="G857">
        <v>1950</v>
      </c>
      <c r="H857">
        <v>0.05</v>
      </c>
      <c r="I857">
        <v>97.5</v>
      </c>
      <c r="J857" t="s">
        <v>115</v>
      </c>
    </row>
    <row r="858" spans="1:10" x14ac:dyDescent="0.25">
      <c r="A858" t="s">
        <v>982</v>
      </c>
      <c r="B858" s="18">
        <v>43303</v>
      </c>
      <c r="C858" t="s">
        <v>95</v>
      </c>
      <c r="D858" t="s">
        <v>96</v>
      </c>
      <c r="E858">
        <v>14</v>
      </c>
      <c r="F858">
        <v>80</v>
      </c>
      <c r="G858">
        <v>1120</v>
      </c>
      <c r="H858">
        <v>0.08</v>
      </c>
      <c r="I858">
        <v>89.600000000000009</v>
      </c>
      <c r="J858" t="s">
        <v>116</v>
      </c>
    </row>
    <row r="859" spans="1:10" x14ac:dyDescent="0.25">
      <c r="A859" t="s">
        <v>983</v>
      </c>
      <c r="B859" s="18">
        <v>43303</v>
      </c>
      <c r="C859" t="s">
        <v>111</v>
      </c>
      <c r="D859" t="s">
        <v>106</v>
      </c>
      <c r="E859">
        <v>6</v>
      </c>
      <c r="F859">
        <v>150</v>
      </c>
      <c r="G859">
        <v>900</v>
      </c>
      <c r="H859">
        <v>0.03</v>
      </c>
      <c r="I859">
        <v>27</v>
      </c>
      <c r="J859" t="s">
        <v>97</v>
      </c>
    </row>
    <row r="860" spans="1:10" x14ac:dyDescent="0.25">
      <c r="A860" t="s">
        <v>984</v>
      </c>
      <c r="B860" s="18">
        <v>43303</v>
      </c>
      <c r="C860" t="s">
        <v>95</v>
      </c>
      <c r="D860" t="s">
        <v>106</v>
      </c>
      <c r="E860">
        <v>23</v>
      </c>
      <c r="F860">
        <v>80</v>
      </c>
      <c r="G860">
        <v>1840</v>
      </c>
      <c r="H860">
        <v>0.11</v>
      </c>
      <c r="I860">
        <v>202.4</v>
      </c>
      <c r="J860" t="s">
        <v>100</v>
      </c>
    </row>
    <row r="861" spans="1:10" x14ac:dyDescent="0.25">
      <c r="A861" t="s">
        <v>985</v>
      </c>
      <c r="B861" s="18">
        <v>43303</v>
      </c>
      <c r="C861" t="s">
        <v>95</v>
      </c>
      <c r="D861" t="s">
        <v>106</v>
      </c>
      <c r="E861">
        <v>21</v>
      </c>
      <c r="F861">
        <v>80</v>
      </c>
      <c r="G861">
        <v>1680</v>
      </c>
      <c r="H861">
        <v>0.05</v>
      </c>
      <c r="I861">
        <v>84</v>
      </c>
      <c r="J861" t="s">
        <v>102</v>
      </c>
    </row>
    <row r="862" spans="1:10" x14ac:dyDescent="0.25">
      <c r="A862" t="s">
        <v>986</v>
      </c>
      <c r="B862" s="18">
        <v>43303</v>
      </c>
      <c r="C862" t="s">
        <v>108</v>
      </c>
      <c r="D862" t="s">
        <v>104</v>
      </c>
      <c r="E862">
        <v>3</v>
      </c>
      <c r="F862">
        <v>16</v>
      </c>
      <c r="G862">
        <v>48</v>
      </c>
      <c r="H862">
        <v>0.05</v>
      </c>
      <c r="I862">
        <v>2.4000000000000004</v>
      </c>
      <c r="J862" t="s">
        <v>103</v>
      </c>
    </row>
    <row r="863" spans="1:10" x14ac:dyDescent="0.25">
      <c r="A863" t="s">
        <v>987</v>
      </c>
      <c r="B863" s="18">
        <v>43303</v>
      </c>
      <c r="C863" t="s">
        <v>108</v>
      </c>
      <c r="D863" t="s">
        <v>99</v>
      </c>
      <c r="E863">
        <v>21</v>
      </c>
      <c r="F863">
        <v>16</v>
      </c>
      <c r="G863">
        <v>336</v>
      </c>
      <c r="H863">
        <v>0.02</v>
      </c>
      <c r="I863">
        <v>6.72</v>
      </c>
      <c r="J863" t="s">
        <v>105</v>
      </c>
    </row>
    <row r="864" spans="1:10" x14ac:dyDescent="0.25">
      <c r="A864" t="s">
        <v>988</v>
      </c>
      <c r="B864" s="18">
        <v>43303</v>
      </c>
      <c r="C864" t="s">
        <v>95</v>
      </c>
      <c r="D864" t="s">
        <v>106</v>
      </c>
      <c r="E864">
        <v>4</v>
      </c>
      <c r="F864">
        <v>80</v>
      </c>
      <c r="G864">
        <v>320</v>
      </c>
      <c r="H864">
        <v>0.11</v>
      </c>
      <c r="I864">
        <v>35.200000000000003</v>
      </c>
      <c r="J864" t="s">
        <v>107</v>
      </c>
    </row>
    <row r="865" spans="1:10" x14ac:dyDescent="0.25">
      <c r="A865" t="s">
        <v>989</v>
      </c>
      <c r="B865" s="18">
        <v>43303</v>
      </c>
      <c r="C865" t="s">
        <v>111</v>
      </c>
      <c r="D865" t="s">
        <v>109</v>
      </c>
      <c r="E865">
        <v>23</v>
      </c>
      <c r="F865">
        <v>150</v>
      </c>
      <c r="G865">
        <v>3450</v>
      </c>
      <c r="H865">
        <v>0.08</v>
      </c>
      <c r="I865">
        <v>276</v>
      </c>
      <c r="J865" t="s">
        <v>100</v>
      </c>
    </row>
    <row r="866" spans="1:10" x14ac:dyDescent="0.25">
      <c r="A866" t="s">
        <v>990</v>
      </c>
      <c r="B866" s="18">
        <v>43303</v>
      </c>
      <c r="C866" t="s">
        <v>108</v>
      </c>
      <c r="D866" t="s">
        <v>109</v>
      </c>
      <c r="E866">
        <v>23</v>
      </c>
      <c r="F866">
        <v>16</v>
      </c>
      <c r="G866">
        <v>368</v>
      </c>
      <c r="H866">
        <v>0.01</v>
      </c>
      <c r="I866">
        <v>3.68</v>
      </c>
      <c r="J866" t="s">
        <v>102</v>
      </c>
    </row>
    <row r="867" spans="1:10" x14ac:dyDescent="0.25">
      <c r="A867" t="s">
        <v>991</v>
      </c>
      <c r="B867" s="18">
        <v>43303</v>
      </c>
      <c r="C867" t="s">
        <v>98</v>
      </c>
      <c r="D867" t="s">
        <v>106</v>
      </c>
      <c r="E867">
        <v>22</v>
      </c>
      <c r="F867">
        <v>40</v>
      </c>
      <c r="G867">
        <v>880</v>
      </c>
      <c r="H867">
        <v>0.01</v>
      </c>
      <c r="I867">
        <v>8.8000000000000007</v>
      </c>
      <c r="J867" t="s">
        <v>103</v>
      </c>
    </row>
    <row r="868" spans="1:10" x14ac:dyDescent="0.25">
      <c r="A868" t="s">
        <v>992</v>
      </c>
      <c r="B868" s="18">
        <v>43304</v>
      </c>
      <c r="C868" t="s">
        <v>111</v>
      </c>
      <c r="D868" t="s">
        <v>96</v>
      </c>
      <c r="E868">
        <v>8</v>
      </c>
      <c r="F868">
        <v>150</v>
      </c>
      <c r="G868">
        <v>1200</v>
      </c>
      <c r="H868">
        <v>0.09</v>
      </c>
      <c r="I868">
        <v>108</v>
      </c>
      <c r="J868" t="s">
        <v>105</v>
      </c>
    </row>
    <row r="869" spans="1:10" x14ac:dyDescent="0.25">
      <c r="A869" t="s">
        <v>993</v>
      </c>
      <c r="B869" s="18">
        <v>43304</v>
      </c>
      <c r="C869" t="s">
        <v>111</v>
      </c>
      <c r="D869" t="s">
        <v>96</v>
      </c>
      <c r="E869">
        <v>20</v>
      </c>
      <c r="F869">
        <v>150</v>
      </c>
      <c r="G869">
        <v>3000</v>
      </c>
      <c r="H869">
        <v>0.01</v>
      </c>
      <c r="I869">
        <v>30</v>
      </c>
      <c r="J869" t="s">
        <v>107</v>
      </c>
    </row>
    <row r="870" spans="1:10" x14ac:dyDescent="0.25">
      <c r="A870" t="s">
        <v>994</v>
      </c>
      <c r="B870" s="18">
        <v>43304</v>
      </c>
      <c r="C870" t="s">
        <v>101</v>
      </c>
      <c r="D870" t="s">
        <v>99</v>
      </c>
      <c r="E870">
        <v>22</v>
      </c>
      <c r="F870">
        <v>230</v>
      </c>
      <c r="G870">
        <v>5060</v>
      </c>
      <c r="H870">
        <v>0.11</v>
      </c>
      <c r="I870">
        <v>556.6</v>
      </c>
      <c r="J870" t="s">
        <v>110</v>
      </c>
    </row>
    <row r="871" spans="1:10" x14ac:dyDescent="0.25">
      <c r="A871" t="s">
        <v>995</v>
      </c>
      <c r="B871" s="18">
        <v>43304</v>
      </c>
      <c r="C871" t="s">
        <v>108</v>
      </c>
      <c r="D871" t="s">
        <v>104</v>
      </c>
      <c r="E871">
        <v>23</v>
      </c>
      <c r="F871">
        <v>16</v>
      </c>
      <c r="G871">
        <v>368</v>
      </c>
      <c r="H871">
        <v>0.11</v>
      </c>
      <c r="I871">
        <v>40.479999999999997</v>
      </c>
      <c r="J871" t="s">
        <v>112</v>
      </c>
    </row>
    <row r="872" spans="1:10" x14ac:dyDescent="0.25">
      <c r="A872" t="s">
        <v>996</v>
      </c>
      <c r="B872" s="18">
        <v>43304</v>
      </c>
      <c r="C872" t="s">
        <v>95</v>
      </c>
      <c r="D872" t="s">
        <v>96</v>
      </c>
      <c r="E872">
        <v>6</v>
      </c>
      <c r="F872">
        <v>80</v>
      </c>
      <c r="G872">
        <v>480</v>
      </c>
      <c r="H872">
        <v>0.01</v>
      </c>
      <c r="I872">
        <v>4.8</v>
      </c>
      <c r="J872" t="s">
        <v>113</v>
      </c>
    </row>
    <row r="873" spans="1:10" x14ac:dyDescent="0.25">
      <c r="A873" t="s">
        <v>997</v>
      </c>
      <c r="B873" s="18">
        <v>43304</v>
      </c>
      <c r="C873" t="s">
        <v>108</v>
      </c>
      <c r="D873" t="s">
        <v>96</v>
      </c>
      <c r="E873">
        <v>7</v>
      </c>
      <c r="F873">
        <v>16</v>
      </c>
      <c r="G873">
        <v>112</v>
      </c>
      <c r="H873">
        <v>0.12</v>
      </c>
      <c r="I873">
        <v>13.44</v>
      </c>
      <c r="J873" t="s">
        <v>114</v>
      </c>
    </row>
    <row r="874" spans="1:10" x14ac:dyDescent="0.25">
      <c r="A874" t="s">
        <v>998</v>
      </c>
      <c r="B874" s="18">
        <v>43304</v>
      </c>
      <c r="C874" t="s">
        <v>95</v>
      </c>
      <c r="D874" t="s">
        <v>99</v>
      </c>
      <c r="E874">
        <v>10</v>
      </c>
      <c r="F874">
        <v>80</v>
      </c>
      <c r="G874">
        <v>800</v>
      </c>
      <c r="H874">
        <v>0.11</v>
      </c>
      <c r="I874">
        <v>88</v>
      </c>
      <c r="J874" t="s">
        <v>115</v>
      </c>
    </row>
    <row r="875" spans="1:10" x14ac:dyDescent="0.25">
      <c r="A875" t="s">
        <v>999</v>
      </c>
      <c r="B875" s="18">
        <v>43304</v>
      </c>
      <c r="C875" t="s">
        <v>101</v>
      </c>
      <c r="D875" t="s">
        <v>96</v>
      </c>
      <c r="E875">
        <v>9</v>
      </c>
      <c r="F875">
        <v>230</v>
      </c>
      <c r="G875">
        <v>2070</v>
      </c>
      <c r="H875">
        <v>7.0000000000000007E-2</v>
      </c>
      <c r="I875">
        <v>144.9</v>
      </c>
      <c r="J875" t="s">
        <v>116</v>
      </c>
    </row>
    <row r="876" spans="1:10" x14ac:dyDescent="0.25">
      <c r="A876" t="s">
        <v>1000</v>
      </c>
      <c r="B876" s="18">
        <v>43305</v>
      </c>
      <c r="C876" t="s">
        <v>98</v>
      </c>
      <c r="D876" t="s">
        <v>99</v>
      </c>
      <c r="E876">
        <v>12</v>
      </c>
      <c r="F876">
        <v>40</v>
      </c>
      <c r="G876">
        <v>480</v>
      </c>
      <c r="H876">
        <v>0.1</v>
      </c>
      <c r="I876">
        <v>48</v>
      </c>
      <c r="J876" t="s">
        <v>97</v>
      </c>
    </row>
    <row r="877" spans="1:10" x14ac:dyDescent="0.25">
      <c r="A877" t="s">
        <v>1001</v>
      </c>
      <c r="B877" s="18">
        <v>43305</v>
      </c>
      <c r="C877" t="s">
        <v>108</v>
      </c>
      <c r="D877" t="s">
        <v>109</v>
      </c>
      <c r="E877">
        <v>17</v>
      </c>
      <c r="F877">
        <v>16</v>
      </c>
      <c r="G877">
        <v>272</v>
      </c>
      <c r="H877">
        <v>0.1</v>
      </c>
      <c r="I877">
        <v>27.200000000000003</v>
      </c>
      <c r="J877" t="s">
        <v>100</v>
      </c>
    </row>
    <row r="878" spans="1:10" x14ac:dyDescent="0.25">
      <c r="A878" t="s">
        <v>1002</v>
      </c>
      <c r="B878" s="18">
        <v>43305</v>
      </c>
      <c r="C878" t="s">
        <v>111</v>
      </c>
      <c r="D878" t="s">
        <v>104</v>
      </c>
      <c r="E878">
        <v>22</v>
      </c>
      <c r="F878">
        <v>150</v>
      </c>
      <c r="G878">
        <v>3300</v>
      </c>
      <c r="H878">
        <v>0.04</v>
      </c>
      <c r="I878">
        <v>132</v>
      </c>
      <c r="J878" t="s">
        <v>102</v>
      </c>
    </row>
    <row r="879" spans="1:10" x14ac:dyDescent="0.25">
      <c r="A879" t="s">
        <v>1003</v>
      </c>
      <c r="B879" s="18">
        <v>43305</v>
      </c>
      <c r="C879" t="s">
        <v>111</v>
      </c>
      <c r="D879" t="s">
        <v>104</v>
      </c>
      <c r="E879">
        <v>11</v>
      </c>
      <c r="F879">
        <v>150</v>
      </c>
      <c r="G879">
        <v>1650</v>
      </c>
      <c r="H879">
        <v>0.05</v>
      </c>
      <c r="I879">
        <v>82.5</v>
      </c>
      <c r="J879" t="s">
        <v>103</v>
      </c>
    </row>
    <row r="880" spans="1:10" x14ac:dyDescent="0.25">
      <c r="A880" t="s">
        <v>1004</v>
      </c>
      <c r="B880" s="18">
        <v>43305</v>
      </c>
      <c r="C880" t="s">
        <v>95</v>
      </c>
      <c r="D880" t="s">
        <v>109</v>
      </c>
      <c r="E880">
        <v>9</v>
      </c>
      <c r="F880">
        <v>80</v>
      </c>
      <c r="G880">
        <v>720</v>
      </c>
      <c r="H880">
        <v>0.02</v>
      </c>
      <c r="I880">
        <v>14.4</v>
      </c>
      <c r="J880" t="s">
        <v>105</v>
      </c>
    </row>
    <row r="881" spans="1:10" x14ac:dyDescent="0.25">
      <c r="A881" t="s">
        <v>1005</v>
      </c>
      <c r="B881" s="18">
        <v>43305</v>
      </c>
      <c r="C881" t="s">
        <v>95</v>
      </c>
      <c r="D881" t="s">
        <v>109</v>
      </c>
      <c r="E881">
        <v>13</v>
      </c>
      <c r="F881">
        <v>80</v>
      </c>
      <c r="G881">
        <v>1040</v>
      </c>
      <c r="H881">
        <v>0.05</v>
      </c>
      <c r="I881">
        <v>52</v>
      </c>
      <c r="J881" t="s">
        <v>107</v>
      </c>
    </row>
    <row r="882" spans="1:10" x14ac:dyDescent="0.25">
      <c r="A882" t="s">
        <v>1006</v>
      </c>
      <c r="B882" s="18">
        <v>43305</v>
      </c>
      <c r="C882" t="s">
        <v>98</v>
      </c>
      <c r="D882" t="s">
        <v>109</v>
      </c>
      <c r="E882">
        <v>20</v>
      </c>
      <c r="F882">
        <v>40</v>
      </c>
      <c r="G882">
        <v>800</v>
      </c>
      <c r="H882">
        <v>0.1</v>
      </c>
      <c r="I882">
        <v>80</v>
      </c>
      <c r="J882" t="s">
        <v>100</v>
      </c>
    </row>
    <row r="883" spans="1:10" x14ac:dyDescent="0.25">
      <c r="A883" t="s">
        <v>1007</v>
      </c>
      <c r="B883" s="18">
        <v>43305</v>
      </c>
      <c r="C883" t="s">
        <v>98</v>
      </c>
      <c r="D883" t="s">
        <v>99</v>
      </c>
      <c r="E883">
        <v>15</v>
      </c>
      <c r="F883">
        <v>40</v>
      </c>
      <c r="G883">
        <v>600</v>
      </c>
      <c r="H883">
        <v>0.02</v>
      </c>
      <c r="I883">
        <v>12</v>
      </c>
      <c r="J883" t="s">
        <v>102</v>
      </c>
    </row>
    <row r="884" spans="1:10" x14ac:dyDescent="0.25">
      <c r="A884" t="s">
        <v>1008</v>
      </c>
      <c r="B884" s="18">
        <v>43306</v>
      </c>
      <c r="C884" t="s">
        <v>111</v>
      </c>
      <c r="D884" t="s">
        <v>109</v>
      </c>
      <c r="E884">
        <v>15</v>
      </c>
      <c r="F884">
        <v>150</v>
      </c>
      <c r="G884">
        <v>2250</v>
      </c>
      <c r="H884">
        <v>7.0000000000000007E-2</v>
      </c>
      <c r="I884">
        <v>157.50000000000003</v>
      </c>
      <c r="J884" t="s">
        <v>103</v>
      </c>
    </row>
    <row r="885" spans="1:10" x14ac:dyDescent="0.25">
      <c r="A885" t="s">
        <v>1009</v>
      </c>
      <c r="B885" s="18">
        <v>43306</v>
      </c>
      <c r="C885" t="s">
        <v>95</v>
      </c>
      <c r="D885" t="s">
        <v>109</v>
      </c>
      <c r="E885">
        <v>16</v>
      </c>
      <c r="F885">
        <v>80</v>
      </c>
      <c r="G885">
        <v>1280</v>
      </c>
      <c r="H885">
        <v>0.09</v>
      </c>
      <c r="I885">
        <v>115.19999999999999</v>
      </c>
      <c r="J885" t="s">
        <v>105</v>
      </c>
    </row>
    <row r="886" spans="1:10" x14ac:dyDescent="0.25">
      <c r="A886" t="s">
        <v>1010</v>
      </c>
      <c r="B886" s="18">
        <v>43306</v>
      </c>
      <c r="C886" t="s">
        <v>101</v>
      </c>
      <c r="D886" t="s">
        <v>96</v>
      </c>
      <c r="E886">
        <v>16</v>
      </c>
      <c r="F886">
        <v>230</v>
      </c>
      <c r="G886">
        <v>3680</v>
      </c>
      <c r="H886">
        <v>7.0000000000000007E-2</v>
      </c>
      <c r="I886">
        <v>257.60000000000002</v>
      </c>
      <c r="J886" t="s">
        <v>107</v>
      </c>
    </row>
    <row r="887" spans="1:10" x14ac:dyDescent="0.25">
      <c r="A887" t="s">
        <v>1011</v>
      </c>
      <c r="B887" s="18">
        <v>43306</v>
      </c>
      <c r="C887" t="s">
        <v>95</v>
      </c>
      <c r="D887" t="s">
        <v>99</v>
      </c>
      <c r="E887">
        <v>14</v>
      </c>
      <c r="F887">
        <v>80</v>
      </c>
      <c r="G887">
        <v>1120</v>
      </c>
      <c r="H887">
        <v>0.11</v>
      </c>
      <c r="I887">
        <v>123.2</v>
      </c>
      <c r="J887" t="s">
        <v>110</v>
      </c>
    </row>
    <row r="888" spans="1:10" x14ac:dyDescent="0.25">
      <c r="A888" t="s">
        <v>1012</v>
      </c>
      <c r="B888" s="18">
        <v>43306</v>
      </c>
      <c r="C888" t="s">
        <v>95</v>
      </c>
      <c r="D888" t="s">
        <v>109</v>
      </c>
      <c r="E888">
        <v>17</v>
      </c>
      <c r="F888">
        <v>80</v>
      </c>
      <c r="G888">
        <v>1360</v>
      </c>
      <c r="H888">
        <v>7.0000000000000007E-2</v>
      </c>
      <c r="I888">
        <v>95.2</v>
      </c>
      <c r="J888" t="s">
        <v>112</v>
      </c>
    </row>
    <row r="889" spans="1:10" x14ac:dyDescent="0.25">
      <c r="A889" t="s">
        <v>1013</v>
      </c>
      <c r="B889" s="18">
        <v>43306</v>
      </c>
      <c r="C889" t="s">
        <v>95</v>
      </c>
      <c r="D889" t="s">
        <v>104</v>
      </c>
      <c r="E889">
        <v>16</v>
      </c>
      <c r="F889">
        <v>80</v>
      </c>
      <c r="G889">
        <v>1280</v>
      </c>
      <c r="H889">
        <v>0.02</v>
      </c>
      <c r="I889">
        <v>25.6</v>
      </c>
      <c r="J889" t="s">
        <v>113</v>
      </c>
    </row>
    <row r="890" spans="1:10" x14ac:dyDescent="0.25">
      <c r="A890" t="s">
        <v>1014</v>
      </c>
      <c r="B890" s="18">
        <v>43306</v>
      </c>
      <c r="C890" t="s">
        <v>108</v>
      </c>
      <c r="D890" t="s">
        <v>96</v>
      </c>
      <c r="E890">
        <v>21</v>
      </c>
      <c r="F890">
        <v>16</v>
      </c>
      <c r="G890">
        <v>336</v>
      </c>
      <c r="H890">
        <v>0.09</v>
      </c>
      <c r="I890">
        <v>30.24</v>
      </c>
      <c r="J890" t="s">
        <v>114</v>
      </c>
    </row>
    <row r="891" spans="1:10" x14ac:dyDescent="0.25">
      <c r="A891" t="s">
        <v>1015</v>
      </c>
      <c r="B891" s="18">
        <v>43306</v>
      </c>
      <c r="C891" t="s">
        <v>111</v>
      </c>
      <c r="D891" t="s">
        <v>96</v>
      </c>
      <c r="E891">
        <v>9</v>
      </c>
      <c r="F891">
        <v>150</v>
      </c>
      <c r="G891">
        <v>1350</v>
      </c>
      <c r="H891">
        <v>0.1</v>
      </c>
      <c r="I891">
        <v>135</v>
      </c>
      <c r="J891" t="s">
        <v>115</v>
      </c>
    </row>
    <row r="892" spans="1:10" x14ac:dyDescent="0.25">
      <c r="A892" t="s">
        <v>1016</v>
      </c>
      <c r="B892" s="18">
        <v>43306</v>
      </c>
      <c r="C892" t="s">
        <v>111</v>
      </c>
      <c r="D892" t="s">
        <v>106</v>
      </c>
      <c r="E892">
        <v>3</v>
      </c>
      <c r="F892">
        <v>150</v>
      </c>
      <c r="G892">
        <v>450</v>
      </c>
      <c r="H892">
        <v>0.01</v>
      </c>
      <c r="I892">
        <v>4.5</v>
      </c>
      <c r="J892" t="s">
        <v>116</v>
      </c>
    </row>
    <row r="893" spans="1:10" x14ac:dyDescent="0.25">
      <c r="A893" t="s">
        <v>1017</v>
      </c>
      <c r="B893" s="18">
        <v>43307</v>
      </c>
      <c r="C893" t="s">
        <v>95</v>
      </c>
      <c r="D893" t="s">
        <v>99</v>
      </c>
      <c r="E893">
        <v>14</v>
      </c>
      <c r="F893">
        <v>80</v>
      </c>
      <c r="G893">
        <v>1120</v>
      </c>
      <c r="H893">
        <v>0.06</v>
      </c>
      <c r="I893">
        <v>67.2</v>
      </c>
      <c r="J893" t="s">
        <v>97</v>
      </c>
    </row>
    <row r="894" spans="1:10" x14ac:dyDescent="0.25">
      <c r="A894" t="s">
        <v>1018</v>
      </c>
      <c r="B894" s="18">
        <v>43307</v>
      </c>
      <c r="C894" t="s">
        <v>111</v>
      </c>
      <c r="D894" t="s">
        <v>109</v>
      </c>
      <c r="E894">
        <v>4</v>
      </c>
      <c r="F894">
        <v>150</v>
      </c>
      <c r="G894">
        <v>600</v>
      </c>
      <c r="H894">
        <v>0.05</v>
      </c>
      <c r="I894">
        <v>30</v>
      </c>
      <c r="J894" t="s">
        <v>100</v>
      </c>
    </row>
    <row r="895" spans="1:10" x14ac:dyDescent="0.25">
      <c r="A895" t="s">
        <v>1019</v>
      </c>
      <c r="B895" s="18">
        <v>43307</v>
      </c>
      <c r="C895" t="s">
        <v>108</v>
      </c>
      <c r="D895" t="s">
        <v>99</v>
      </c>
      <c r="E895">
        <v>20</v>
      </c>
      <c r="F895">
        <v>16</v>
      </c>
      <c r="G895">
        <v>320</v>
      </c>
      <c r="H895">
        <v>0.06</v>
      </c>
      <c r="I895">
        <v>19.2</v>
      </c>
      <c r="J895" t="s">
        <v>102</v>
      </c>
    </row>
    <row r="896" spans="1:10" x14ac:dyDescent="0.25">
      <c r="A896" t="s">
        <v>1020</v>
      </c>
      <c r="B896" s="18">
        <v>43307</v>
      </c>
      <c r="C896" t="s">
        <v>101</v>
      </c>
      <c r="D896" t="s">
        <v>104</v>
      </c>
      <c r="E896">
        <v>7</v>
      </c>
      <c r="F896">
        <v>230</v>
      </c>
      <c r="G896">
        <v>1610</v>
      </c>
      <c r="H896">
        <v>0.01</v>
      </c>
      <c r="I896">
        <v>16.100000000000001</v>
      </c>
      <c r="J896" t="s">
        <v>103</v>
      </c>
    </row>
    <row r="897" spans="1:10" x14ac:dyDescent="0.25">
      <c r="A897" t="s">
        <v>1021</v>
      </c>
      <c r="B897" s="18">
        <v>43307</v>
      </c>
      <c r="C897" t="s">
        <v>95</v>
      </c>
      <c r="D897" t="s">
        <v>99</v>
      </c>
      <c r="E897">
        <v>9</v>
      </c>
      <c r="F897">
        <v>80</v>
      </c>
      <c r="G897">
        <v>720</v>
      </c>
      <c r="H897">
        <v>0.03</v>
      </c>
      <c r="I897">
        <v>21.599999999999998</v>
      </c>
      <c r="J897" t="s">
        <v>105</v>
      </c>
    </row>
    <row r="898" spans="1:10" x14ac:dyDescent="0.25">
      <c r="A898" t="s">
        <v>1022</v>
      </c>
      <c r="B898" s="18">
        <v>43307</v>
      </c>
      <c r="C898" t="s">
        <v>98</v>
      </c>
      <c r="D898" t="s">
        <v>106</v>
      </c>
      <c r="E898">
        <v>4</v>
      </c>
      <c r="F898">
        <v>40</v>
      </c>
      <c r="G898">
        <v>160</v>
      </c>
      <c r="H898">
        <v>0.05</v>
      </c>
      <c r="I898">
        <v>8</v>
      </c>
      <c r="J898" t="s">
        <v>107</v>
      </c>
    </row>
    <row r="899" spans="1:10" x14ac:dyDescent="0.25">
      <c r="A899" t="s">
        <v>1023</v>
      </c>
      <c r="B899" s="18">
        <v>43307</v>
      </c>
      <c r="C899" t="s">
        <v>95</v>
      </c>
      <c r="D899" t="s">
        <v>96</v>
      </c>
      <c r="E899">
        <v>6</v>
      </c>
      <c r="F899">
        <v>80</v>
      </c>
      <c r="G899">
        <v>480</v>
      </c>
      <c r="H899">
        <v>7.0000000000000007E-2</v>
      </c>
      <c r="I899">
        <v>33.6</v>
      </c>
      <c r="J899" t="s">
        <v>100</v>
      </c>
    </row>
    <row r="900" spans="1:10" x14ac:dyDescent="0.25">
      <c r="A900" t="s">
        <v>1024</v>
      </c>
      <c r="B900" s="18">
        <v>43307</v>
      </c>
      <c r="C900" t="s">
        <v>108</v>
      </c>
      <c r="D900" t="s">
        <v>104</v>
      </c>
      <c r="E900">
        <v>8</v>
      </c>
      <c r="F900">
        <v>16</v>
      </c>
      <c r="G900">
        <v>128</v>
      </c>
      <c r="H900">
        <v>0.03</v>
      </c>
      <c r="I900">
        <v>3.84</v>
      </c>
      <c r="J900" t="s">
        <v>102</v>
      </c>
    </row>
    <row r="901" spans="1:10" x14ac:dyDescent="0.25">
      <c r="A901" t="s">
        <v>1025</v>
      </c>
      <c r="B901" s="18">
        <v>43307</v>
      </c>
      <c r="C901" t="s">
        <v>108</v>
      </c>
      <c r="D901" t="s">
        <v>96</v>
      </c>
      <c r="E901">
        <v>10</v>
      </c>
      <c r="F901">
        <v>16</v>
      </c>
      <c r="G901">
        <v>160</v>
      </c>
      <c r="H901">
        <v>0.08</v>
      </c>
      <c r="I901">
        <v>12.8</v>
      </c>
      <c r="J901" t="s">
        <v>103</v>
      </c>
    </row>
    <row r="902" spans="1:10" x14ac:dyDescent="0.25">
      <c r="A902" t="s">
        <v>1026</v>
      </c>
      <c r="B902" s="18">
        <v>43307</v>
      </c>
      <c r="C902" t="s">
        <v>108</v>
      </c>
      <c r="D902" t="s">
        <v>106</v>
      </c>
      <c r="E902">
        <v>22</v>
      </c>
      <c r="F902">
        <v>16</v>
      </c>
      <c r="G902">
        <v>352</v>
      </c>
      <c r="H902">
        <v>0.03</v>
      </c>
      <c r="I902">
        <v>10.559999999999999</v>
      </c>
      <c r="J902" t="s">
        <v>105</v>
      </c>
    </row>
    <row r="903" spans="1:10" x14ac:dyDescent="0.25">
      <c r="A903" t="s">
        <v>1027</v>
      </c>
      <c r="B903" s="18">
        <v>43307</v>
      </c>
      <c r="C903" t="s">
        <v>95</v>
      </c>
      <c r="D903" t="s">
        <v>106</v>
      </c>
      <c r="E903">
        <v>11</v>
      </c>
      <c r="F903">
        <v>80</v>
      </c>
      <c r="G903">
        <v>880</v>
      </c>
      <c r="H903">
        <v>0.01</v>
      </c>
      <c r="I903">
        <v>8.8000000000000007</v>
      </c>
      <c r="J903" t="s">
        <v>107</v>
      </c>
    </row>
    <row r="904" spans="1:10" x14ac:dyDescent="0.25">
      <c r="A904" t="s">
        <v>1028</v>
      </c>
      <c r="B904" s="18">
        <v>43307</v>
      </c>
      <c r="C904" t="s">
        <v>108</v>
      </c>
      <c r="D904" t="s">
        <v>106</v>
      </c>
      <c r="E904">
        <v>7</v>
      </c>
      <c r="F904">
        <v>16</v>
      </c>
      <c r="G904">
        <v>112</v>
      </c>
      <c r="H904">
        <v>0.08</v>
      </c>
      <c r="I904">
        <v>8.9600000000000009</v>
      </c>
      <c r="J904" t="s">
        <v>110</v>
      </c>
    </row>
    <row r="905" spans="1:10" x14ac:dyDescent="0.25">
      <c r="A905" t="s">
        <v>1029</v>
      </c>
      <c r="B905" s="18">
        <v>43308</v>
      </c>
      <c r="C905" t="s">
        <v>108</v>
      </c>
      <c r="D905" t="s">
        <v>104</v>
      </c>
      <c r="E905">
        <v>11</v>
      </c>
      <c r="F905">
        <v>16</v>
      </c>
      <c r="G905">
        <v>176</v>
      </c>
      <c r="H905">
        <v>0.12</v>
      </c>
      <c r="I905">
        <v>21.119999999999997</v>
      </c>
      <c r="J905" t="s">
        <v>112</v>
      </c>
    </row>
    <row r="906" spans="1:10" x14ac:dyDescent="0.25">
      <c r="A906" t="s">
        <v>1030</v>
      </c>
      <c r="B906" s="18">
        <v>43308</v>
      </c>
      <c r="C906" t="s">
        <v>98</v>
      </c>
      <c r="D906" t="s">
        <v>109</v>
      </c>
      <c r="E906">
        <v>7</v>
      </c>
      <c r="F906">
        <v>40</v>
      </c>
      <c r="G906">
        <v>280</v>
      </c>
      <c r="H906">
        <v>0.05</v>
      </c>
      <c r="I906">
        <v>14</v>
      </c>
      <c r="J906" t="s">
        <v>113</v>
      </c>
    </row>
    <row r="907" spans="1:10" x14ac:dyDescent="0.25">
      <c r="A907" t="s">
        <v>1031</v>
      </c>
      <c r="B907" s="18">
        <v>43308</v>
      </c>
      <c r="C907" t="s">
        <v>111</v>
      </c>
      <c r="D907" t="s">
        <v>104</v>
      </c>
      <c r="E907">
        <v>9</v>
      </c>
      <c r="F907">
        <v>150</v>
      </c>
      <c r="G907">
        <v>1350</v>
      </c>
      <c r="H907">
        <v>0.06</v>
      </c>
      <c r="I907">
        <v>81</v>
      </c>
      <c r="J907" t="s">
        <v>114</v>
      </c>
    </row>
    <row r="908" spans="1:10" x14ac:dyDescent="0.25">
      <c r="A908" t="s">
        <v>1032</v>
      </c>
      <c r="B908" s="18">
        <v>43308</v>
      </c>
      <c r="C908" t="s">
        <v>101</v>
      </c>
      <c r="D908" t="s">
        <v>96</v>
      </c>
      <c r="E908">
        <v>20</v>
      </c>
      <c r="F908">
        <v>230</v>
      </c>
      <c r="G908">
        <v>4600</v>
      </c>
      <c r="H908">
        <v>0.04</v>
      </c>
      <c r="I908">
        <v>184</v>
      </c>
      <c r="J908" t="s">
        <v>115</v>
      </c>
    </row>
    <row r="909" spans="1:10" x14ac:dyDescent="0.25">
      <c r="A909" t="s">
        <v>1033</v>
      </c>
      <c r="B909" s="18">
        <v>43308</v>
      </c>
      <c r="C909" t="s">
        <v>111</v>
      </c>
      <c r="D909" t="s">
        <v>104</v>
      </c>
      <c r="E909">
        <v>9</v>
      </c>
      <c r="F909">
        <v>150</v>
      </c>
      <c r="G909">
        <v>1350</v>
      </c>
      <c r="H909">
        <v>0.02</v>
      </c>
      <c r="I909">
        <v>27</v>
      </c>
      <c r="J909" t="s">
        <v>116</v>
      </c>
    </row>
    <row r="910" spans="1:10" x14ac:dyDescent="0.25">
      <c r="A910" t="s">
        <v>1034</v>
      </c>
      <c r="B910" s="18">
        <v>43308</v>
      </c>
      <c r="C910" t="s">
        <v>95</v>
      </c>
      <c r="D910" t="s">
        <v>99</v>
      </c>
      <c r="E910">
        <v>5</v>
      </c>
      <c r="F910">
        <v>80</v>
      </c>
      <c r="G910">
        <v>400</v>
      </c>
      <c r="H910">
        <v>7.0000000000000007E-2</v>
      </c>
      <c r="I910">
        <v>28.000000000000004</v>
      </c>
      <c r="J910" t="s">
        <v>97</v>
      </c>
    </row>
    <row r="911" spans="1:10" x14ac:dyDescent="0.25">
      <c r="A911" t="s">
        <v>1035</v>
      </c>
      <c r="B911" s="18">
        <v>43308</v>
      </c>
      <c r="C911" t="s">
        <v>111</v>
      </c>
      <c r="D911" t="s">
        <v>104</v>
      </c>
      <c r="E911">
        <v>20</v>
      </c>
      <c r="F911">
        <v>150</v>
      </c>
      <c r="G911">
        <v>3000</v>
      </c>
      <c r="H911">
        <v>0.04</v>
      </c>
      <c r="I911">
        <v>120</v>
      </c>
      <c r="J911" t="s">
        <v>100</v>
      </c>
    </row>
    <row r="912" spans="1:10" x14ac:dyDescent="0.25">
      <c r="A912" t="s">
        <v>1036</v>
      </c>
      <c r="B912" s="18">
        <v>43308</v>
      </c>
      <c r="C912" t="s">
        <v>111</v>
      </c>
      <c r="D912" t="s">
        <v>106</v>
      </c>
      <c r="E912">
        <v>15</v>
      </c>
      <c r="F912">
        <v>150</v>
      </c>
      <c r="G912">
        <v>2250</v>
      </c>
      <c r="H912">
        <v>0.05</v>
      </c>
      <c r="I912">
        <v>112.5</v>
      </c>
      <c r="J912" t="s">
        <v>102</v>
      </c>
    </row>
    <row r="913" spans="1:10" x14ac:dyDescent="0.25">
      <c r="A913" t="s">
        <v>1037</v>
      </c>
      <c r="B913" s="18">
        <v>43308</v>
      </c>
      <c r="C913" t="s">
        <v>95</v>
      </c>
      <c r="D913" t="s">
        <v>96</v>
      </c>
      <c r="E913">
        <v>20</v>
      </c>
      <c r="F913">
        <v>80</v>
      </c>
      <c r="G913">
        <v>1600</v>
      </c>
      <c r="H913">
        <v>0.01</v>
      </c>
      <c r="I913">
        <v>16</v>
      </c>
      <c r="J913" t="s">
        <v>103</v>
      </c>
    </row>
    <row r="914" spans="1:10" x14ac:dyDescent="0.25">
      <c r="A914" t="s">
        <v>1038</v>
      </c>
      <c r="B914" s="18">
        <v>43309</v>
      </c>
      <c r="C914" t="s">
        <v>101</v>
      </c>
      <c r="D914" t="s">
        <v>99</v>
      </c>
      <c r="E914">
        <v>12</v>
      </c>
      <c r="F914">
        <v>230</v>
      </c>
      <c r="G914">
        <v>2760</v>
      </c>
      <c r="H914">
        <v>0.03</v>
      </c>
      <c r="I914">
        <v>82.8</v>
      </c>
      <c r="J914" t="s">
        <v>105</v>
      </c>
    </row>
    <row r="915" spans="1:10" x14ac:dyDescent="0.25">
      <c r="A915" t="s">
        <v>1039</v>
      </c>
      <c r="B915" s="18">
        <v>43309</v>
      </c>
      <c r="C915" t="s">
        <v>98</v>
      </c>
      <c r="D915" t="s">
        <v>109</v>
      </c>
      <c r="E915">
        <v>20</v>
      </c>
      <c r="F915">
        <v>40</v>
      </c>
      <c r="G915">
        <v>800</v>
      </c>
      <c r="H915">
        <v>0.05</v>
      </c>
      <c r="I915">
        <v>40</v>
      </c>
      <c r="J915" t="s">
        <v>107</v>
      </c>
    </row>
    <row r="916" spans="1:10" x14ac:dyDescent="0.25">
      <c r="A916" t="s">
        <v>1040</v>
      </c>
      <c r="B916" s="18">
        <v>43309</v>
      </c>
      <c r="C916" t="s">
        <v>98</v>
      </c>
      <c r="D916" t="s">
        <v>109</v>
      </c>
      <c r="E916">
        <v>4</v>
      </c>
      <c r="F916">
        <v>40</v>
      </c>
      <c r="G916">
        <v>160</v>
      </c>
      <c r="H916">
        <v>0.09</v>
      </c>
      <c r="I916">
        <v>14.399999999999999</v>
      </c>
      <c r="J916" t="s">
        <v>100</v>
      </c>
    </row>
    <row r="917" spans="1:10" x14ac:dyDescent="0.25">
      <c r="A917" t="s">
        <v>1041</v>
      </c>
      <c r="B917" s="18">
        <v>43309</v>
      </c>
      <c r="C917" t="s">
        <v>108</v>
      </c>
      <c r="D917" t="s">
        <v>104</v>
      </c>
      <c r="E917">
        <v>6</v>
      </c>
      <c r="F917">
        <v>16</v>
      </c>
      <c r="G917">
        <v>96</v>
      </c>
      <c r="H917">
        <v>7.0000000000000007E-2</v>
      </c>
      <c r="I917">
        <v>6.7200000000000006</v>
      </c>
      <c r="J917" t="s">
        <v>102</v>
      </c>
    </row>
    <row r="918" spans="1:10" x14ac:dyDescent="0.25">
      <c r="A918" t="s">
        <v>1042</v>
      </c>
      <c r="B918" s="18">
        <v>43309</v>
      </c>
      <c r="C918" t="s">
        <v>95</v>
      </c>
      <c r="D918" t="s">
        <v>99</v>
      </c>
      <c r="E918">
        <v>13</v>
      </c>
      <c r="F918">
        <v>80</v>
      </c>
      <c r="G918">
        <v>1040</v>
      </c>
      <c r="H918">
        <v>0.06</v>
      </c>
      <c r="I918">
        <v>62.4</v>
      </c>
      <c r="J918" t="s">
        <v>103</v>
      </c>
    </row>
    <row r="919" spans="1:10" x14ac:dyDescent="0.25">
      <c r="A919" t="s">
        <v>1043</v>
      </c>
      <c r="B919" s="18">
        <v>43309</v>
      </c>
      <c r="C919" t="s">
        <v>111</v>
      </c>
      <c r="D919" t="s">
        <v>96</v>
      </c>
      <c r="E919">
        <v>4</v>
      </c>
      <c r="F919">
        <v>150</v>
      </c>
      <c r="G919">
        <v>600</v>
      </c>
      <c r="H919">
        <v>0.1</v>
      </c>
      <c r="I919">
        <v>60</v>
      </c>
      <c r="J919" t="s">
        <v>105</v>
      </c>
    </row>
    <row r="920" spans="1:10" x14ac:dyDescent="0.25">
      <c r="A920" t="s">
        <v>1044</v>
      </c>
      <c r="B920" s="18">
        <v>43309</v>
      </c>
      <c r="C920" t="s">
        <v>111</v>
      </c>
      <c r="D920" t="s">
        <v>106</v>
      </c>
      <c r="E920">
        <v>9</v>
      </c>
      <c r="F920">
        <v>150</v>
      </c>
      <c r="G920">
        <v>1350</v>
      </c>
      <c r="H920">
        <v>0.02</v>
      </c>
      <c r="I920">
        <v>27</v>
      </c>
      <c r="J920" t="s">
        <v>107</v>
      </c>
    </row>
    <row r="921" spans="1:10" x14ac:dyDescent="0.25">
      <c r="A921" t="s">
        <v>1045</v>
      </c>
      <c r="B921" s="18">
        <v>43309</v>
      </c>
      <c r="C921" t="s">
        <v>111</v>
      </c>
      <c r="D921" t="s">
        <v>96</v>
      </c>
      <c r="E921">
        <v>11</v>
      </c>
      <c r="F921">
        <v>150</v>
      </c>
      <c r="G921">
        <v>1650</v>
      </c>
      <c r="H921">
        <v>0.05</v>
      </c>
      <c r="I921">
        <v>82.5</v>
      </c>
      <c r="J921" t="s">
        <v>110</v>
      </c>
    </row>
    <row r="922" spans="1:10" x14ac:dyDescent="0.25">
      <c r="A922" t="s">
        <v>1046</v>
      </c>
      <c r="B922" s="18">
        <v>43309</v>
      </c>
      <c r="C922" t="s">
        <v>108</v>
      </c>
      <c r="D922" t="s">
        <v>104</v>
      </c>
      <c r="E922">
        <v>6</v>
      </c>
      <c r="F922">
        <v>16</v>
      </c>
      <c r="G922">
        <v>96</v>
      </c>
      <c r="H922">
        <v>0.06</v>
      </c>
      <c r="I922">
        <v>5.76</v>
      </c>
      <c r="J922" t="s">
        <v>112</v>
      </c>
    </row>
    <row r="923" spans="1:10" x14ac:dyDescent="0.25">
      <c r="A923" t="s">
        <v>1047</v>
      </c>
      <c r="B923" s="18">
        <v>43310</v>
      </c>
      <c r="C923" t="s">
        <v>101</v>
      </c>
      <c r="D923" t="s">
        <v>104</v>
      </c>
      <c r="E923">
        <v>14</v>
      </c>
      <c r="F923">
        <v>230</v>
      </c>
      <c r="G923">
        <v>3220</v>
      </c>
      <c r="H923">
        <v>0.12</v>
      </c>
      <c r="I923">
        <v>386.4</v>
      </c>
      <c r="J923" t="s">
        <v>113</v>
      </c>
    </row>
    <row r="924" spans="1:10" x14ac:dyDescent="0.25">
      <c r="A924" t="s">
        <v>1048</v>
      </c>
      <c r="B924" s="18">
        <v>43310</v>
      </c>
      <c r="C924" t="s">
        <v>95</v>
      </c>
      <c r="D924" t="s">
        <v>99</v>
      </c>
      <c r="E924">
        <v>15</v>
      </c>
      <c r="F924">
        <v>80</v>
      </c>
      <c r="G924">
        <v>1200</v>
      </c>
      <c r="H924">
        <v>0.12</v>
      </c>
      <c r="I924">
        <v>144</v>
      </c>
      <c r="J924" t="s">
        <v>114</v>
      </c>
    </row>
    <row r="925" spans="1:10" x14ac:dyDescent="0.25">
      <c r="A925" t="s">
        <v>1049</v>
      </c>
      <c r="B925" s="18">
        <v>43310</v>
      </c>
      <c r="C925" t="s">
        <v>101</v>
      </c>
      <c r="D925" t="s">
        <v>106</v>
      </c>
      <c r="E925">
        <v>17</v>
      </c>
      <c r="F925">
        <v>230</v>
      </c>
      <c r="G925">
        <v>3910</v>
      </c>
      <c r="H925">
        <v>0.12</v>
      </c>
      <c r="I925">
        <v>469.2</v>
      </c>
      <c r="J925" t="s">
        <v>115</v>
      </c>
    </row>
    <row r="926" spans="1:10" x14ac:dyDescent="0.25">
      <c r="A926" t="s">
        <v>1050</v>
      </c>
      <c r="B926" s="18">
        <v>43310</v>
      </c>
      <c r="C926" t="s">
        <v>111</v>
      </c>
      <c r="D926" t="s">
        <v>96</v>
      </c>
      <c r="E926">
        <v>5</v>
      </c>
      <c r="F926">
        <v>150</v>
      </c>
      <c r="G926">
        <v>750</v>
      </c>
      <c r="H926">
        <v>0.11</v>
      </c>
      <c r="I926">
        <v>82.5</v>
      </c>
      <c r="J926" t="s">
        <v>116</v>
      </c>
    </row>
    <row r="927" spans="1:10" x14ac:dyDescent="0.25">
      <c r="A927" t="s">
        <v>1051</v>
      </c>
      <c r="B927" s="18">
        <v>43310</v>
      </c>
      <c r="C927" t="s">
        <v>95</v>
      </c>
      <c r="D927" t="s">
        <v>109</v>
      </c>
      <c r="E927">
        <v>10</v>
      </c>
      <c r="F927">
        <v>80</v>
      </c>
      <c r="G927">
        <v>800</v>
      </c>
      <c r="H927">
        <v>0.06</v>
      </c>
      <c r="I927">
        <v>48</v>
      </c>
      <c r="J927" t="s">
        <v>97</v>
      </c>
    </row>
    <row r="928" spans="1:10" x14ac:dyDescent="0.25">
      <c r="A928" t="s">
        <v>1052</v>
      </c>
      <c r="B928" s="18">
        <v>43310</v>
      </c>
      <c r="C928" t="s">
        <v>95</v>
      </c>
      <c r="D928" t="s">
        <v>96</v>
      </c>
      <c r="E928">
        <v>9</v>
      </c>
      <c r="F928">
        <v>80</v>
      </c>
      <c r="G928">
        <v>720</v>
      </c>
      <c r="H928">
        <v>0.04</v>
      </c>
      <c r="I928">
        <v>28.8</v>
      </c>
      <c r="J928" t="s">
        <v>100</v>
      </c>
    </row>
    <row r="929" spans="1:10" x14ac:dyDescent="0.25">
      <c r="A929" t="s">
        <v>1053</v>
      </c>
      <c r="B929" s="18">
        <v>43310</v>
      </c>
      <c r="C929" t="s">
        <v>98</v>
      </c>
      <c r="D929" t="s">
        <v>109</v>
      </c>
      <c r="E929">
        <v>16</v>
      </c>
      <c r="F929">
        <v>40</v>
      </c>
      <c r="G929">
        <v>640</v>
      </c>
      <c r="H929">
        <v>0.09</v>
      </c>
      <c r="I929">
        <v>57.599999999999994</v>
      </c>
      <c r="J929" t="s">
        <v>102</v>
      </c>
    </row>
    <row r="930" spans="1:10" x14ac:dyDescent="0.25">
      <c r="A930" t="s">
        <v>1054</v>
      </c>
      <c r="B930" s="18">
        <v>43310</v>
      </c>
      <c r="C930" t="s">
        <v>101</v>
      </c>
      <c r="D930" t="s">
        <v>96</v>
      </c>
      <c r="E930">
        <v>7</v>
      </c>
      <c r="F930">
        <v>230</v>
      </c>
      <c r="G930">
        <v>1610</v>
      </c>
      <c r="H930">
        <v>0.08</v>
      </c>
      <c r="I930">
        <v>128.80000000000001</v>
      </c>
      <c r="J930" t="s">
        <v>103</v>
      </c>
    </row>
    <row r="931" spans="1:10" x14ac:dyDescent="0.25">
      <c r="A931" t="s">
        <v>1055</v>
      </c>
      <c r="B931" s="18">
        <v>43310</v>
      </c>
      <c r="C931" t="s">
        <v>95</v>
      </c>
      <c r="D931" t="s">
        <v>106</v>
      </c>
      <c r="E931">
        <v>17</v>
      </c>
      <c r="F931">
        <v>80</v>
      </c>
      <c r="G931">
        <v>1360</v>
      </c>
      <c r="H931">
        <v>0.05</v>
      </c>
      <c r="I931">
        <v>68</v>
      </c>
      <c r="J931" t="s">
        <v>105</v>
      </c>
    </row>
    <row r="932" spans="1:10" x14ac:dyDescent="0.25">
      <c r="A932" t="s">
        <v>1056</v>
      </c>
      <c r="B932" s="18">
        <v>43310</v>
      </c>
      <c r="C932" t="s">
        <v>101</v>
      </c>
      <c r="D932" t="s">
        <v>96</v>
      </c>
      <c r="E932">
        <v>11</v>
      </c>
      <c r="F932">
        <v>230</v>
      </c>
      <c r="G932">
        <v>2530</v>
      </c>
      <c r="H932">
        <v>0.02</v>
      </c>
      <c r="I932">
        <v>50.6</v>
      </c>
      <c r="J932" t="s">
        <v>107</v>
      </c>
    </row>
    <row r="933" spans="1:10" x14ac:dyDescent="0.25">
      <c r="A933" t="s">
        <v>1057</v>
      </c>
      <c r="B933" s="18">
        <v>43311</v>
      </c>
      <c r="C933" t="s">
        <v>98</v>
      </c>
      <c r="D933" t="s">
        <v>96</v>
      </c>
      <c r="E933">
        <v>15</v>
      </c>
      <c r="F933">
        <v>40</v>
      </c>
      <c r="G933">
        <v>600</v>
      </c>
      <c r="H933">
        <v>0.06</v>
      </c>
      <c r="I933">
        <v>36</v>
      </c>
      <c r="J933" t="s">
        <v>100</v>
      </c>
    </row>
    <row r="934" spans="1:10" x14ac:dyDescent="0.25">
      <c r="A934" t="s">
        <v>1058</v>
      </c>
      <c r="B934" s="18">
        <v>43312</v>
      </c>
      <c r="C934" t="s">
        <v>101</v>
      </c>
      <c r="D934" t="s">
        <v>96</v>
      </c>
      <c r="E934">
        <v>7</v>
      </c>
      <c r="F934">
        <v>230</v>
      </c>
      <c r="G934">
        <v>1610</v>
      </c>
      <c r="H934">
        <v>0.02</v>
      </c>
      <c r="I934">
        <v>32.200000000000003</v>
      </c>
      <c r="J934" t="s">
        <v>102</v>
      </c>
    </row>
    <row r="935" spans="1:10" x14ac:dyDescent="0.25">
      <c r="A935" t="s">
        <v>1059</v>
      </c>
      <c r="B935" s="18">
        <v>43312</v>
      </c>
      <c r="C935" t="s">
        <v>95</v>
      </c>
      <c r="D935" t="s">
        <v>104</v>
      </c>
      <c r="E935">
        <v>20</v>
      </c>
      <c r="F935">
        <v>80</v>
      </c>
      <c r="G935">
        <v>1600</v>
      </c>
      <c r="H935">
        <v>7.0000000000000007E-2</v>
      </c>
      <c r="I935">
        <v>112.00000000000001</v>
      </c>
      <c r="J935" t="s">
        <v>103</v>
      </c>
    </row>
    <row r="936" spans="1:10" x14ac:dyDescent="0.25">
      <c r="A936" t="s">
        <v>1060</v>
      </c>
      <c r="B936" s="18">
        <v>43312</v>
      </c>
      <c r="C936" t="s">
        <v>95</v>
      </c>
      <c r="D936" t="s">
        <v>99</v>
      </c>
      <c r="E936">
        <v>3</v>
      </c>
      <c r="F936">
        <v>80</v>
      </c>
      <c r="G936">
        <v>240</v>
      </c>
      <c r="H936">
        <v>0.02</v>
      </c>
      <c r="I936">
        <v>4.8</v>
      </c>
      <c r="J936" t="s">
        <v>105</v>
      </c>
    </row>
    <row r="937" spans="1:10" x14ac:dyDescent="0.25">
      <c r="A937" t="s">
        <v>1061</v>
      </c>
      <c r="B937" s="18">
        <v>43312</v>
      </c>
      <c r="C937" t="s">
        <v>111</v>
      </c>
      <c r="D937" t="s">
        <v>104</v>
      </c>
      <c r="E937">
        <v>2</v>
      </c>
      <c r="F937">
        <v>150</v>
      </c>
      <c r="G937">
        <v>300</v>
      </c>
      <c r="H937">
        <v>0.02</v>
      </c>
      <c r="I937">
        <v>6</v>
      </c>
      <c r="J937" t="s">
        <v>107</v>
      </c>
    </row>
    <row r="938" spans="1:10" x14ac:dyDescent="0.25">
      <c r="A938" t="s">
        <v>1062</v>
      </c>
      <c r="B938" s="18">
        <v>43312</v>
      </c>
      <c r="C938" t="s">
        <v>111</v>
      </c>
      <c r="D938" t="s">
        <v>104</v>
      </c>
      <c r="E938">
        <v>22</v>
      </c>
      <c r="F938">
        <v>150</v>
      </c>
      <c r="G938">
        <v>3300</v>
      </c>
      <c r="H938">
        <v>0.09</v>
      </c>
      <c r="I938">
        <v>297</v>
      </c>
      <c r="J938" t="s">
        <v>110</v>
      </c>
    </row>
    <row r="939" spans="1:10" x14ac:dyDescent="0.25">
      <c r="A939" t="s">
        <v>1063</v>
      </c>
      <c r="B939" s="18">
        <v>43312</v>
      </c>
      <c r="C939" t="s">
        <v>101</v>
      </c>
      <c r="D939" t="s">
        <v>96</v>
      </c>
      <c r="E939">
        <v>5</v>
      </c>
      <c r="F939">
        <v>230</v>
      </c>
      <c r="G939">
        <v>1150</v>
      </c>
      <c r="H939">
        <v>0.1</v>
      </c>
      <c r="I939">
        <v>115</v>
      </c>
      <c r="J939" t="s">
        <v>112</v>
      </c>
    </row>
    <row r="940" spans="1:10" x14ac:dyDescent="0.25">
      <c r="A940" t="s">
        <v>1064</v>
      </c>
      <c r="B940" s="18">
        <v>43312</v>
      </c>
      <c r="C940" t="s">
        <v>108</v>
      </c>
      <c r="D940" t="s">
        <v>109</v>
      </c>
      <c r="E940">
        <v>12</v>
      </c>
      <c r="F940">
        <v>16</v>
      </c>
      <c r="G940">
        <v>192</v>
      </c>
      <c r="H940">
        <v>0.04</v>
      </c>
      <c r="I940">
        <v>7.68</v>
      </c>
      <c r="J940" t="s">
        <v>113</v>
      </c>
    </row>
    <row r="941" spans="1:10" x14ac:dyDescent="0.25">
      <c r="A941" t="s">
        <v>1065</v>
      </c>
      <c r="B941" s="18">
        <v>43312</v>
      </c>
      <c r="C941" t="s">
        <v>98</v>
      </c>
      <c r="D941" t="s">
        <v>106</v>
      </c>
      <c r="E941">
        <v>6</v>
      </c>
      <c r="F941">
        <v>40</v>
      </c>
      <c r="G941">
        <v>240</v>
      </c>
      <c r="H941">
        <v>7.0000000000000007E-2</v>
      </c>
      <c r="I941">
        <v>16.8</v>
      </c>
      <c r="J941" t="s">
        <v>114</v>
      </c>
    </row>
    <row r="942" spans="1:10" x14ac:dyDescent="0.25">
      <c r="A942" t="s">
        <v>1066</v>
      </c>
      <c r="B942" s="18">
        <v>43312</v>
      </c>
      <c r="C942" t="s">
        <v>108</v>
      </c>
      <c r="D942" t="s">
        <v>109</v>
      </c>
      <c r="E942">
        <v>15</v>
      </c>
      <c r="F942">
        <v>16</v>
      </c>
      <c r="G942">
        <v>240</v>
      </c>
      <c r="H942">
        <v>0.01</v>
      </c>
      <c r="I942">
        <v>2.4</v>
      </c>
      <c r="J942" t="s">
        <v>115</v>
      </c>
    </row>
    <row r="943" spans="1:10" x14ac:dyDescent="0.25">
      <c r="A943" t="s">
        <v>1067</v>
      </c>
      <c r="B943" s="18">
        <v>43282</v>
      </c>
      <c r="C943" t="s">
        <v>111</v>
      </c>
      <c r="D943" t="s">
        <v>109</v>
      </c>
      <c r="E943">
        <v>13</v>
      </c>
      <c r="F943">
        <v>150</v>
      </c>
      <c r="G943">
        <v>1950</v>
      </c>
      <c r="H943">
        <v>0.11</v>
      </c>
      <c r="I943">
        <v>214.5</v>
      </c>
      <c r="J943" t="s">
        <v>116</v>
      </c>
    </row>
    <row r="944" spans="1:10" x14ac:dyDescent="0.25">
      <c r="A944" t="s">
        <v>1068</v>
      </c>
      <c r="B944" s="18">
        <v>43282</v>
      </c>
      <c r="C944" t="s">
        <v>98</v>
      </c>
      <c r="D944" t="s">
        <v>99</v>
      </c>
      <c r="E944">
        <v>8</v>
      </c>
      <c r="F944">
        <v>40</v>
      </c>
      <c r="G944">
        <v>320</v>
      </c>
      <c r="H944">
        <v>0.09</v>
      </c>
      <c r="I944">
        <v>28.799999999999997</v>
      </c>
      <c r="J944" t="s">
        <v>97</v>
      </c>
    </row>
    <row r="945" spans="1:10" x14ac:dyDescent="0.25">
      <c r="A945" t="s">
        <v>1069</v>
      </c>
      <c r="B945" s="18">
        <v>43282</v>
      </c>
      <c r="C945" t="s">
        <v>98</v>
      </c>
      <c r="D945" t="s">
        <v>106</v>
      </c>
      <c r="E945">
        <v>7</v>
      </c>
      <c r="F945">
        <v>40</v>
      </c>
      <c r="G945">
        <v>280</v>
      </c>
      <c r="H945">
        <v>7.0000000000000007E-2</v>
      </c>
      <c r="I945">
        <v>19.600000000000001</v>
      </c>
      <c r="J945" t="s">
        <v>100</v>
      </c>
    </row>
    <row r="946" spans="1:10" x14ac:dyDescent="0.25">
      <c r="A946" t="s">
        <v>1070</v>
      </c>
      <c r="B946" s="18">
        <v>43282</v>
      </c>
      <c r="C946" t="s">
        <v>98</v>
      </c>
      <c r="D946" t="s">
        <v>99</v>
      </c>
      <c r="E946">
        <v>18</v>
      </c>
      <c r="F946">
        <v>40</v>
      </c>
      <c r="G946">
        <v>720</v>
      </c>
      <c r="H946">
        <v>0.08</v>
      </c>
      <c r="I946">
        <v>57.6</v>
      </c>
      <c r="J946" t="s">
        <v>102</v>
      </c>
    </row>
    <row r="947" spans="1:10" x14ac:dyDescent="0.25">
      <c r="A947" t="s">
        <v>1071</v>
      </c>
      <c r="B947" s="18">
        <v>43282</v>
      </c>
      <c r="C947" t="s">
        <v>101</v>
      </c>
      <c r="D947" t="s">
        <v>106</v>
      </c>
      <c r="E947">
        <v>19</v>
      </c>
      <c r="F947">
        <v>230</v>
      </c>
      <c r="G947">
        <v>4370</v>
      </c>
      <c r="H947">
        <v>0.06</v>
      </c>
      <c r="I947">
        <v>262.2</v>
      </c>
      <c r="J947" t="s">
        <v>103</v>
      </c>
    </row>
    <row r="948" spans="1:10" x14ac:dyDescent="0.25">
      <c r="A948" t="s">
        <v>1072</v>
      </c>
      <c r="B948" s="18">
        <v>43282</v>
      </c>
      <c r="C948" t="s">
        <v>111</v>
      </c>
      <c r="D948" t="s">
        <v>96</v>
      </c>
      <c r="E948">
        <v>4</v>
      </c>
      <c r="F948">
        <v>150</v>
      </c>
      <c r="G948">
        <v>600</v>
      </c>
      <c r="H948">
        <v>0.1</v>
      </c>
      <c r="I948">
        <v>60</v>
      </c>
      <c r="J948" t="s">
        <v>105</v>
      </c>
    </row>
    <row r="949" spans="1:10" x14ac:dyDescent="0.25">
      <c r="A949" t="s">
        <v>1073</v>
      </c>
      <c r="B949" s="18">
        <v>43283</v>
      </c>
      <c r="C949" t="s">
        <v>95</v>
      </c>
      <c r="D949" t="s">
        <v>109</v>
      </c>
      <c r="E949">
        <v>9</v>
      </c>
      <c r="F949">
        <v>80</v>
      </c>
      <c r="G949">
        <v>720</v>
      </c>
      <c r="H949">
        <v>0.06</v>
      </c>
      <c r="I949">
        <v>43.199999999999996</v>
      </c>
      <c r="J949" t="s">
        <v>107</v>
      </c>
    </row>
    <row r="950" spans="1:10" x14ac:dyDescent="0.25">
      <c r="A950" t="s">
        <v>1074</v>
      </c>
      <c r="B950" s="18">
        <v>43283</v>
      </c>
      <c r="C950" t="s">
        <v>95</v>
      </c>
      <c r="D950" t="s">
        <v>104</v>
      </c>
      <c r="E950">
        <v>16</v>
      </c>
      <c r="F950">
        <v>80</v>
      </c>
      <c r="G950">
        <v>1280</v>
      </c>
      <c r="H950">
        <v>0.02</v>
      </c>
      <c r="I950">
        <v>25.6</v>
      </c>
      <c r="J950" t="s">
        <v>100</v>
      </c>
    </row>
    <row r="951" spans="1:10" x14ac:dyDescent="0.25">
      <c r="A951" t="s">
        <v>1075</v>
      </c>
      <c r="B951" s="18">
        <v>43283</v>
      </c>
      <c r="C951" t="s">
        <v>101</v>
      </c>
      <c r="D951" t="s">
        <v>99</v>
      </c>
      <c r="E951">
        <v>15</v>
      </c>
      <c r="F951">
        <v>230</v>
      </c>
      <c r="G951">
        <v>3450</v>
      </c>
      <c r="H951">
        <v>0.09</v>
      </c>
      <c r="I951">
        <v>310.5</v>
      </c>
      <c r="J951" t="s">
        <v>102</v>
      </c>
    </row>
    <row r="952" spans="1:10" x14ac:dyDescent="0.25">
      <c r="A952" t="s">
        <v>1076</v>
      </c>
      <c r="B952" s="18">
        <v>43283</v>
      </c>
      <c r="C952" t="s">
        <v>108</v>
      </c>
      <c r="D952" t="s">
        <v>109</v>
      </c>
      <c r="E952">
        <v>15</v>
      </c>
      <c r="F952">
        <v>16</v>
      </c>
      <c r="G952">
        <v>240</v>
      </c>
      <c r="H952">
        <v>0.01</v>
      </c>
      <c r="I952">
        <v>2.4</v>
      </c>
      <c r="J952" t="s">
        <v>103</v>
      </c>
    </row>
    <row r="953" spans="1:10" x14ac:dyDescent="0.25">
      <c r="A953" t="s">
        <v>1077</v>
      </c>
      <c r="B953" s="18">
        <v>43283</v>
      </c>
      <c r="C953" t="s">
        <v>101</v>
      </c>
      <c r="D953" t="s">
        <v>96</v>
      </c>
      <c r="E953">
        <v>7</v>
      </c>
      <c r="F953">
        <v>230</v>
      </c>
      <c r="G953">
        <v>1610</v>
      </c>
      <c r="H953">
        <v>0.02</v>
      </c>
      <c r="I953">
        <v>32.200000000000003</v>
      </c>
      <c r="J953" t="s">
        <v>105</v>
      </c>
    </row>
    <row r="954" spans="1:10" x14ac:dyDescent="0.25">
      <c r="A954" t="s">
        <v>1078</v>
      </c>
      <c r="B954" s="18">
        <v>43283</v>
      </c>
      <c r="C954" t="s">
        <v>108</v>
      </c>
      <c r="D954" t="s">
        <v>104</v>
      </c>
      <c r="E954">
        <v>23</v>
      </c>
      <c r="F954">
        <v>16</v>
      </c>
      <c r="G954">
        <v>368</v>
      </c>
      <c r="H954">
        <v>0.11</v>
      </c>
      <c r="I954">
        <v>40.479999999999997</v>
      </c>
      <c r="J954" t="s">
        <v>107</v>
      </c>
    </row>
    <row r="955" spans="1:10" x14ac:dyDescent="0.25">
      <c r="A955" t="s">
        <v>1079</v>
      </c>
      <c r="B955" s="18">
        <v>43283</v>
      </c>
      <c r="C955" t="s">
        <v>98</v>
      </c>
      <c r="D955" t="s">
        <v>109</v>
      </c>
      <c r="E955">
        <v>20</v>
      </c>
      <c r="F955">
        <v>40</v>
      </c>
      <c r="G955">
        <v>800</v>
      </c>
      <c r="H955">
        <v>0.05</v>
      </c>
      <c r="I955">
        <v>40</v>
      </c>
      <c r="J955" t="s">
        <v>110</v>
      </c>
    </row>
    <row r="956" spans="1:10" x14ac:dyDescent="0.25">
      <c r="A956" t="s">
        <v>1080</v>
      </c>
      <c r="B956" s="18">
        <v>43284</v>
      </c>
      <c r="C956" t="s">
        <v>101</v>
      </c>
      <c r="D956" t="s">
        <v>99</v>
      </c>
      <c r="E956">
        <v>9</v>
      </c>
      <c r="F956">
        <v>230</v>
      </c>
      <c r="G956">
        <v>2070</v>
      </c>
      <c r="H956">
        <v>0.03</v>
      </c>
      <c r="I956">
        <v>62.099999999999994</v>
      </c>
      <c r="J956" t="s">
        <v>112</v>
      </c>
    </row>
    <row r="957" spans="1:10" x14ac:dyDescent="0.25">
      <c r="A957" t="s">
        <v>1081</v>
      </c>
      <c r="B957" s="18">
        <v>43284</v>
      </c>
      <c r="C957" t="s">
        <v>98</v>
      </c>
      <c r="D957" t="s">
        <v>106</v>
      </c>
      <c r="E957">
        <v>23</v>
      </c>
      <c r="F957">
        <v>40</v>
      </c>
      <c r="G957">
        <v>920</v>
      </c>
      <c r="H957">
        <v>0.06</v>
      </c>
      <c r="I957">
        <v>55.199999999999996</v>
      </c>
      <c r="J957" t="s">
        <v>113</v>
      </c>
    </row>
    <row r="958" spans="1:10" x14ac:dyDescent="0.25">
      <c r="A958" t="s">
        <v>1082</v>
      </c>
      <c r="B958" s="18">
        <v>43284</v>
      </c>
      <c r="C958" t="s">
        <v>98</v>
      </c>
      <c r="D958" t="s">
        <v>106</v>
      </c>
      <c r="E958">
        <v>4</v>
      </c>
      <c r="F958">
        <v>40</v>
      </c>
      <c r="G958">
        <v>160</v>
      </c>
      <c r="H958">
        <v>0.05</v>
      </c>
      <c r="I958">
        <v>8</v>
      </c>
      <c r="J958" t="s">
        <v>114</v>
      </c>
    </row>
    <row r="959" spans="1:10" x14ac:dyDescent="0.25">
      <c r="A959" t="s">
        <v>1083</v>
      </c>
      <c r="B959" s="18">
        <v>43284</v>
      </c>
      <c r="C959" t="s">
        <v>111</v>
      </c>
      <c r="D959" t="s">
        <v>96</v>
      </c>
      <c r="E959">
        <v>13</v>
      </c>
      <c r="F959">
        <v>150</v>
      </c>
      <c r="G959">
        <v>1950</v>
      </c>
      <c r="H959">
        <v>0.05</v>
      </c>
      <c r="I959">
        <v>97.5</v>
      </c>
      <c r="J959" t="s">
        <v>115</v>
      </c>
    </row>
    <row r="960" spans="1:10" x14ac:dyDescent="0.25">
      <c r="A960" t="s">
        <v>1084</v>
      </c>
      <c r="B960" s="18">
        <v>43284</v>
      </c>
      <c r="C960" t="s">
        <v>101</v>
      </c>
      <c r="D960" t="s">
        <v>99</v>
      </c>
      <c r="E960">
        <v>7</v>
      </c>
      <c r="F960">
        <v>230</v>
      </c>
      <c r="G960">
        <v>1610</v>
      </c>
      <c r="H960">
        <v>0.01</v>
      </c>
      <c r="I960">
        <v>16.100000000000001</v>
      </c>
      <c r="J960" t="s">
        <v>116</v>
      </c>
    </row>
    <row r="961" spans="1:10" x14ac:dyDescent="0.25">
      <c r="A961" t="s">
        <v>1085</v>
      </c>
      <c r="B961" s="18">
        <v>43284</v>
      </c>
      <c r="C961" t="s">
        <v>101</v>
      </c>
      <c r="D961" t="s">
        <v>99</v>
      </c>
      <c r="E961">
        <v>7</v>
      </c>
      <c r="F961">
        <v>230</v>
      </c>
      <c r="G961">
        <v>1610</v>
      </c>
      <c r="H961">
        <v>0.08</v>
      </c>
      <c r="I961">
        <v>128.80000000000001</v>
      </c>
      <c r="J961" t="s">
        <v>97</v>
      </c>
    </row>
    <row r="962" spans="1:10" x14ac:dyDescent="0.25">
      <c r="A962" t="s">
        <v>1086</v>
      </c>
      <c r="B962" s="18">
        <v>43284</v>
      </c>
      <c r="C962" t="s">
        <v>101</v>
      </c>
      <c r="D962" t="s">
        <v>104</v>
      </c>
      <c r="E962">
        <v>15</v>
      </c>
      <c r="F962">
        <v>230</v>
      </c>
      <c r="G962">
        <v>3450</v>
      </c>
      <c r="H962">
        <v>0.04</v>
      </c>
      <c r="I962">
        <v>138</v>
      </c>
      <c r="J962" t="s">
        <v>100</v>
      </c>
    </row>
    <row r="963" spans="1:10" x14ac:dyDescent="0.25">
      <c r="A963" t="s">
        <v>1087</v>
      </c>
      <c r="B963" s="18">
        <v>43284</v>
      </c>
      <c r="C963" t="s">
        <v>98</v>
      </c>
      <c r="D963" t="s">
        <v>106</v>
      </c>
      <c r="E963">
        <v>15</v>
      </c>
      <c r="F963">
        <v>40</v>
      </c>
      <c r="G963">
        <v>600</v>
      </c>
      <c r="H963">
        <v>0.03</v>
      </c>
      <c r="I963">
        <v>18</v>
      </c>
      <c r="J963" t="s">
        <v>102</v>
      </c>
    </row>
    <row r="964" spans="1:10" x14ac:dyDescent="0.25">
      <c r="A964" t="s">
        <v>1088</v>
      </c>
      <c r="B964" s="18">
        <v>43284</v>
      </c>
      <c r="C964" t="s">
        <v>98</v>
      </c>
      <c r="D964" t="s">
        <v>104</v>
      </c>
      <c r="E964">
        <v>2</v>
      </c>
      <c r="F964">
        <v>40</v>
      </c>
      <c r="G964">
        <v>80</v>
      </c>
      <c r="H964">
        <v>0.03</v>
      </c>
      <c r="I964">
        <v>2.4</v>
      </c>
      <c r="J964" t="s">
        <v>103</v>
      </c>
    </row>
    <row r="965" spans="1:10" x14ac:dyDescent="0.25">
      <c r="A965" t="s">
        <v>1089</v>
      </c>
      <c r="B965" s="18">
        <v>43284</v>
      </c>
      <c r="C965" t="s">
        <v>111</v>
      </c>
      <c r="D965" t="s">
        <v>104</v>
      </c>
      <c r="E965">
        <v>2</v>
      </c>
      <c r="F965">
        <v>150</v>
      </c>
      <c r="G965">
        <v>300</v>
      </c>
      <c r="H965">
        <v>0.02</v>
      </c>
      <c r="I965">
        <v>6</v>
      </c>
      <c r="J965" t="s">
        <v>105</v>
      </c>
    </row>
    <row r="966" spans="1:10" x14ac:dyDescent="0.25">
      <c r="A966" t="s">
        <v>1090</v>
      </c>
      <c r="B966" s="18">
        <v>43285</v>
      </c>
      <c r="C966" t="s">
        <v>101</v>
      </c>
      <c r="D966" t="s">
        <v>96</v>
      </c>
      <c r="E966">
        <v>3</v>
      </c>
      <c r="F966">
        <v>230</v>
      </c>
      <c r="G966">
        <v>690</v>
      </c>
      <c r="H966">
        <v>0.11</v>
      </c>
      <c r="I966">
        <v>75.900000000000006</v>
      </c>
      <c r="J966" t="s">
        <v>107</v>
      </c>
    </row>
    <row r="967" spans="1:10" x14ac:dyDescent="0.25">
      <c r="A967" t="s">
        <v>1091</v>
      </c>
      <c r="B967" s="18">
        <v>43285</v>
      </c>
      <c r="C967" t="s">
        <v>98</v>
      </c>
      <c r="D967" t="s">
        <v>104</v>
      </c>
      <c r="E967">
        <v>4</v>
      </c>
      <c r="F967">
        <v>40</v>
      </c>
      <c r="G967">
        <v>160</v>
      </c>
      <c r="H967">
        <v>0.06</v>
      </c>
      <c r="I967">
        <v>9.6</v>
      </c>
      <c r="J967" t="s">
        <v>100</v>
      </c>
    </row>
    <row r="968" spans="1:10" x14ac:dyDescent="0.25">
      <c r="A968" t="s">
        <v>1092</v>
      </c>
      <c r="B968" s="18">
        <v>43285</v>
      </c>
      <c r="C968" t="s">
        <v>98</v>
      </c>
      <c r="D968" t="s">
        <v>106</v>
      </c>
      <c r="E968">
        <v>13</v>
      </c>
      <c r="F968">
        <v>40</v>
      </c>
      <c r="G968">
        <v>520</v>
      </c>
      <c r="H968">
        <v>0.06</v>
      </c>
      <c r="I968">
        <v>31.2</v>
      </c>
      <c r="J968" t="s">
        <v>102</v>
      </c>
    </row>
    <row r="969" spans="1:10" x14ac:dyDescent="0.25">
      <c r="A969" t="s">
        <v>1093</v>
      </c>
      <c r="B969" s="18">
        <v>43285</v>
      </c>
      <c r="C969" t="s">
        <v>108</v>
      </c>
      <c r="D969" t="s">
        <v>106</v>
      </c>
      <c r="E969">
        <v>15</v>
      </c>
      <c r="F969">
        <v>16</v>
      </c>
      <c r="G969">
        <v>240</v>
      </c>
      <c r="H969">
        <v>0.12</v>
      </c>
      <c r="I969">
        <v>28.799999999999997</v>
      </c>
      <c r="J969" t="s">
        <v>103</v>
      </c>
    </row>
    <row r="970" spans="1:10" x14ac:dyDescent="0.25">
      <c r="A970" t="s">
        <v>1094</v>
      </c>
      <c r="B970" s="18">
        <v>43285</v>
      </c>
      <c r="C970" t="s">
        <v>95</v>
      </c>
      <c r="D970" t="s">
        <v>96</v>
      </c>
      <c r="E970">
        <v>14</v>
      </c>
      <c r="F970">
        <v>80</v>
      </c>
      <c r="G970">
        <v>1120</v>
      </c>
      <c r="H970">
        <v>0.08</v>
      </c>
      <c r="I970">
        <v>89.600000000000009</v>
      </c>
      <c r="J970" t="s">
        <v>105</v>
      </c>
    </row>
    <row r="971" spans="1:10" x14ac:dyDescent="0.25">
      <c r="A971" t="s">
        <v>1095</v>
      </c>
      <c r="B971" s="18">
        <v>43285</v>
      </c>
      <c r="C971" t="s">
        <v>108</v>
      </c>
      <c r="D971" t="s">
        <v>96</v>
      </c>
      <c r="E971">
        <v>7</v>
      </c>
      <c r="F971">
        <v>16</v>
      </c>
      <c r="G971">
        <v>112</v>
      </c>
      <c r="H971">
        <v>0.08</v>
      </c>
      <c r="I971">
        <v>8.9600000000000009</v>
      </c>
      <c r="J971" t="s">
        <v>107</v>
      </c>
    </row>
    <row r="972" spans="1:10" x14ac:dyDescent="0.25">
      <c r="A972" t="s">
        <v>1096</v>
      </c>
      <c r="B972" s="18">
        <v>43285</v>
      </c>
      <c r="C972" t="s">
        <v>111</v>
      </c>
      <c r="D972" t="s">
        <v>99</v>
      </c>
      <c r="E972">
        <v>13</v>
      </c>
      <c r="F972">
        <v>150</v>
      </c>
      <c r="G972">
        <v>1950</v>
      </c>
      <c r="H972">
        <v>0.02</v>
      </c>
      <c r="I972">
        <v>39</v>
      </c>
      <c r="J972" t="s">
        <v>110</v>
      </c>
    </row>
    <row r="973" spans="1:10" x14ac:dyDescent="0.25">
      <c r="A973" t="s">
        <v>1097</v>
      </c>
      <c r="B973" s="18">
        <v>43285</v>
      </c>
      <c r="C973" t="s">
        <v>111</v>
      </c>
      <c r="D973" t="s">
        <v>104</v>
      </c>
      <c r="E973">
        <v>9</v>
      </c>
      <c r="F973">
        <v>150</v>
      </c>
      <c r="G973">
        <v>1350</v>
      </c>
      <c r="H973">
        <v>0.02</v>
      </c>
      <c r="I973">
        <v>27</v>
      </c>
      <c r="J973" t="s">
        <v>112</v>
      </c>
    </row>
    <row r="974" spans="1:10" x14ac:dyDescent="0.25">
      <c r="A974" t="s">
        <v>1098</v>
      </c>
      <c r="B974" s="18">
        <v>43285</v>
      </c>
      <c r="C974" t="s">
        <v>98</v>
      </c>
      <c r="D974" t="s">
        <v>96</v>
      </c>
      <c r="E974">
        <v>9</v>
      </c>
      <c r="F974">
        <v>40</v>
      </c>
      <c r="G974">
        <v>360</v>
      </c>
      <c r="H974">
        <v>0.01</v>
      </c>
      <c r="I974">
        <v>3.6</v>
      </c>
      <c r="J974" t="s">
        <v>113</v>
      </c>
    </row>
    <row r="975" spans="1:10" x14ac:dyDescent="0.25">
      <c r="A975" t="s">
        <v>1099</v>
      </c>
      <c r="B975" s="18">
        <v>43286</v>
      </c>
      <c r="C975" t="s">
        <v>95</v>
      </c>
      <c r="D975" t="s">
        <v>109</v>
      </c>
      <c r="E975">
        <v>9</v>
      </c>
      <c r="F975">
        <v>80</v>
      </c>
      <c r="G975">
        <v>720</v>
      </c>
      <c r="H975">
        <v>7.0000000000000007E-2</v>
      </c>
      <c r="I975">
        <v>50.400000000000006</v>
      </c>
      <c r="J975" t="s">
        <v>114</v>
      </c>
    </row>
    <row r="976" spans="1:10" x14ac:dyDescent="0.25">
      <c r="A976" t="s">
        <v>1100</v>
      </c>
      <c r="B976" s="18">
        <v>43286</v>
      </c>
      <c r="C976" t="s">
        <v>101</v>
      </c>
      <c r="D976" t="s">
        <v>99</v>
      </c>
      <c r="E976">
        <v>22</v>
      </c>
      <c r="F976">
        <v>230</v>
      </c>
      <c r="G976">
        <v>5060</v>
      </c>
      <c r="H976">
        <v>0.11</v>
      </c>
      <c r="I976">
        <v>556.6</v>
      </c>
      <c r="J976" t="s">
        <v>115</v>
      </c>
    </row>
    <row r="977" spans="1:10" x14ac:dyDescent="0.25">
      <c r="A977" t="s">
        <v>1101</v>
      </c>
      <c r="B977" s="18">
        <v>43286</v>
      </c>
      <c r="C977" t="s">
        <v>111</v>
      </c>
      <c r="D977" t="s">
        <v>99</v>
      </c>
      <c r="E977">
        <v>15</v>
      </c>
      <c r="F977">
        <v>150</v>
      </c>
      <c r="G977">
        <v>2250</v>
      </c>
      <c r="H977">
        <v>0.02</v>
      </c>
      <c r="I977">
        <v>45</v>
      </c>
      <c r="J977" t="s">
        <v>116</v>
      </c>
    </row>
    <row r="978" spans="1:10" x14ac:dyDescent="0.25">
      <c r="A978" t="s">
        <v>1102</v>
      </c>
      <c r="B978" s="18">
        <v>43286</v>
      </c>
      <c r="C978" t="s">
        <v>101</v>
      </c>
      <c r="D978" t="s">
        <v>109</v>
      </c>
      <c r="E978">
        <v>5</v>
      </c>
      <c r="F978">
        <v>230</v>
      </c>
      <c r="G978">
        <v>1150</v>
      </c>
      <c r="H978">
        <v>0.12</v>
      </c>
      <c r="I978">
        <v>138</v>
      </c>
      <c r="J978" t="s">
        <v>97</v>
      </c>
    </row>
    <row r="979" spans="1:10" x14ac:dyDescent="0.25">
      <c r="A979" t="s">
        <v>1103</v>
      </c>
      <c r="B979" s="18">
        <v>43286</v>
      </c>
      <c r="C979" t="s">
        <v>98</v>
      </c>
      <c r="D979" t="s">
        <v>104</v>
      </c>
      <c r="E979">
        <v>20</v>
      </c>
      <c r="F979">
        <v>40</v>
      </c>
      <c r="G979">
        <v>800</v>
      </c>
      <c r="H979">
        <v>0.01</v>
      </c>
      <c r="I979">
        <v>8</v>
      </c>
      <c r="J979" t="s">
        <v>100</v>
      </c>
    </row>
    <row r="980" spans="1:10" x14ac:dyDescent="0.25">
      <c r="A980" t="s">
        <v>1104</v>
      </c>
      <c r="B980" s="18">
        <v>43286</v>
      </c>
      <c r="C980" t="s">
        <v>98</v>
      </c>
      <c r="D980" t="s">
        <v>96</v>
      </c>
      <c r="E980">
        <v>23</v>
      </c>
      <c r="F980">
        <v>40</v>
      </c>
      <c r="G980">
        <v>920</v>
      </c>
      <c r="H980">
        <v>0.03</v>
      </c>
      <c r="I980">
        <v>27.599999999999998</v>
      </c>
      <c r="J980" t="s">
        <v>102</v>
      </c>
    </row>
    <row r="981" spans="1:10" x14ac:dyDescent="0.25">
      <c r="A981" t="s">
        <v>1105</v>
      </c>
      <c r="B981" s="18">
        <v>43286</v>
      </c>
      <c r="C981" t="s">
        <v>95</v>
      </c>
      <c r="D981" t="s">
        <v>109</v>
      </c>
      <c r="E981">
        <v>16</v>
      </c>
      <c r="F981">
        <v>80</v>
      </c>
      <c r="G981">
        <v>1280</v>
      </c>
      <c r="H981">
        <v>0.05</v>
      </c>
      <c r="I981">
        <v>64</v>
      </c>
      <c r="J981" t="s">
        <v>103</v>
      </c>
    </row>
    <row r="982" spans="1:10" x14ac:dyDescent="0.25">
      <c r="A982" t="s">
        <v>1106</v>
      </c>
      <c r="B982" s="18">
        <v>43286</v>
      </c>
      <c r="C982" t="s">
        <v>101</v>
      </c>
      <c r="D982" t="s">
        <v>104</v>
      </c>
      <c r="E982">
        <v>18</v>
      </c>
      <c r="F982">
        <v>230</v>
      </c>
      <c r="G982">
        <v>4140</v>
      </c>
      <c r="H982">
        <v>0.01</v>
      </c>
      <c r="I982">
        <v>41.4</v>
      </c>
      <c r="J982" t="s">
        <v>105</v>
      </c>
    </row>
    <row r="983" spans="1:10" x14ac:dyDescent="0.25">
      <c r="A983" t="s">
        <v>1107</v>
      </c>
      <c r="B983" s="18">
        <v>43286</v>
      </c>
      <c r="C983" t="s">
        <v>98</v>
      </c>
      <c r="D983" t="s">
        <v>109</v>
      </c>
      <c r="E983">
        <v>23</v>
      </c>
      <c r="F983">
        <v>40</v>
      </c>
      <c r="G983">
        <v>920</v>
      </c>
      <c r="H983">
        <v>0.05</v>
      </c>
      <c r="I983">
        <v>46</v>
      </c>
      <c r="J983" t="s">
        <v>107</v>
      </c>
    </row>
    <row r="984" spans="1:10" x14ac:dyDescent="0.25">
      <c r="A984" t="s">
        <v>1108</v>
      </c>
      <c r="B984" s="18">
        <v>43286</v>
      </c>
      <c r="C984" t="s">
        <v>108</v>
      </c>
      <c r="D984" t="s">
        <v>106</v>
      </c>
      <c r="E984">
        <v>5</v>
      </c>
      <c r="F984">
        <v>16</v>
      </c>
      <c r="G984">
        <v>80</v>
      </c>
      <c r="H984">
        <v>0.09</v>
      </c>
      <c r="I984">
        <v>7.1999999999999993</v>
      </c>
      <c r="J984" t="s">
        <v>100</v>
      </c>
    </row>
    <row r="985" spans="1:10" x14ac:dyDescent="0.25">
      <c r="A985" t="s">
        <v>1109</v>
      </c>
      <c r="B985" s="18">
        <v>43286</v>
      </c>
      <c r="C985" t="s">
        <v>98</v>
      </c>
      <c r="D985" t="s">
        <v>96</v>
      </c>
      <c r="E985">
        <v>22</v>
      </c>
      <c r="F985">
        <v>40</v>
      </c>
      <c r="G985">
        <v>880</v>
      </c>
      <c r="H985">
        <v>0.02</v>
      </c>
      <c r="I985">
        <v>17.600000000000001</v>
      </c>
      <c r="J985" t="s">
        <v>102</v>
      </c>
    </row>
    <row r="986" spans="1:10" x14ac:dyDescent="0.25">
      <c r="A986" t="s">
        <v>1110</v>
      </c>
      <c r="B986" s="18">
        <v>43287</v>
      </c>
      <c r="C986" t="s">
        <v>111</v>
      </c>
      <c r="D986" t="s">
        <v>96</v>
      </c>
      <c r="E986">
        <v>23</v>
      </c>
      <c r="F986">
        <v>150</v>
      </c>
      <c r="G986">
        <v>3450</v>
      </c>
      <c r="H986">
        <v>0.1</v>
      </c>
      <c r="I986">
        <v>345</v>
      </c>
      <c r="J986" t="s">
        <v>103</v>
      </c>
    </row>
    <row r="987" spans="1:10" x14ac:dyDescent="0.25">
      <c r="A987" t="s">
        <v>1111</v>
      </c>
      <c r="B987" s="18">
        <v>43287</v>
      </c>
      <c r="C987" t="s">
        <v>101</v>
      </c>
      <c r="D987" t="s">
        <v>99</v>
      </c>
      <c r="E987">
        <v>22</v>
      </c>
      <c r="F987">
        <v>230</v>
      </c>
      <c r="G987">
        <v>5060</v>
      </c>
      <c r="H987">
        <v>0.04</v>
      </c>
      <c r="I987">
        <v>202.4</v>
      </c>
      <c r="J987" t="s">
        <v>105</v>
      </c>
    </row>
    <row r="988" spans="1:10" x14ac:dyDescent="0.25">
      <c r="A988" t="s">
        <v>1112</v>
      </c>
      <c r="B988" s="18">
        <v>43287</v>
      </c>
      <c r="C988" t="s">
        <v>95</v>
      </c>
      <c r="D988" t="s">
        <v>106</v>
      </c>
      <c r="E988">
        <v>16</v>
      </c>
      <c r="F988">
        <v>80</v>
      </c>
      <c r="G988">
        <v>1280</v>
      </c>
      <c r="H988">
        <v>7.0000000000000007E-2</v>
      </c>
      <c r="I988">
        <v>89.600000000000009</v>
      </c>
      <c r="J988" t="s">
        <v>107</v>
      </c>
    </row>
    <row r="989" spans="1:10" x14ac:dyDescent="0.25">
      <c r="A989" t="s">
        <v>1113</v>
      </c>
      <c r="B989" s="18">
        <v>43287</v>
      </c>
      <c r="C989" t="s">
        <v>111</v>
      </c>
      <c r="D989" t="s">
        <v>104</v>
      </c>
      <c r="E989">
        <v>22</v>
      </c>
      <c r="F989">
        <v>150</v>
      </c>
      <c r="G989">
        <v>3300</v>
      </c>
      <c r="H989">
        <v>0.09</v>
      </c>
      <c r="I989">
        <v>297</v>
      </c>
      <c r="J989" t="s">
        <v>110</v>
      </c>
    </row>
    <row r="990" spans="1:10" x14ac:dyDescent="0.25">
      <c r="A990" t="s">
        <v>1114</v>
      </c>
      <c r="B990" s="18">
        <v>43287</v>
      </c>
      <c r="C990" t="s">
        <v>95</v>
      </c>
      <c r="D990" t="s">
        <v>104</v>
      </c>
      <c r="E990">
        <v>5</v>
      </c>
      <c r="F990">
        <v>80</v>
      </c>
      <c r="G990">
        <v>400</v>
      </c>
      <c r="H990">
        <v>0.09</v>
      </c>
      <c r="I990">
        <v>36</v>
      </c>
      <c r="J990" t="s">
        <v>112</v>
      </c>
    </row>
    <row r="991" spans="1:10" x14ac:dyDescent="0.25">
      <c r="A991" t="s">
        <v>1115</v>
      </c>
      <c r="B991" s="18">
        <v>43287</v>
      </c>
      <c r="C991" t="s">
        <v>95</v>
      </c>
      <c r="D991" t="s">
        <v>106</v>
      </c>
      <c r="E991">
        <v>16</v>
      </c>
      <c r="F991">
        <v>80</v>
      </c>
      <c r="G991">
        <v>1280</v>
      </c>
      <c r="H991">
        <v>0.1</v>
      </c>
      <c r="I991">
        <v>128</v>
      </c>
      <c r="J991" t="s">
        <v>113</v>
      </c>
    </row>
    <row r="992" spans="1:10" x14ac:dyDescent="0.25">
      <c r="A992" t="s">
        <v>1116</v>
      </c>
      <c r="B992" s="18">
        <v>43287</v>
      </c>
      <c r="C992" t="s">
        <v>111</v>
      </c>
      <c r="D992" t="s">
        <v>99</v>
      </c>
      <c r="E992">
        <v>23</v>
      </c>
      <c r="F992">
        <v>150</v>
      </c>
      <c r="G992">
        <v>3450</v>
      </c>
      <c r="H992">
        <v>0.11</v>
      </c>
      <c r="I992">
        <v>379.5</v>
      </c>
      <c r="J992" t="s">
        <v>114</v>
      </c>
    </row>
    <row r="993" spans="1:10" x14ac:dyDescent="0.25">
      <c r="A993" t="s">
        <v>1117</v>
      </c>
      <c r="B993" s="18">
        <v>43287</v>
      </c>
      <c r="C993" t="s">
        <v>108</v>
      </c>
      <c r="D993" t="s">
        <v>99</v>
      </c>
      <c r="E993">
        <v>4</v>
      </c>
      <c r="F993">
        <v>16</v>
      </c>
      <c r="G993">
        <v>64</v>
      </c>
      <c r="H993">
        <v>0.09</v>
      </c>
      <c r="I993">
        <v>5.76</v>
      </c>
      <c r="J993" t="s">
        <v>115</v>
      </c>
    </row>
    <row r="994" spans="1:10" x14ac:dyDescent="0.25">
      <c r="A994" t="s">
        <v>1118</v>
      </c>
      <c r="B994" s="18">
        <v>43287</v>
      </c>
      <c r="C994" t="s">
        <v>108</v>
      </c>
      <c r="D994" t="s">
        <v>99</v>
      </c>
      <c r="E994">
        <v>4</v>
      </c>
      <c r="F994">
        <v>16</v>
      </c>
      <c r="G994">
        <v>64</v>
      </c>
      <c r="H994">
        <v>7.0000000000000007E-2</v>
      </c>
      <c r="I994">
        <v>4.4800000000000004</v>
      </c>
      <c r="J994" t="s">
        <v>116</v>
      </c>
    </row>
    <row r="995" spans="1:10" x14ac:dyDescent="0.25">
      <c r="A995" t="s">
        <v>1119</v>
      </c>
      <c r="B995" s="18">
        <v>43287</v>
      </c>
      <c r="C995" t="s">
        <v>108</v>
      </c>
      <c r="D995" t="s">
        <v>96</v>
      </c>
      <c r="E995">
        <v>16</v>
      </c>
      <c r="F995">
        <v>16</v>
      </c>
      <c r="G995">
        <v>256</v>
      </c>
      <c r="H995">
        <v>0.03</v>
      </c>
      <c r="I995">
        <v>7.68</v>
      </c>
      <c r="J995" t="s">
        <v>97</v>
      </c>
    </row>
    <row r="996" spans="1:10" x14ac:dyDescent="0.25">
      <c r="A996" t="s">
        <v>1120</v>
      </c>
      <c r="B996" s="18">
        <v>43287</v>
      </c>
      <c r="C996" t="s">
        <v>98</v>
      </c>
      <c r="D996" t="s">
        <v>106</v>
      </c>
      <c r="E996">
        <v>18</v>
      </c>
      <c r="F996">
        <v>40</v>
      </c>
      <c r="G996">
        <v>720</v>
      </c>
      <c r="H996">
        <v>0.04</v>
      </c>
      <c r="I996">
        <v>28.8</v>
      </c>
      <c r="J996" t="s">
        <v>100</v>
      </c>
    </row>
    <row r="997" spans="1:10" x14ac:dyDescent="0.25">
      <c r="A997" t="s">
        <v>1121</v>
      </c>
      <c r="B997" s="18">
        <v>43287</v>
      </c>
      <c r="C997" t="s">
        <v>95</v>
      </c>
      <c r="D997" t="s">
        <v>106</v>
      </c>
      <c r="E997">
        <v>21</v>
      </c>
      <c r="F997">
        <v>80</v>
      </c>
      <c r="G997">
        <v>1680</v>
      </c>
      <c r="H997">
        <v>0.02</v>
      </c>
      <c r="I997">
        <v>33.6</v>
      </c>
      <c r="J997" t="s">
        <v>102</v>
      </c>
    </row>
    <row r="998" spans="1:10" x14ac:dyDescent="0.25">
      <c r="A998" t="s">
        <v>1122</v>
      </c>
      <c r="B998" s="18">
        <v>43287</v>
      </c>
      <c r="C998" t="s">
        <v>95</v>
      </c>
      <c r="D998" t="s">
        <v>109</v>
      </c>
      <c r="E998">
        <v>10</v>
      </c>
      <c r="F998">
        <v>80</v>
      </c>
      <c r="G998">
        <v>800</v>
      </c>
      <c r="H998">
        <v>0.06</v>
      </c>
      <c r="I998">
        <v>48</v>
      </c>
      <c r="J998" t="s">
        <v>103</v>
      </c>
    </row>
    <row r="999" spans="1:10" x14ac:dyDescent="0.25">
      <c r="A999" t="s">
        <v>1123</v>
      </c>
      <c r="B999" s="18">
        <v>43287</v>
      </c>
      <c r="C999" t="s">
        <v>101</v>
      </c>
      <c r="D999" t="s">
        <v>104</v>
      </c>
      <c r="E999">
        <v>7</v>
      </c>
      <c r="F999">
        <v>230</v>
      </c>
      <c r="G999">
        <v>1610</v>
      </c>
      <c r="H999">
        <v>0.01</v>
      </c>
      <c r="I999">
        <v>16.100000000000001</v>
      </c>
      <c r="J999" t="s">
        <v>105</v>
      </c>
    </row>
    <row r="1000" spans="1:10" x14ac:dyDescent="0.25">
      <c r="A1000" t="s">
        <v>1124</v>
      </c>
      <c r="B1000" s="18">
        <v>43288</v>
      </c>
      <c r="C1000" t="s">
        <v>108</v>
      </c>
      <c r="D1000" t="s">
        <v>109</v>
      </c>
      <c r="E1000">
        <v>11</v>
      </c>
      <c r="F1000">
        <v>16</v>
      </c>
      <c r="G1000">
        <v>176</v>
      </c>
      <c r="H1000">
        <v>0.12</v>
      </c>
      <c r="I1000">
        <v>21.119999999999997</v>
      </c>
      <c r="J1000" t="s">
        <v>107</v>
      </c>
    </row>
    <row r="1001" spans="1:10" x14ac:dyDescent="0.25">
      <c r="A1001" t="s">
        <v>1125</v>
      </c>
      <c r="B1001" s="18">
        <v>43288</v>
      </c>
      <c r="C1001" t="s">
        <v>95</v>
      </c>
      <c r="D1001" t="s">
        <v>106</v>
      </c>
      <c r="E1001">
        <v>10</v>
      </c>
      <c r="F1001">
        <v>80</v>
      </c>
      <c r="G1001">
        <v>800</v>
      </c>
      <c r="H1001">
        <v>0.1</v>
      </c>
      <c r="I1001">
        <v>80</v>
      </c>
      <c r="J1001" t="s">
        <v>100</v>
      </c>
    </row>
    <row r="1002" spans="1:10" x14ac:dyDescent="0.25">
      <c r="A1002" t="s">
        <v>1126</v>
      </c>
      <c r="B1002" s="18">
        <v>43288</v>
      </c>
      <c r="C1002" t="s">
        <v>98</v>
      </c>
      <c r="D1002" t="s">
        <v>99</v>
      </c>
      <c r="E1002">
        <v>23</v>
      </c>
      <c r="F1002">
        <v>40</v>
      </c>
      <c r="G1002">
        <v>920</v>
      </c>
      <c r="H1002">
        <v>0.06</v>
      </c>
      <c r="I1002">
        <v>55.199999999999996</v>
      </c>
      <c r="J1002" t="s">
        <v>102</v>
      </c>
    </row>
    <row r="1003" spans="1:10" x14ac:dyDescent="0.25">
      <c r="A1003" t="s">
        <v>1127</v>
      </c>
      <c r="B1003" s="18">
        <v>43288</v>
      </c>
      <c r="C1003" t="s">
        <v>111</v>
      </c>
      <c r="D1003" t="s">
        <v>109</v>
      </c>
      <c r="E1003">
        <v>7</v>
      </c>
      <c r="F1003">
        <v>150</v>
      </c>
      <c r="G1003">
        <v>1050</v>
      </c>
      <c r="H1003">
        <v>0.02</v>
      </c>
      <c r="I1003">
        <v>21</v>
      </c>
      <c r="J1003" t="s">
        <v>103</v>
      </c>
    </row>
    <row r="1004" spans="1:10" x14ac:dyDescent="0.25">
      <c r="A1004" t="s">
        <v>1128</v>
      </c>
      <c r="B1004" s="18">
        <v>43288</v>
      </c>
      <c r="C1004" t="s">
        <v>95</v>
      </c>
      <c r="D1004" t="s">
        <v>96</v>
      </c>
      <c r="E1004">
        <v>17</v>
      </c>
      <c r="F1004">
        <v>80</v>
      </c>
      <c r="G1004">
        <v>1360</v>
      </c>
      <c r="H1004">
        <v>7.0000000000000007E-2</v>
      </c>
      <c r="I1004">
        <v>95.2</v>
      </c>
      <c r="J1004" t="s">
        <v>105</v>
      </c>
    </row>
    <row r="1005" spans="1:10" x14ac:dyDescent="0.25">
      <c r="A1005" t="s">
        <v>1129</v>
      </c>
      <c r="B1005" s="18">
        <v>43288</v>
      </c>
      <c r="C1005" t="s">
        <v>111</v>
      </c>
      <c r="D1005" t="s">
        <v>99</v>
      </c>
      <c r="E1005">
        <v>20</v>
      </c>
      <c r="F1005">
        <v>150</v>
      </c>
      <c r="G1005">
        <v>3000</v>
      </c>
      <c r="H1005">
        <v>0.09</v>
      </c>
      <c r="I1005">
        <v>270</v>
      </c>
      <c r="J1005" t="s">
        <v>107</v>
      </c>
    </row>
    <row r="1006" spans="1:10" x14ac:dyDescent="0.25">
      <c r="A1006" t="s">
        <v>1130</v>
      </c>
      <c r="B1006" s="18">
        <v>43288</v>
      </c>
      <c r="C1006" t="s">
        <v>101</v>
      </c>
      <c r="D1006" t="s">
        <v>106</v>
      </c>
      <c r="E1006">
        <v>23</v>
      </c>
      <c r="F1006">
        <v>230</v>
      </c>
      <c r="G1006">
        <v>5290</v>
      </c>
      <c r="H1006">
        <v>0.06</v>
      </c>
      <c r="I1006">
        <v>317.39999999999998</v>
      </c>
      <c r="J1006" t="s">
        <v>110</v>
      </c>
    </row>
    <row r="1007" spans="1:10" x14ac:dyDescent="0.25">
      <c r="A1007" t="s">
        <v>1131</v>
      </c>
      <c r="B1007" s="18">
        <v>43288</v>
      </c>
      <c r="C1007" t="s">
        <v>95</v>
      </c>
      <c r="D1007" t="s">
        <v>99</v>
      </c>
      <c r="E1007">
        <v>16</v>
      </c>
      <c r="F1007">
        <v>80</v>
      </c>
      <c r="G1007">
        <v>1280</v>
      </c>
      <c r="H1007">
        <v>0.04</v>
      </c>
      <c r="I1007">
        <v>51.2</v>
      </c>
      <c r="J1007" t="s">
        <v>112</v>
      </c>
    </row>
    <row r="1008" spans="1:10" x14ac:dyDescent="0.25">
      <c r="A1008" t="s">
        <v>1132</v>
      </c>
      <c r="B1008" s="18">
        <v>43288</v>
      </c>
      <c r="C1008" t="s">
        <v>101</v>
      </c>
      <c r="D1008" t="s">
        <v>109</v>
      </c>
      <c r="E1008">
        <v>22</v>
      </c>
      <c r="F1008">
        <v>230</v>
      </c>
      <c r="G1008">
        <v>5060</v>
      </c>
      <c r="H1008">
        <v>0.1</v>
      </c>
      <c r="I1008">
        <v>506</v>
      </c>
      <c r="J1008" t="s">
        <v>113</v>
      </c>
    </row>
    <row r="1009" spans="1:10" x14ac:dyDescent="0.25">
      <c r="A1009" t="s">
        <v>1133</v>
      </c>
      <c r="B1009" s="18">
        <v>43288</v>
      </c>
      <c r="C1009" t="s">
        <v>101</v>
      </c>
      <c r="D1009" t="s">
        <v>104</v>
      </c>
      <c r="E1009">
        <v>15</v>
      </c>
      <c r="F1009">
        <v>230</v>
      </c>
      <c r="G1009">
        <v>3450</v>
      </c>
      <c r="H1009">
        <v>0.11</v>
      </c>
      <c r="I1009">
        <v>379.5</v>
      </c>
      <c r="J1009" t="s">
        <v>114</v>
      </c>
    </row>
    <row r="1010" spans="1:10" x14ac:dyDescent="0.25">
      <c r="A1010" t="s">
        <v>1134</v>
      </c>
      <c r="B1010" s="18">
        <v>43288</v>
      </c>
      <c r="C1010" t="s">
        <v>98</v>
      </c>
      <c r="D1010" t="s">
        <v>99</v>
      </c>
      <c r="E1010">
        <v>15</v>
      </c>
      <c r="F1010">
        <v>40</v>
      </c>
      <c r="G1010">
        <v>600</v>
      </c>
      <c r="H1010">
        <v>0.04</v>
      </c>
      <c r="I1010">
        <v>24</v>
      </c>
      <c r="J1010" t="s">
        <v>115</v>
      </c>
    </row>
    <row r="1011" spans="1:10" x14ac:dyDescent="0.25">
      <c r="A1011" t="s">
        <v>1135</v>
      </c>
      <c r="B1011" s="18">
        <v>43288</v>
      </c>
      <c r="C1011" t="s">
        <v>95</v>
      </c>
      <c r="D1011" t="s">
        <v>99</v>
      </c>
      <c r="E1011">
        <v>2</v>
      </c>
      <c r="F1011">
        <v>80</v>
      </c>
      <c r="G1011">
        <v>160</v>
      </c>
      <c r="H1011">
        <v>7.0000000000000007E-2</v>
      </c>
      <c r="I1011">
        <v>11.200000000000001</v>
      </c>
      <c r="J1011" t="s">
        <v>116</v>
      </c>
    </row>
    <row r="1012" spans="1:10" x14ac:dyDescent="0.25">
      <c r="A1012" t="s">
        <v>1136</v>
      </c>
      <c r="B1012" s="18">
        <v>43289</v>
      </c>
      <c r="C1012" t="s">
        <v>111</v>
      </c>
      <c r="D1012" t="s">
        <v>96</v>
      </c>
      <c r="E1012">
        <v>22</v>
      </c>
      <c r="F1012">
        <v>150</v>
      </c>
      <c r="G1012">
        <v>3300</v>
      </c>
      <c r="H1012">
        <v>0.05</v>
      </c>
      <c r="I1012">
        <v>165</v>
      </c>
      <c r="J1012" t="s">
        <v>97</v>
      </c>
    </row>
    <row r="1013" spans="1:10" x14ac:dyDescent="0.25">
      <c r="A1013" t="s">
        <v>1137</v>
      </c>
      <c r="B1013" s="18">
        <v>43289</v>
      </c>
      <c r="C1013" t="s">
        <v>98</v>
      </c>
      <c r="D1013" t="s">
        <v>109</v>
      </c>
      <c r="E1013">
        <v>20</v>
      </c>
      <c r="F1013">
        <v>40</v>
      </c>
      <c r="G1013">
        <v>800</v>
      </c>
      <c r="H1013">
        <v>7.0000000000000007E-2</v>
      </c>
      <c r="I1013">
        <v>56.000000000000007</v>
      </c>
      <c r="J1013" t="s">
        <v>100</v>
      </c>
    </row>
    <row r="1014" spans="1:10" x14ac:dyDescent="0.25">
      <c r="A1014" t="s">
        <v>1138</v>
      </c>
      <c r="B1014" s="18">
        <v>43289</v>
      </c>
      <c r="C1014" t="s">
        <v>101</v>
      </c>
      <c r="D1014" t="s">
        <v>106</v>
      </c>
      <c r="E1014">
        <v>2</v>
      </c>
      <c r="F1014">
        <v>230</v>
      </c>
      <c r="G1014">
        <v>460</v>
      </c>
      <c r="H1014">
        <v>0.09</v>
      </c>
      <c r="I1014">
        <v>41.4</v>
      </c>
      <c r="J1014" t="s">
        <v>102</v>
      </c>
    </row>
    <row r="1015" spans="1:10" x14ac:dyDescent="0.25">
      <c r="A1015" t="s">
        <v>1139</v>
      </c>
      <c r="B1015" s="18">
        <v>43289</v>
      </c>
      <c r="C1015" t="s">
        <v>98</v>
      </c>
      <c r="D1015" t="s">
        <v>106</v>
      </c>
      <c r="E1015">
        <v>7</v>
      </c>
      <c r="F1015">
        <v>40</v>
      </c>
      <c r="G1015">
        <v>280</v>
      </c>
      <c r="H1015">
        <v>0.11</v>
      </c>
      <c r="I1015">
        <v>30.8</v>
      </c>
      <c r="J1015" t="s">
        <v>103</v>
      </c>
    </row>
    <row r="1016" spans="1:10" x14ac:dyDescent="0.25">
      <c r="A1016" t="s">
        <v>1140</v>
      </c>
      <c r="B1016" s="18">
        <v>43289</v>
      </c>
      <c r="C1016" t="s">
        <v>98</v>
      </c>
      <c r="D1016" t="s">
        <v>106</v>
      </c>
      <c r="E1016">
        <v>9</v>
      </c>
      <c r="F1016">
        <v>40</v>
      </c>
      <c r="G1016">
        <v>360</v>
      </c>
      <c r="H1016">
        <v>0.06</v>
      </c>
      <c r="I1016">
        <v>21.599999999999998</v>
      </c>
      <c r="J1016" t="s">
        <v>107</v>
      </c>
    </row>
    <row r="1017" spans="1:10" x14ac:dyDescent="0.25">
      <c r="A1017" t="s">
        <v>1141</v>
      </c>
      <c r="B1017" s="18">
        <v>43289</v>
      </c>
      <c r="C1017" t="s">
        <v>98</v>
      </c>
      <c r="D1017" t="s">
        <v>96</v>
      </c>
      <c r="E1017">
        <v>18</v>
      </c>
      <c r="F1017">
        <v>40</v>
      </c>
      <c r="G1017">
        <v>720</v>
      </c>
      <c r="H1017">
        <v>0.11</v>
      </c>
      <c r="I1017">
        <v>79.2</v>
      </c>
      <c r="J1017" t="s">
        <v>100</v>
      </c>
    </row>
    <row r="1018" spans="1:10" x14ac:dyDescent="0.25">
      <c r="A1018" t="s">
        <v>1142</v>
      </c>
      <c r="B1018" s="18">
        <v>43289</v>
      </c>
      <c r="C1018" t="s">
        <v>101</v>
      </c>
      <c r="D1018" t="s">
        <v>96</v>
      </c>
      <c r="E1018">
        <v>20</v>
      </c>
      <c r="F1018">
        <v>230</v>
      </c>
      <c r="G1018">
        <v>4600</v>
      </c>
      <c r="H1018">
        <v>0.04</v>
      </c>
      <c r="I1018">
        <v>184</v>
      </c>
      <c r="J1018" t="s">
        <v>102</v>
      </c>
    </row>
    <row r="1019" spans="1:10" x14ac:dyDescent="0.25">
      <c r="A1019" t="s">
        <v>1143</v>
      </c>
      <c r="B1019" s="18">
        <v>43289</v>
      </c>
      <c r="C1019" t="s">
        <v>95</v>
      </c>
      <c r="D1019" t="s">
        <v>104</v>
      </c>
      <c r="E1019">
        <v>23</v>
      </c>
      <c r="F1019">
        <v>80</v>
      </c>
      <c r="G1019">
        <v>1840</v>
      </c>
      <c r="H1019">
        <v>0.05</v>
      </c>
      <c r="I1019">
        <v>92</v>
      </c>
      <c r="J1019" t="s">
        <v>103</v>
      </c>
    </row>
    <row r="1020" spans="1:10" x14ac:dyDescent="0.25">
      <c r="A1020" t="s">
        <v>1144</v>
      </c>
      <c r="B1020" s="18">
        <v>43289</v>
      </c>
      <c r="C1020" t="s">
        <v>111</v>
      </c>
      <c r="D1020" t="s">
        <v>109</v>
      </c>
      <c r="E1020">
        <v>11</v>
      </c>
      <c r="F1020">
        <v>150</v>
      </c>
      <c r="G1020">
        <v>1650</v>
      </c>
      <c r="H1020">
        <v>0.09</v>
      </c>
      <c r="I1020">
        <v>148.5</v>
      </c>
      <c r="J1020" t="s">
        <v>105</v>
      </c>
    </row>
    <row r="1021" spans="1:10" x14ac:dyDescent="0.25">
      <c r="A1021" t="s">
        <v>1145</v>
      </c>
      <c r="B1021" s="18">
        <v>43289</v>
      </c>
      <c r="C1021" t="s">
        <v>111</v>
      </c>
      <c r="D1021" t="s">
        <v>96</v>
      </c>
      <c r="E1021">
        <v>17</v>
      </c>
      <c r="F1021">
        <v>150</v>
      </c>
      <c r="G1021">
        <v>2550</v>
      </c>
      <c r="H1021">
        <v>0.12</v>
      </c>
      <c r="I1021">
        <v>306</v>
      </c>
      <c r="J1021" t="s">
        <v>107</v>
      </c>
    </row>
    <row r="1022" spans="1:10" x14ac:dyDescent="0.25">
      <c r="A1022" t="s">
        <v>1146</v>
      </c>
      <c r="B1022" s="18">
        <v>43289</v>
      </c>
      <c r="C1022" t="s">
        <v>101</v>
      </c>
      <c r="D1022" t="s">
        <v>109</v>
      </c>
      <c r="E1022">
        <v>2</v>
      </c>
      <c r="F1022">
        <v>230</v>
      </c>
      <c r="G1022">
        <v>460</v>
      </c>
      <c r="H1022">
        <v>0.08</v>
      </c>
      <c r="I1022">
        <v>36.800000000000004</v>
      </c>
      <c r="J1022" t="s">
        <v>110</v>
      </c>
    </row>
    <row r="1023" spans="1:10" x14ac:dyDescent="0.25">
      <c r="A1023" t="s">
        <v>1147</v>
      </c>
      <c r="B1023" s="18">
        <v>43289</v>
      </c>
      <c r="C1023" t="s">
        <v>95</v>
      </c>
      <c r="D1023" t="s">
        <v>104</v>
      </c>
      <c r="E1023">
        <v>10</v>
      </c>
      <c r="F1023">
        <v>80</v>
      </c>
      <c r="G1023">
        <v>800</v>
      </c>
      <c r="H1023">
        <v>0.11</v>
      </c>
      <c r="I1023">
        <v>88</v>
      </c>
      <c r="J1023" t="s">
        <v>112</v>
      </c>
    </row>
    <row r="1024" spans="1:10" x14ac:dyDescent="0.25">
      <c r="A1024" t="s">
        <v>1148</v>
      </c>
      <c r="B1024" s="18">
        <v>43290</v>
      </c>
      <c r="C1024" t="s">
        <v>108</v>
      </c>
      <c r="D1024" t="s">
        <v>106</v>
      </c>
      <c r="E1024">
        <v>22</v>
      </c>
      <c r="F1024">
        <v>16</v>
      </c>
      <c r="G1024">
        <v>352</v>
      </c>
      <c r="H1024">
        <v>0.03</v>
      </c>
      <c r="I1024">
        <v>10.559999999999999</v>
      </c>
      <c r="J1024" t="s">
        <v>113</v>
      </c>
    </row>
    <row r="1025" spans="1:10" x14ac:dyDescent="0.25">
      <c r="A1025" t="s">
        <v>1149</v>
      </c>
      <c r="B1025" s="18">
        <v>43290</v>
      </c>
      <c r="C1025" t="s">
        <v>108</v>
      </c>
      <c r="D1025" t="s">
        <v>104</v>
      </c>
      <c r="E1025">
        <v>9</v>
      </c>
      <c r="F1025">
        <v>16</v>
      </c>
      <c r="G1025">
        <v>144</v>
      </c>
      <c r="H1025">
        <v>0.05</v>
      </c>
      <c r="I1025">
        <v>7.2</v>
      </c>
      <c r="J1025" t="s">
        <v>114</v>
      </c>
    </row>
    <row r="1026" spans="1:10" x14ac:dyDescent="0.25">
      <c r="A1026" t="s">
        <v>1150</v>
      </c>
      <c r="B1026" s="18">
        <v>43290</v>
      </c>
      <c r="C1026" t="s">
        <v>98</v>
      </c>
      <c r="D1026" t="s">
        <v>104</v>
      </c>
      <c r="E1026">
        <v>4</v>
      </c>
      <c r="F1026">
        <v>40</v>
      </c>
      <c r="G1026">
        <v>160</v>
      </c>
      <c r="H1026">
        <v>0.1</v>
      </c>
      <c r="I1026">
        <v>16</v>
      </c>
      <c r="J1026" t="s">
        <v>115</v>
      </c>
    </row>
    <row r="1027" spans="1:10" x14ac:dyDescent="0.25">
      <c r="A1027" t="s">
        <v>1151</v>
      </c>
      <c r="B1027" s="18">
        <v>43290</v>
      </c>
      <c r="C1027" t="s">
        <v>95</v>
      </c>
      <c r="D1027" t="s">
        <v>109</v>
      </c>
      <c r="E1027">
        <v>9</v>
      </c>
      <c r="F1027">
        <v>80</v>
      </c>
      <c r="G1027">
        <v>720</v>
      </c>
      <c r="H1027">
        <v>0.02</v>
      </c>
      <c r="I1027">
        <v>14.4</v>
      </c>
      <c r="J1027" t="s">
        <v>116</v>
      </c>
    </row>
    <row r="1028" spans="1:10" x14ac:dyDescent="0.25">
      <c r="A1028" t="s">
        <v>1152</v>
      </c>
      <c r="B1028" s="18">
        <v>43290</v>
      </c>
      <c r="C1028" t="s">
        <v>101</v>
      </c>
      <c r="D1028" t="s">
        <v>104</v>
      </c>
      <c r="E1028">
        <v>6</v>
      </c>
      <c r="F1028">
        <v>230</v>
      </c>
      <c r="G1028">
        <v>1380</v>
      </c>
      <c r="H1028">
        <v>0.05</v>
      </c>
      <c r="I1028">
        <v>69</v>
      </c>
      <c r="J1028" t="s">
        <v>97</v>
      </c>
    </row>
    <row r="1029" spans="1:10" x14ac:dyDescent="0.25">
      <c r="A1029" t="s">
        <v>1153</v>
      </c>
      <c r="B1029" s="18">
        <v>43290</v>
      </c>
      <c r="C1029" t="s">
        <v>95</v>
      </c>
      <c r="D1029" t="s">
        <v>106</v>
      </c>
      <c r="E1029">
        <v>14</v>
      </c>
      <c r="F1029">
        <v>80</v>
      </c>
      <c r="G1029">
        <v>1120</v>
      </c>
      <c r="H1029">
        <v>0.05</v>
      </c>
      <c r="I1029">
        <v>56</v>
      </c>
      <c r="J1029" t="s">
        <v>100</v>
      </c>
    </row>
    <row r="1030" spans="1:10" x14ac:dyDescent="0.25">
      <c r="A1030" t="s">
        <v>1154</v>
      </c>
      <c r="B1030" s="18">
        <v>43290</v>
      </c>
      <c r="C1030" t="s">
        <v>108</v>
      </c>
      <c r="D1030" t="s">
        <v>109</v>
      </c>
      <c r="E1030">
        <v>17</v>
      </c>
      <c r="F1030">
        <v>16</v>
      </c>
      <c r="G1030">
        <v>272</v>
      </c>
      <c r="H1030">
        <v>0.08</v>
      </c>
      <c r="I1030">
        <v>21.76</v>
      </c>
      <c r="J1030" t="s">
        <v>102</v>
      </c>
    </row>
    <row r="1031" spans="1:10" x14ac:dyDescent="0.25">
      <c r="A1031" t="s">
        <v>1155</v>
      </c>
      <c r="B1031" s="18">
        <v>43290</v>
      </c>
      <c r="C1031" t="s">
        <v>111</v>
      </c>
      <c r="D1031" t="s">
        <v>99</v>
      </c>
      <c r="E1031">
        <v>22</v>
      </c>
      <c r="F1031">
        <v>150</v>
      </c>
      <c r="G1031">
        <v>3300</v>
      </c>
      <c r="H1031">
        <v>0.02</v>
      </c>
      <c r="I1031">
        <v>66</v>
      </c>
      <c r="J1031" t="s">
        <v>103</v>
      </c>
    </row>
    <row r="1032" spans="1:10" x14ac:dyDescent="0.25">
      <c r="A1032" t="s">
        <v>1156</v>
      </c>
      <c r="B1032" s="18">
        <v>43290</v>
      </c>
      <c r="C1032" t="s">
        <v>98</v>
      </c>
      <c r="D1032" t="s">
        <v>109</v>
      </c>
      <c r="E1032">
        <v>17</v>
      </c>
      <c r="F1032">
        <v>40</v>
      </c>
      <c r="G1032">
        <v>680</v>
      </c>
      <c r="H1032">
        <v>0.02</v>
      </c>
      <c r="I1032">
        <v>13.6</v>
      </c>
      <c r="J1032" t="s">
        <v>105</v>
      </c>
    </row>
    <row r="1033" spans="1:10" x14ac:dyDescent="0.25">
      <c r="A1033" t="s">
        <v>1157</v>
      </c>
      <c r="B1033" s="18">
        <v>43290</v>
      </c>
      <c r="C1033" t="s">
        <v>95</v>
      </c>
      <c r="D1033" t="s">
        <v>109</v>
      </c>
      <c r="E1033">
        <v>17</v>
      </c>
      <c r="F1033">
        <v>80</v>
      </c>
      <c r="G1033">
        <v>1360</v>
      </c>
      <c r="H1033">
        <v>7.0000000000000007E-2</v>
      </c>
      <c r="I1033">
        <v>95.2</v>
      </c>
      <c r="J1033" t="s">
        <v>107</v>
      </c>
    </row>
    <row r="1034" spans="1:10" x14ac:dyDescent="0.25">
      <c r="A1034" t="s">
        <v>1158</v>
      </c>
      <c r="B1034" s="18">
        <v>43290</v>
      </c>
      <c r="C1034" t="s">
        <v>111</v>
      </c>
      <c r="D1034" t="s">
        <v>106</v>
      </c>
      <c r="E1034">
        <v>4</v>
      </c>
      <c r="F1034">
        <v>150</v>
      </c>
      <c r="G1034">
        <v>600</v>
      </c>
      <c r="H1034">
        <v>0.12</v>
      </c>
      <c r="I1034">
        <v>72</v>
      </c>
      <c r="J1034" t="s">
        <v>100</v>
      </c>
    </row>
    <row r="1035" spans="1:10" x14ac:dyDescent="0.25">
      <c r="A1035" t="s">
        <v>1159</v>
      </c>
      <c r="B1035" s="18">
        <v>43290</v>
      </c>
      <c r="C1035" t="s">
        <v>108</v>
      </c>
      <c r="D1035" t="s">
        <v>106</v>
      </c>
      <c r="E1035">
        <v>14</v>
      </c>
      <c r="F1035">
        <v>16</v>
      </c>
      <c r="G1035">
        <v>224</v>
      </c>
      <c r="H1035">
        <v>0.12</v>
      </c>
      <c r="I1035">
        <v>26.88</v>
      </c>
      <c r="J1035" t="s">
        <v>102</v>
      </c>
    </row>
    <row r="1036" spans="1:10" x14ac:dyDescent="0.25">
      <c r="A1036" t="s">
        <v>1160</v>
      </c>
      <c r="B1036" s="18">
        <v>43290</v>
      </c>
      <c r="C1036" t="s">
        <v>108</v>
      </c>
      <c r="D1036" t="s">
        <v>96</v>
      </c>
      <c r="E1036">
        <v>18</v>
      </c>
      <c r="F1036">
        <v>16</v>
      </c>
      <c r="G1036">
        <v>288</v>
      </c>
      <c r="H1036">
        <v>0.11</v>
      </c>
      <c r="I1036">
        <v>31.68</v>
      </c>
      <c r="J1036" t="s">
        <v>103</v>
      </c>
    </row>
    <row r="1037" spans="1:10" x14ac:dyDescent="0.25">
      <c r="A1037" t="s">
        <v>1161</v>
      </c>
      <c r="B1037" s="18">
        <v>43290</v>
      </c>
      <c r="C1037" t="s">
        <v>95</v>
      </c>
      <c r="D1037" t="s">
        <v>109</v>
      </c>
      <c r="E1037">
        <v>22</v>
      </c>
      <c r="F1037">
        <v>80</v>
      </c>
      <c r="G1037">
        <v>1760</v>
      </c>
      <c r="H1037">
        <v>0.09</v>
      </c>
      <c r="I1037">
        <v>158.4</v>
      </c>
      <c r="J1037" t="s">
        <v>105</v>
      </c>
    </row>
    <row r="1038" spans="1:10" x14ac:dyDescent="0.25">
      <c r="A1038" t="s">
        <v>1162</v>
      </c>
      <c r="B1038" s="18">
        <v>43290</v>
      </c>
      <c r="C1038" t="s">
        <v>101</v>
      </c>
      <c r="D1038" t="s">
        <v>99</v>
      </c>
      <c r="E1038">
        <v>12</v>
      </c>
      <c r="F1038">
        <v>230</v>
      </c>
      <c r="G1038">
        <v>2760</v>
      </c>
      <c r="H1038">
        <v>0.03</v>
      </c>
      <c r="I1038">
        <v>82.8</v>
      </c>
      <c r="J1038" t="s">
        <v>107</v>
      </c>
    </row>
    <row r="1039" spans="1:10" x14ac:dyDescent="0.25">
      <c r="A1039" t="s">
        <v>1163</v>
      </c>
      <c r="B1039" s="18">
        <v>43290</v>
      </c>
      <c r="C1039" t="s">
        <v>98</v>
      </c>
      <c r="D1039" t="s">
        <v>99</v>
      </c>
      <c r="E1039">
        <v>12</v>
      </c>
      <c r="F1039">
        <v>40</v>
      </c>
      <c r="G1039">
        <v>480</v>
      </c>
      <c r="H1039">
        <v>0.1</v>
      </c>
      <c r="I1039">
        <v>48</v>
      </c>
      <c r="J1039" t="s">
        <v>110</v>
      </c>
    </row>
    <row r="1040" spans="1:10" x14ac:dyDescent="0.25">
      <c r="A1040" t="s">
        <v>1164</v>
      </c>
      <c r="B1040" s="18">
        <v>43291</v>
      </c>
      <c r="C1040" t="s">
        <v>98</v>
      </c>
      <c r="D1040" t="s">
        <v>109</v>
      </c>
      <c r="E1040">
        <v>7</v>
      </c>
      <c r="F1040">
        <v>40</v>
      </c>
      <c r="G1040">
        <v>280</v>
      </c>
      <c r="H1040">
        <v>0.12</v>
      </c>
      <c r="I1040">
        <v>33.6</v>
      </c>
      <c r="J1040" t="s">
        <v>112</v>
      </c>
    </row>
    <row r="1041" spans="1:10" x14ac:dyDescent="0.25">
      <c r="A1041" t="s">
        <v>1165</v>
      </c>
      <c r="B1041" s="18">
        <v>43291</v>
      </c>
      <c r="C1041" t="s">
        <v>95</v>
      </c>
      <c r="D1041" t="s">
        <v>96</v>
      </c>
      <c r="E1041">
        <v>12</v>
      </c>
      <c r="F1041">
        <v>80</v>
      </c>
      <c r="G1041">
        <v>960</v>
      </c>
      <c r="H1041">
        <v>0.04</v>
      </c>
      <c r="I1041">
        <v>38.4</v>
      </c>
      <c r="J1041" t="s">
        <v>113</v>
      </c>
    </row>
    <row r="1042" spans="1:10" x14ac:dyDescent="0.25">
      <c r="A1042" t="s">
        <v>1166</v>
      </c>
      <c r="B1042" s="18">
        <v>43291</v>
      </c>
      <c r="C1042" t="s">
        <v>108</v>
      </c>
      <c r="D1042" t="s">
        <v>109</v>
      </c>
      <c r="E1042">
        <v>17</v>
      </c>
      <c r="F1042">
        <v>16</v>
      </c>
      <c r="G1042">
        <v>272</v>
      </c>
      <c r="H1042">
        <v>0.1</v>
      </c>
      <c r="I1042">
        <v>27.200000000000003</v>
      </c>
      <c r="J1042" t="s">
        <v>114</v>
      </c>
    </row>
    <row r="1043" spans="1:10" x14ac:dyDescent="0.25">
      <c r="A1043" t="s">
        <v>1167</v>
      </c>
      <c r="B1043" s="18">
        <v>43291</v>
      </c>
      <c r="C1043" t="s">
        <v>101</v>
      </c>
      <c r="D1043" t="s">
        <v>99</v>
      </c>
      <c r="E1043">
        <v>6</v>
      </c>
      <c r="F1043">
        <v>230</v>
      </c>
      <c r="G1043">
        <v>1380</v>
      </c>
      <c r="H1043">
        <v>0.1</v>
      </c>
      <c r="I1043">
        <v>138</v>
      </c>
      <c r="J1043" t="s">
        <v>115</v>
      </c>
    </row>
    <row r="1044" spans="1:10" x14ac:dyDescent="0.25">
      <c r="A1044" t="s">
        <v>1168</v>
      </c>
      <c r="B1044" s="18">
        <v>43291</v>
      </c>
      <c r="C1044" t="s">
        <v>98</v>
      </c>
      <c r="D1044" t="s">
        <v>96</v>
      </c>
      <c r="E1044">
        <v>11</v>
      </c>
      <c r="F1044">
        <v>40</v>
      </c>
      <c r="G1044">
        <v>440</v>
      </c>
      <c r="H1044">
        <v>0.04</v>
      </c>
      <c r="I1044">
        <v>17.600000000000001</v>
      </c>
      <c r="J1044" t="s">
        <v>116</v>
      </c>
    </row>
    <row r="1045" spans="1:10" x14ac:dyDescent="0.25">
      <c r="A1045" t="s">
        <v>1169</v>
      </c>
      <c r="B1045" s="18">
        <v>43291</v>
      </c>
      <c r="C1045" t="s">
        <v>108</v>
      </c>
      <c r="D1045" t="s">
        <v>106</v>
      </c>
      <c r="E1045">
        <v>10</v>
      </c>
      <c r="F1045">
        <v>16</v>
      </c>
      <c r="G1045">
        <v>160</v>
      </c>
      <c r="H1045">
        <v>0.04</v>
      </c>
      <c r="I1045">
        <v>6.4</v>
      </c>
      <c r="J1045" t="s">
        <v>97</v>
      </c>
    </row>
    <row r="1046" spans="1:10" x14ac:dyDescent="0.25">
      <c r="A1046" t="s">
        <v>1170</v>
      </c>
      <c r="B1046" s="18">
        <v>43291</v>
      </c>
      <c r="C1046" t="s">
        <v>95</v>
      </c>
      <c r="D1046" t="s">
        <v>96</v>
      </c>
      <c r="E1046">
        <v>6</v>
      </c>
      <c r="F1046">
        <v>80</v>
      </c>
      <c r="G1046">
        <v>480</v>
      </c>
      <c r="H1046">
        <v>7.0000000000000007E-2</v>
      </c>
      <c r="I1046">
        <v>33.6</v>
      </c>
      <c r="J1046" t="s">
        <v>100</v>
      </c>
    </row>
    <row r="1047" spans="1:10" x14ac:dyDescent="0.25">
      <c r="A1047" t="s">
        <v>1171</v>
      </c>
      <c r="B1047" s="18">
        <v>43291</v>
      </c>
      <c r="C1047" t="s">
        <v>98</v>
      </c>
      <c r="D1047" t="s">
        <v>106</v>
      </c>
      <c r="E1047">
        <v>11</v>
      </c>
      <c r="F1047">
        <v>40</v>
      </c>
      <c r="G1047">
        <v>440</v>
      </c>
      <c r="H1047">
        <v>0.09</v>
      </c>
      <c r="I1047">
        <v>39.6</v>
      </c>
      <c r="J1047" t="s">
        <v>102</v>
      </c>
    </row>
    <row r="1048" spans="1:10" x14ac:dyDescent="0.25">
      <c r="A1048" t="s">
        <v>1172</v>
      </c>
      <c r="B1048" s="18">
        <v>43291</v>
      </c>
      <c r="C1048" t="s">
        <v>95</v>
      </c>
      <c r="D1048" t="s">
        <v>109</v>
      </c>
      <c r="E1048">
        <v>16</v>
      </c>
      <c r="F1048">
        <v>80</v>
      </c>
      <c r="G1048">
        <v>1280</v>
      </c>
      <c r="H1048">
        <v>0.09</v>
      </c>
      <c r="I1048">
        <v>115.19999999999999</v>
      </c>
      <c r="J1048" t="s">
        <v>103</v>
      </c>
    </row>
    <row r="1049" spans="1:10" x14ac:dyDescent="0.25">
      <c r="A1049" t="s">
        <v>1173</v>
      </c>
      <c r="B1049" s="18">
        <v>43291</v>
      </c>
      <c r="C1049" t="s">
        <v>98</v>
      </c>
      <c r="D1049" t="s">
        <v>106</v>
      </c>
      <c r="E1049">
        <v>13</v>
      </c>
      <c r="F1049">
        <v>40</v>
      </c>
      <c r="G1049">
        <v>520</v>
      </c>
      <c r="H1049">
        <v>0.09</v>
      </c>
      <c r="I1049">
        <v>46.8</v>
      </c>
      <c r="J1049" t="s">
        <v>105</v>
      </c>
    </row>
    <row r="1050" spans="1:10" x14ac:dyDescent="0.25">
      <c r="A1050" t="s">
        <v>1174</v>
      </c>
      <c r="B1050" s="18">
        <v>43291</v>
      </c>
      <c r="C1050" t="s">
        <v>101</v>
      </c>
      <c r="D1050" t="s">
        <v>96</v>
      </c>
      <c r="E1050">
        <v>5</v>
      </c>
      <c r="F1050">
        <v>230</v>
      </c>
      <c r="G1050">
        <v>1150</v>
      </c>
      <c r="H1050">
        <v>0.1</v>
      </c>
      <c r="I1050">
        <v>115</v>
      </c>
      <c r="J1050" t="s">
        <v>107</v>
      </c>
    </row>
    <row r="1051" spans="1:10" x14ac:dyDescent="0.25">
      <c r="A1051" t="s">
        <v>1175</v>
      </c>
      <c r="B1051" s="18">
        <v>43292</v>
      </c>
      <c r="C1051" t="s">
        <v>98</v>
      </c>
      <c r="D1051" t="s">
        <v>109</v>
      </c>
      <c r="E1051">
        <v>7</v>
      </c>
      <c r="F1051">
        <v>40</v>
      </c>
      <c r="G1051">
        <v>280</v>
      </c>
      <c r="H1051">
        <v>0.05</v>
      </c>
      <c r="I1051">
        <v>14</v>
      </c>
      <c r="J1051" t="s">
        <v>100</v>
      </c>
    </row>
    <row r="1052" spans="1:10" x14ac:dyDescent="0.25">
      <c r="A1052" t="s">
        <v>1176</v>
      </c>
      <c r="B1052" s="18">
        <v>43292</v>
      </c>
      <c r="C1052" t="s">
        <v>95</v>
      </c>
      <c r="D1052" t="s">
        <v>104</v>
      </c>
      <c r="E1052">
        <v>14</v>
      </c>
      <c r="F1052">
        <v>80</v>
      </c>
      <c r="G1052">
        <v>1120</v>
      </c>
      <c r="H1052">
        <v>0.1</v>
      </c>
      <c r="I1052">
        <v>112</v>
      </c>
      <c r="J1052" t="s">
        <v>102</v>
      </c>
    </row>
    <row r="1053" spans="1:10" x14ac:dyDescent="0.25">
      <c r="A1053" t="s">
        <v>1177</v>
      </c>
      <c r="B1053" s="18">
        <v>43292</v>
      </c>
      <c r="C1053" t="s">
        <v>108</v>
      </c>
      <c r="D1053" t="s">
        <v>109</v>
      </c>
      <c r="E1053">
        <v>12</v>
      </c>
      <c r="F1053">
        <v>16</v>
      </c>
      <c r="G1053">
        <v>192</v>
      </c>
      <c r="H1053">
        <v>0.04</v>
      </c>
      <c r="I1053">
        <v>7.68</v>
      </c>
      <c r="J1053" t="s">
        <v>103</v>
      </c>
    </row>
    <row r="1054" spans="1:10" x14ac:dyDescent="0.25">
      <c r="A1054" t="s">
        <v>1178</v>
      </c>
      <c r="B1054" s="18">
        <v>43292</v>
      </c>
      <c r="C1054" t="s">
        <v>101</v>
      </c>
      <c r="D1054" t="s">
        <v>104</v>
      </c>
      <c r="E1054">
        <v>14</v>
      </c>
      <c r="F1054">
        <v>230</v>
      </c>
      <c r="G1054">
        <v>3220</v>
      </c>
      <c r="H1054">
        <v>0.03</v>
      </c>
      <c r="I1054">
        <v>96.6</v>
      </c>
      <c r="J1054" t="s">
        <v>105</v>
      </c>
    </row>
    <row r="1055" spans="1:10" x14ac:dyDescent="0.25">
      <c r="A1055" t="s">
        <v>1179</v>
      </c>
      <c r="B1055" s="18">
        <v>43292</v>
      </c>
      <c r="C1055" t="s">
        <v>95</v>
      </c>
      <c r="D1055" t="s">
        <v>109</v>
      </c>
      <c r="E1055">
        <v>21</v>
      </c>
      <c r="F1055">
        <v>80</v>
      </c>
      <c r="G1055">
        <v>1680</v>
      </c>
      <c r="H1055">
        <v>0.09</v>
      </c>
      <c r="I1055">
        <v>151.19999999999999</v>
      </c>
      <c r="J1055" t="s">
        <v>107</v>
      </c>
    </row>
    <row r="1056" spans="1:10" x14ac:dyDescent="0.25">
      <c r="A1056" t="s">
        <v>1180</v>
      </c>
      <c r="B1056" s="18">
        <v>43292</v>
      </c>
      <c r="C1056" t="s">
        <v>101</v>
      </c>
      <c r="D1056" t="s">
        <v>104</v>
      </c>
      <c r="E1056">
        <v>5</v>
      </c>
      <c r="F1056">
        <v>230</v>
      </c>
      <c r="G1056">
        <v>1150</v>
      </c>
      <c r="H1056">
        <v>0.1</v>
      </c>
      <c r="I1056">
        <v>115</v>
      </c>
      <c r="J1056" t="s">
        <v>110</v>
      </c>
    </row>
    <row r="1057" spans="1:10" x14ac:dyDescent="0.25">
      <c r="A1057" t="s">
        <v>1181</v>
      </c>
      <c r="B1057" s="18">
        <v>43292</v>
      </c>
      <c r="C1057" t="s">
        <v>98</v>
      </c>
      <c r="D1057" t="s">
        <v>109</v>
      </c>
      <c r="E1057">
        <v>16</v>
      </c>
      <c r="F1057">
        <v>40</v>
      </c>
      <c r="G1057">
        <v>640</v>
      </c>
      <c r="H1057">
        <v>0.09</v>
      </c>
      <c r="I1057">
        <v>57.599999999999994</v>
      </c>
      <c r="J1057" t="s">
        <v>112</v>
      </c>
    </row>
    <row r="1058" spans="1:10" x14ac:dyDescent="0.25">
      <c r="A1058" t="s">
        <v>1182</v>
      </c>
      <c r="B1058" s="18">
        <v>43292</v>
      </c>
      <c r="C1058" t="s">
        <v>111</v>
      </c>
      <c r="D1058" t="s">
        <v>99</v>
      </c>
      <c r="E1058">
        <v>15</v>
      </c>
      <c r="F1058">
        <v>150</v>
      </c>
      <c r="G1058">
        <v>2250</v>
      </c>
      <c r="H1058">
        <v>0.12</v>
      </c>
      <c r="I1058">
        <v>270</v>
      </c>
      <c r="J1058" t="s">
        <v>113</v>
      </c>
    </row>
    <row r="1059" spans="1:10" x14ac:dyDescent="0.25">
      <c r="A1059" t="s">
        <v>1183</v>
      </c>
      <c r="B1059" s="18">
        <v>43292</v>
      </c>
      <c r="C1059" t="s">
        <v>108</v>
      </c>
      <c r="D1059" t="s">
        <v>109</v>
      </c>
      <c r="E1059">
        <v>23</v>
      </c>
      <c r="F1059">
        <v>16</v>
      </c>
      <c r="G1059">
        <v>368</v>
      </c>
      <c r="H1059">
        <v>0.01</v>
      </c>
      <c r="I1059">
        <v>3.68</v>
      </c>
      <c r="J1059" t="s">
        <v>114</v>
      </c>
    </row>
    <row r="1060" spans="1:10" x14ac:dyDescent="0.25">
      <c r="A1060" t="s">
        <v>1184</v>
      </c>
      <c r="B1060" s="18">
        <v>43292</v>
      </c>
      <c r="C1060" t="s">
        <v>108</v>
      </c>
      <c r="D1060" t="s">
        <v>99</v>
      </c>
      <c r="E1060">
        <v>22</v>
      </c>
      <c r="F1060">
        <v>16</v>
      </c>
      <c r="G1060">
        <v>352</v>
      </c>
      <c r="H1060">
        <v>0.04</v>
      </c>
      <c r="I1060">
        <v>14.08</v>
      </c>
      <c r="J1060" t="s">
        <v>115</v>
      </c>
    </row>
    <row r="1061" spans="1:10" x14ac:dyDescent="0.25">
      <c r="A1061" t="s">
        <v>1185</v>
      </c>
      <c r="B1061" s="18">
        <v>43292</v>
      </c>
      <c r="C1061" t="s">
        <v>95</v>
      </c>
      <c r="D1061" t="s">
        <v>96</v>
      </c>
      <c r="E1061">
        <v>20</v>
      </c>
      <c r="F1061">
        <v>80</v>
      </c>
      <c r="G1061">
        <v>1600</v>
      </c>
      <c r="H1061">
        <v>0.01</v>
      </c>
      <c r="I1061">
        <v>16</v>
      </c>
      <c r="J1061" t="s">
        <v>116</v>
      </c>
    </row>
    <row r="1062" spans="1:10" x14ac:dyDescent="0.25">
      <c r="A1062" t="s">
        <v>1186</v>
      </c>
      <c r="B1062" s="18">
        <v>43292</v>
      </c>
      <c r="C1062" t="s">
        <v>98</v>
      </c>
      <c r="D1062" t="s">
        <v>106</v>
      </c>
      <c r="E1062">
        <v>6</v>
      </c>
      <c r="F1062">
        <v>40</v>
      </c>
      <c r="G1062">
        <v>240</v>
      </c>
      <c r="H1062">
        <v>7.0000000000000007E-2</v>
      </c>
      <c r="I1062">
        <v>16.8</v>
      </c>
      <c r="J1062" t="s">
        <v>97</v>
      </c>
    </row>
    <row r="1063" spans="1:10" x14ac:dyDescent="0.25">
      <c r="A1063" t="s">
        <v>1187</v>
      </c>
      <c r="B1063" s="18">
        <v>43293</v>
      </c>
      <c r="C1063" t="s">
        <v>111</v>
      </c>
      <c r="D1063" t="s">
        <v>99</v>
      </c>
      <c r="E1063">
        <v>10</v>
      </c>
      <c r="F1063">
        <v>150</v>
      </c>
      <c r="G1063">
        <v>1500</v>
      </c>
      <c r="H1063">
        <v>0.01</v>
      </c>
      <c r="I1063">
        <v>15</v>
      </c>
      <c r="J1063" t="s">
        <v>100</v>
      </c>
    </row>
    <row r="1064" spans="1:10" x14ac:dyDescent="0.25">
      <c r="A1064" t="s">
        <v>1188</v>
      </c>
      <c r="B1064" s="18">
        <v>43293</v>
      </c>
      <c r="C1064" t="s">
        <v>95</v>
      </c>
      <c r="D1064" t="s">
        <v>106</v>
      </c>
      <c r="E1064">
        <v>17</v>
      </c>
      <c r="F1064">
        <v>80</v>
      </c>
      <c r="G1064">
        <v>1360</v>
      </c>
      <c r="H1064">
        <v>0.05</v>
      </c>
      <c r="I1064">
        <v>68</v>
      </c>
      <c r="J1064" t="s">
        <v>102</v>
      </c>
    </row>
    <row r="1065" spans="1:10" x14ac:dyDescent="0.25">
      <c r="A1065" t="s">
        <v>1189</v>
      </c>
      <c r="B1065" s="18">
        <v>43293</v>
      </c>
      <c r="C1065" t="s">
        <v>111</v>
      </c>
      <c r="D1065" t="s">
        <v>96</v>
      </c>
      <c r="E1065">
        <v>13</v>
      </c>
      <c r="F1065">
        <v>150</v>
      </c>
      <c r="G1065">
        <v>1950</v>
      </c>
      <c r="H1065">
        <v>0.05</v>
      </c>
      <c r="I1065">
        <v>97.5</v>
      </c>
      <c r="J1065" t="s">
        <v>103</v>
      </c>
    </row>
    <row r="1066" spans="1:10" x14ac:dyDescent="0.25">
      <c r="A1066" t="s">
        <v>1190</v>
      </c>
      <c r="B1066" s="18">
        <v>43293</v>
      </c>
      <c r="C1066" t="s">
        <v>101</v>
      </c>
      <c r="D1066" t="s">
        <v>106</v>
      </c>
      <c r="E1066">
        <v>8</v>
      </c>
      <c r="F1066">
        <v>230</v>
      </c>
      <c r="G1066">
        <v>1840</v>
      </c>
      <c r="H1066">
        <v>0.05</v>
      </c>
      <c r="I1066">
        <v>92</v>
      </c>
      <c r="J1066" t="s">
        <v>105</v>
      </c>
    </row>
    <row r="1067" spans="1:10" x14ac:dyDescent="0.25">
      <c r="A1067" t="s">
        <v>1191</v>
      </c>
      <c r="B1067" s="18">
        <v>43293</v>
      </c>
      <c r="C1067" t="s">
        <v>108</v>
      </c>
      <c r="D1067" t="s">
        <v>96</v>
      </c>
      <c r="E1067">
        <v>10</v>
      </c>
      <c r="F1067">
        <v>16</v>
      </c>
      <c r="G1067">
        <v>160</v>
      </c>
      <c r="H1067">
        <v>0.08</v>
      </c>
      <c r="I1067">
        <v>12.8</v>
      </c>
      <c r="J1067" t="s">
        <v>107</v>
      </c>
    </row>
    <row r="1068" spans="1:10" x14ac:dyDescent="0.25">
      <c r="A1068" t="s">
        <v>1192</v>
      </c>
      <c r="B1068" s="18">
        <v>43293</v>
      </c>
      <c r="C1068" t="s">
        <v>98</v>
      </c>
      <c r="D1068" t="s">
        <v>99</v>
      </c>
      <c r="E1068">
        <v>4</v>
      </c>
      <c r="F1068">
        <v>40</v>
      </c>
      <c r="G1068">
        <v>160</v>
      </c>
      <c r="H1068">
        <v>0.06</v>
      </c>
      <c r="I1068">
        <v>9.6</v>
      </c>
      <c r="J1068" t="s">
        <v>100</v>
      </c>
    </row>
    <row r="1069" spans="1:10" x14ac:dyDescent="0.25">
      <c r="A1069" t="s">
        <v>1193</v>
      </c>
      <c r="B1069" s="18">
        <v>43293</v>
      </c>
      <c r="C1069" t="s">
        <v>98</v>
      </c>
      <c r="D1069" t="s">
        <v>109</v>
      </c>
      <c r="E1069">
        <v>18</v>
      </c>
      <c r="F1069">
        <v>40</v>
      </c>
      <c r="G1069">
        <v>720</v>
      </c>
      <c r="H1069">
        <v>0.06</v>
      </c>
      <c r="I1069">
        <v>43.199999999999996</v>
      </c>
      <c r="J1069" t="s">
        <v>102</v>
      </c>
    </row>
    <row r="1070" spans="1:10" x14ac:dyDescent="0.25">
      <c r="A1070" t="s">
        <v>1194</v>
      </c>
      <c r="B1070" s="18">
        <v>43293</v>
      </c>
      <c r="C1070" t="s">
        <v>111</v>
      </c>
      <c r="D1070" t="s">
        <v>106</v>
      </c>
      <c r="E1070">
        <v>15</v>
      </c>
      <c r="F1070">
        <v>150</v>
      </c>
      <c r="G1070">
        <v>2250</v>
      </c>
      <c r="H1070">
        <v>0.05</v>
      </c>
      <c r="I1070">
        <v>112.5</v>
      </c>
      <c r="J1070" t="s">
        <v>103</v>
      </c>
    </row>
    <row r="1071" spans="1:10" x14ac:dyDescent="0.25">
      <c r="A1071" t="s">
        <v>1195</v>
      </c>
      <c r="B1071" s="18">
        <v>43293</v>
      </c>
      <c r="C1071" t="s">
        <v>111</v>
      </c>
      <c r="D1071" t="s">
        <v>106</v>
      </c>
      <c r="E1071">
        <v>3</v>
      </c>
      <c r="F1071">
        <v>150</v>
      </c>
      <c r="G1071">
        <v>450</v>
      </c>
      <c r="H1071">
        <v>0.01</v>
      </c>
      <c r="I1071">
        <v>4.5</v>
      </c>
      <c r="J1071" t="s">
        <v>105</v>
      </c>
    </row>
    <row r="1072" spans="1:10" x14ac:dyDescent="0.25">
      <c r="A1072" t="s">
        <v>1196</v>
      </c>
      <c r="B1072" s="18">
        <v>43293</v>
      </c>
      <c r="C1072" t="s">
        <v>108</v>
      </c>
      <c r="D1072" t="s">
        <v>96</v>
      </c>
      <c r="E1072">
        <v>12</v>
      </c>
      <c r="F1072">
        <v>16</v>
      </c>
      <c r="G1072">
        <v>192</v>
      </c>
      <c r="H1072">
        <v>0.11</v>
      </c>
      <c r="I1072">
        <v>21.12</v>
      </c>
      <c r="J1072" t="s">
        <v>107</v>
      </c>
    </row>
    <row r="1073" spans="1:10" x14ac:dyDescent="0.25">
      <c r="A1073" t="s">
        <v>1197</v>
      </c>
      <c r="B1073" s="18">
        <v>43294</v>
      </c>
      <c r="C1073" t="s">
        <v>95</v>
      </c>
      <c r="D1073" t="s">
        <v>109</v>
      </c>
      <c r="E1073">
        <v>17</v>
      </c>
      <c r="F1073">
        <v>80</v>
      </c>
      <c r="G1073">
        <v>1360</v>
      </c>
      <c r="H1073">
        <v>7.0000000000000007E-2</v>
      </c>
      <c r="I1073">
        <v>95.2</v>
      </c>
      <c r="J1073" t="s">
        <v>110</v>
      </c>
    </row>
    <row r="1074" spans="1:10" x14ac:dyDescent="0.25">
      <c r="A1074" t="s">
        <v>1198</v>
      </c>
      <c r="B1074" s="18">
        <v>43294</v>
      </c>
      <c r="C1074" t="s">
        <v>101</v>
      </c>
      <c r="D1074" t="s">
        <v>96</v>
      </c>
      <c r="E1074">
        <v>3</v>
      </c>
      <c r="F1074">
        <v>230</v>
      </c>
      <c r="G1074">
        <v>690</v>
      </c>
      <c r="H1074">
        <v>0.06</v>
      </c>
      <c r="I1074">
        <v>41.4</v>
      </c>
      <c r="J1074" t="s">
        <v>112</v>
      </c>
    </row>
    <row r="1075" spans="1:10" x14ac:dyDescent="0.25">
      <c r="A1075" t="s">
        <v>1199</v>
      </c>
      <c r="B1075" s="18">
        <v>43294</v>
      </c>
      <c r="C1075" t="s">
        <v>95</v>
      </c>
      <c r="D1075" t="s">
        <v>104</v>
      </c>
      <c r="E1075">
        <v>20</v>
      </c>
      <c r="F1075">
        <v>80</v>
      </c>
      <c r="G1075">
        <v>1600</v>
      </c>
      <c r="H1075">
        <v>7.0000000000000007E-2</v>
      </c>
      <c r="I1075">
        <v>112.00000000000001</v>
      </c>
      <c r="J1075" t="s">
        <v>113</v>
      </c>
    </row>
    <row r="1076" spans="1:10" x14ac:dyDescent="0.25">
      <c r="A1076" t="s">
        <v>1200</v>
      </c>
      <c r="B1076" s="18">
        <v>43294</v>
      </c>
      <c r="C1076" t="s">
        <v>101</v>
      </c>
      <c r="D1076" t="s">
        <v>99</v>
      </c>
      <c r="E1076">
        <v>14</v>
      </c>
      <c r="F1076">
        <v>230</v>
      </c>
      <c r="G1076">
        <v>3220</v>
      </c>
      <c r="H1076">
        <v>0.05</v>
      </c>
      <c r="I1076">
        <v>161</v>
      </c>
      <c r="J1076" t="s">
        <v>114</v>
      </c>
    </row>
    <row r="1077" spans="1:10" x14ac:dyDescent="0.25">
      <c r="A1077" t="s">
        <v>1201</v>
      </c>
      <c r="B1077" s="18">
        <v>43294</v>
      </c>
      <c r="C1077" t="s">
        <v>98</v>
      </c>
      <c r="D1077" t="s">
        <v>109</v>
      </c>
      <c r="E1077">
        <v>16</v>
      </c>
      <c r="F1077">
        <v>40</v>
      </c>
      <c r="G1077">
        <v>640</v>
      </c>
      <c r="H1077">
        <v>0.09</v>
      </c>
      <c r="I1077">
        <v>57.599999999999994</v>
      </c>
      <c r="J1077" t="s">
        <v>115</v>
      </c>
    </row>
    <row r="1078" spans="1:10" x14ac:dyDescent="0.25">
      <c r="A1078" t="s">
        <v>1202</v>
      </c>
      <c r="B1078" s="18">
        <v>43294</v>
      </c>
      <c r="C1078" t="s">
        <v>108</v>
      </c>
      <c r="D1078" t="s">
        <v>99</v>
      </c>
      <c r="E1078">
        <v>7</v>
      </c>
      <c r="F1078">
        <v>16</v>
      </c>
      <c r="G1078">
        <v>112</v>
      </c>
      <c r="H1078">
        <v>0.08</v>
      </c>
      <c r="I1078">
        <v>8.9600000000000009</v>
      </c>
      <c r="J1078" t="s">
        <v>116</v>
      </c>
    </row>
    <row r="1079" spans="1:10" x14ac:dyDescent="0.25">
      <c r="A1079" t="s">
        <v>1203</v>
      </c>
      <c r="B1079" s="18">
        <v>43294</v>
      </c>
      <c r="C1079" t="s">
        <v>98</v>
      </c>
      <c r="D1079" t="s">
        <v>99</v>
      </c>
      <c r="E1079">
        <v>19</v>
      </c>
      <c r="F1079">
        <v>40</v>
      </c>
      <c r="G1079">
        <v>760</v>
      </c>
      <c r="H1079">
        <v>0.1</v>
      </c>
      <c r="I1079">
        <v>76</v>
      </c>
      <c r="J1079" t="s">
        <v>97</v>
      </c>
    </row>
    <row r="1080" spans="1:10" x14ac:dyDescent="0.25">
      <c r="A1080" t="s">
        <v>1204</v>
      </c>
      <c r="B1080" s="18">
        <v>43294</v>
      </c>
      <c r="C1080" t="s">
        <v>101</v>
      </c>
      <c r="D1080" t="s">
        <v>106</v>
      </c>
      <c r="E1080">
        <v>7</v>
      </c>
      <c r="F1080">
        <v>230</v>
      </c>
      <c r="G1080">
        <v>1610</v>
      </c>
      <c r="H1080">
        <v>0.06</v>
      </c>
      <c r="I1080">
        <v>96.6</v>
      </c>
      <c r="J1080" t="s">
        <v>100</v>
      </c>
    </row>
    <row r="1081" spans="1:10" x14ac:dyDescent="0.25">
      <c r="A1081" t="s">
        <v>1205</v>
      </c>
      <c r="B1081" s="18">
        <v>43294</v>
      </c>
      <c r="C1081" t="s">
        <v>98</v>
      </c>
      <c r="D1081" t="s">
        <v>109</v>
      </c>
      <c r="E1081">
        <v>20</v>
      </c>
      <c r="F1081">
        <v>40</v>
      </c>
      <c r="G1081">
        <v>800</v>
      </c>
      <c r="H1081">
        <v>0.03</v>
      </c>
      <c r="I1081">
        <v>24</v>
      </c>
      <c r="J1081" t="s">
        <v>102</v>
      </c>
    </row>
    <row r="1082" spans="1:10" x14ac:dyDescent="0.25">
      <c r="A1082" t="s">
        <v>1206</v>
      </c>
      <c r="B1082" s="18">
        <v>43294</v>
      </c>
      <c r="C1082" t="s">
        <v>108</v>
      </c>
      <c r="D1082" t="s">
        <v>104</v>
      </c>
      <c r="E1082">
        <v>11</v>
      </c>
      <c r="F1082">
        <v>16</v>
      </c>
      <c r="G1082">
        <v>176</v>
      </c>
      <c r="H1082">
        <v>0.12</v>
      </c>
      <c r="I1082">
        <v>21.119999999999997</v>
      </c>
      <c r="J1082" t="s">
        <v>103</v>
      </c>
    </row>
    <row r="1083" spans="1:10" x14ac:dyDescent="0.25">
      <c r="A1083" t="s">
        <v>1207</v>
      </c>
      <c r="B1083" s="18">
        <v>43294</v>
      </c>
      <c r="C1083" t="s">
        <v>95</v>
      </c>
      <c r="D1083" t="s">
        <v>109</v>
      </c>
      <c r="E1083">
        <v>16</v>
      </c>
      <c r="F1083">
        <v>80</v>
      </c>
      <c r="G1083">
        <v>1280</v>
      </c>
      <c r="H1083">
        <v>0.09</v>
      </c>
      <c r="I1083">
        <v>115.19999999999999</v>
      </c>
      <c r="J1083" t="s">
        <v>105</v>
      </c>
    </row>
    <row r="1084" spans="1:10" x14ac:dyDescent="0.25">
      <c r="A1084" t="s">
        <v>1208</v>
      </c>
      <c r="B1084" s="18">
        <v>43294</v>
      </c>
      <c r="C1084" t="s">
        <v>108</v>
      </c>
      <c r="D1084" t="s">
        <v>96</v>
      </c>
      <c r="E1084">
        <v>21</v>
      </c>
      <c r="F1084">
        <v>16</v>
      </c>
      <c r="G1084">
        <v>336</v>
      </c>
      <c r="H1084">
        <v>0.09</v>
      </c>
      <c r="I1084">
        <v>30.24</v>
      </c>
      <c r="J1084" t="s">
        <v>107</v>
      </c>
    </row>
    <row r="1085" spans="1:10" x14ac:dyDescent="0.25">
      <c r="A1085" t="s">
        <v>1209</v>
      </c>
      <c r="B1085" s="18">
        <v>43294</v>
      </c>
      <c r="C1085" t="s">
        <v>108</v>
      </c>
      <c r="D1085" t="s">
        <v>96</v>
      </c>
      <c r="E1085">
        <v>22</v>
      </c>
      <c r="F1085">
        <v>16</v>
      </c>
      <c r="G1085">
        <v>352</v>
      </c>
      <c r="H1085">
        <v>0.01</v>
      </c>
      <c r="I1085">
        <v>3.52</v>
      </c>
      <c r="J1085" t="s">
        <v>100</v>
      </c>
    </row>
    <row r="1086" spans="1:10" x14ac:dyDescent="0.25">
      <c r="A1086" t="s">
        <v>1210</v>
      </c>
      <c r="B1086" s="18">
        <v>43294</v>
      </c>
      <c r="C1086" t="s">
        <v>101</v>
      </c>
      <c r="D1086" t="s">
        <v>106</v>
      </c>
      <c r="E1086">
        <v>23</v>
      </c>
      <c r="F1086">
        <v>230</v>
      </c>
      <c r="G1086">
        <v>5290</v>
      </c>
      <c r="H1086">
        <v>0.06</v>
      </c>
      <c r="I1086">
        <v>317.39999999999998</v>
      </c>
      <c r="J1086" t="s">
        <v>102</v>
      </c>
    </row>
    <row r="1087" spans="1:10" x14ac:dyDescent="0.25">
      <c r="A1087" t="s">
        <v>1211</v>
      </c>
      <c r="B1087" s="18">
        <v>43294</v>
      </c>
      <c r="C1087" t="s">
        <v>111</v>
      </c>
      <c r="D1087" t="s">
        <v>96</v>
      </c>
      <c r="E1087">
        <v>9</v>
      </c>
      <c r="F1087">
        <v>150</v>
      </c>
      <c r="G1087">
        <v>1350</v>
      </c>
      <c r="H1087">
        <v>0.1</v>
      </c>
      <c r="I1087">
        <v>135</v>
      </c>
      <c r="J1087" t="s">
        <v>103</v>
      </c>
    </row>
    <row r="1088" spans="1:10" x14ac:dyDescent="0.25">
      <c r="A1088" t="s">
        <v>1212</v>
      </c>
      <c r="B1088" s="18">
        <v>43294</v>
      </c>
      <c r="C1088" t="s">
        <v>111</v>
      </c>
      <c r="D1088" t="s">
        <v>104</v>
      </c>
      <c r="E1088">
        <v>9</v>
      </c>
      <c r="F1088">
        <v>150</v>
      </c>
      <c r="G1088">
        <v>1350</v>
      </c>
      <c r="H1088">
        <v>0.06</v>
      </c>
      <c r="I1088">
        <v>81</v>
      </c>
      <c r="J1088" t="s">
        <v>105</v>
      </c>
    </row>
    <row r="1089" spans="1:10" x14ac:dyDescent="0.25">
      <c r="A1089" t="s">
        <v>1213</v>
      </c>
      <c r="B1089" s="18">
        <v>43295</v>
      </c>
      <c r="C1089" t="s">
        <v>101</v>
      </c>
      <c r="D1089" t="s">
        <v>96</v>
      </c>
      <c r="E1089">
        <v>9</v>
      </c>
      <c r="F1089">
        <v>230</v>
      </c>
      <c r="G1089">
        <v>2070</v>
      </c>
      <c r="H1089">
        <v>7.0000000000000007E-2</v>
      </c>
      <c r="I1089">
        <v>144.9</v>
      </c>
      <c r="J1089" t="s">
        <v>107</v>
      </c>
    </row>
    <row r="1090" spans="1:10" x14ac:dyDescent="0.25">
      <c r="A1090" t="s">
        <v>1214</v>
      </c>
      <c r="B1090" s="18">
        <v>43295</v>
      </c>
      <c r="C1090" t="s">
        <v>95</v>
      </c>
      <c r="D1090" t="s">
        <v>104</v>
      </c>
      <c r="E1090">
        <v>10</v>
      </c>
      <c r="F1090">
        <v>80</v>
      </c>
      <c r="G1090">
        <v>800</v>
      </c>
      <c r="H1090">
        <v>0.08</v>
      </c>
      <c r="I1090">
        <v>64</v>
      </c>
      <c r="J1090" t="s">
        <v>110</v>
      </c>
    </row>
    <row r="1091" spans="1:10" x14ac:dyDescent="0.25">
      <c r="A1091" t="s">
        <v>1215</v>
      </c>
      <c r="B1091" s="18">
        <v>43295</v>
      </c>
      <c r="C1091" t="s">
        <v>108</v>
      </c>
      <c r="D1091" t="s">
        <v>104</v>
      </c>
      <c r="E1091">
        <v>23</v>
      </c>
      <c r="F1091">
        <v>16</v>
      </c>
      <c r="G1091">
        <v>368</v>
      </c>
      <c r="H1091">
        <v>0.11</v>
      </c>
      <c r="I1091">
        <v>40.479999999999997</v>
      </c>
      <c r="J1091" t="s">
        <v>112</v>
      </c>
    </row>
    <row r="1092" spans="1:10" x14ac:dyDescent="0.25">
      <c r="A1092" t="s">
        <v>1216</v>
      </c>
      <c r="B1092" s="18">
        <v>43295</v>
      </c>
      <c r="C1092" t="s">
        <v>95</v>
      </c>
      <c r="D1092" t="s">
        <v>106</v>
      </c>
      <c r="E1092">
        <v>22</v>
      </c>
      <c r="F1092">
        <v>80</v>
      </c>
      <c r="G1092">
        <v>1760</v>
      </c>
      <c r="H1092">
        <v>0.03</v>
      </c>
      <c r="I1092">
        <v>52.8</v>
      </c>
      <c r="J1092" t="s">
        <v>113</v>
      </c>
    </row>
    <row r="1093" spans="1:10" x14ac:dyDescent="0.25">
      <c r="A1093" t="s">
        <v>1217</v>
      </c>
      <c r="B1093" s="18">
        <v>43295</v>
      </c>
      <c r="C1093" t="s">
        <v>95</v>
      </c>
      <c r="D1093" t="s">
        <v>106</v>
      </c>
      <c r="E1093">
        <v>4</v>
      </c>
      <c r="F1093">
        <v>80</v>
      </c>
      <c r="G1093">
        <v>320</v>
      </c>
      <c r="H1093">
        <v>0.11</v>
      </c>
      <c r="I1093">
        <v>35.200000000000003</v>
      </c>
      <c r="J1093" t="s">
        <v>114</v>
      </c>
    </row>
    <row r="1094" spans="1:10" x14ac:dyDescent="0.25">
      <c r="A1094" t="s">
        <v>1218</v>
      </c>
      <c r="B1094" s="18">
        <v>43295</v>
      </c>
      <c r="C1094" t="s">
        <v>108</v>
      </c>
      <c r="D1094" t="s">
        <v>96</v>
      </c>
      <c r="E1094">
        <v>22</v>
      </c>
      <c r="F1094">
        <v>16</v>
      </c>
      <c r="G1094">
        <v>352</v>
      </c>
      <c r="H1094">
        <v>0.06</v>
      </c>
      <c r="I1094">
        <v>21.119999999999997</v>
      </c>
      <c r="J1094" t="s">
        <v>115</v>
      </c>
    </row>
    <row r="1095" spans="1:10" x14ac:dyDescent="0.25">
      <c r="A1095" t="s">
        <v>1219</v>
      </c>
      <c r="B1095" s="18">
        <v>43295</v>
      </c>
      <c r="C1095" t="s">
        <v>98</v>
      </c>
      <c r="D1095" t="s">
        <v>99</v>
      </c>
      <c r="E1095">
        <v>15</v>
      </c>
      <c r="F1095">
        <v>40</v>
      </c>
      <c r="G1095">
        <v>600</v>
      </c>
      <c r="H1095">
        <v>0.02</v>
      </c>
      <c r="I1095">
        <v>12</v>
      </c>
      <c r="J1095" t="s">
        <v>116</v>
      </c>
    </row>
    <row r="1096" spans="1:10" x14ac:dyDescent="0.25">
      <c r="A1096" t="s">
        <v>1220</v>
      </c>
      <c r="B1096" s="18">
        <v>43295</v>
      </c>
      <c r="C1096" t="s">
        <v>98</v>
      </c>
      <c r="D1096" t="s">
        <v>109</v>
      </c>
      <c r="E1096">
        <v>7</v>
      </c>
      <c r="F1096">
        <v>40</v>
      </c>
      <c r="G1096">
        <v>280</v>
      </c>
      <c r="H1096">
        <v>0.04</v>
      </c>
      <c r="I1096">
        <v>11.200000000000001</v>
      </c>
      <c r="J1096" t="s">
        <v>97</v>
      </c>
    </row>
    <row r="1097" spans="1:10" x14ac:dyDescent="0.25">
      <c r="A1097" t="s">
        <v>1221</v>
      </c>
      <c r="B1097" s="18">
        <v>43295</v>
      </c>
      <c r="C1097" t="s">
        <v>108</v>
      </c>
      <c r="D1097" t="s">
        <v>109</v>
      </c>
      <c r="E1097">
        <v>2</v>
      </c>
      <c r="F1097">
        <v>16</v>
      </c>
      <c r="G1097">
        <v>32</v>
      </c>
      <c r="H1097">
        <v>0.04</v>
      </c>
      <c r="I1097">
        <v>1.28</v>
      </c>
      <c r="J1097" t="s">
        <v>100</v>
      </c>
    </row>
    <row r="1098" spans="1:10" x14ac:dyDescent="0.25">
      <c r="A1098" t="s">
        <v>1222</v>
      </c>
      <c r="B1098" s="18">
        <v>43295</v>
      </c>
      <c r="C1098" t="s">
        <v>95</v>
      </c>
      <c r="D1098" t="s">
        <v>106</v>
      </c>
      <c r="E1098">
        <v>7</v>
      </c>
      <c r="F1098">
        <v>80</v>
      </c>
      <c r="G1098">
        <v>560</v>
      </c>
      <c r="H1098">
        <v>0.02</v>
      </c>
      <c r="I1098">
        <v>11.200000000000001</v>
      </c>
      <c r="J1098" t="s">
        <v>102</v>
      </c>
    </row>
    <row r="1099" spans="1:10" x14ac:dyDescent="0.25">
      <c r="A1099" t="s">
        <v>1223</v>
      </c>
      <c r="B1099" s="18">
        <v>43296</v>
      </c>
      <c r="C1099" t="s">
        <v>108</v>
      </c>
      <c r="D1099" t="s">
        <v>109</v>
      </c>
      <c r="E1099">
        <v>22</v>
      </c>
      <c r="F1099">
        <v>16</v>
      </c>
      <c r="G1099">
        <v>352</v>
      </c>
      <c r="H1099">
        <v>0.12</v>
      </c>
      <c r="I1099">
        <v>42.239999999999995</v>
      </c>
      <c r="J1099" t="s">
        <v>103</v>
      </c>
    </row>
    <row r="1100" spans="1:10" x14ac:dyDescent="0.25">
      <c r="A1100" t="s">
        <v>1224</v>
      </c>
      <c r="B1100" s="18">
        <v>43296</v>
      </c>
      <c r="C1100" t="s">
        <v>98</v>
      </c>
      <c r="D1100" t="s">
        <v>99</v>
      </c>
      <c r="E1100">
        <v>21</v>
      </c>
      <c r="F1100">
        <v>40</v>
      </c>
      <c r="G1100">
        <v>840</v>
      </c>
      <c r="H1100">
        <v>0.03</v>
      </c>
      <c r="I1100">
        <v>25.2</v>
      </c>
      <c r="J1100" t="s">
        <v>105</v>
      </c>
    </row>
    <row r="1101" spans="1:10" x14ac:dyDescent="0.25">
      <c r="A1101" t="s">
        <v>1225</v>
      </c>
      <c r="B1101" s="18">
        <v>43296</v>
      </c>
      <c r="C1101" t="s">
        <v>95</v>
      </c>
      <c r="D1101" t="s">
        <v>96</v>
      </c>
      <c r="E1101">
        <v>6</v>
      </c>
      <c r="F1101">
        <v>80</v>
      </c>
      <c r="G1101">
        <v>480</v>
      </c>
      <c r="H1101">
        <v>0.01</v>
      </c>
      <c r="I1101">
        <v>4.8</v>
      </c>
      <c r="J1101" t="s">
        <v>107</v>
      </c>
    </row>
    <row r="1102" spans="1:10" x14ac:dyDescent="0.25">
      <c r="A1102" t="s">
        <v>1226</v>
      </c>
      <c r="B1102" s="18">
        <v>43296</v>
      </c>
      <c r="C1102" t="s">
        <v>95</v>
      </c>
      <c r="D1102" t="s">
        <v>109</v>
      </c>
      <c r="E1102">
        <v>13</v>
      </c>
      <c r="F1102">
        <v>80</v>
      </c>
      <c r="G1102">
        <v>1040</v>
      </c>
      <c r="H1102">
        <v>0.05</v>
      </c>
      <c r="I1102">
        <v>52</v>
      </c>
      <c r="J1102" t="s">
        <v>100</v>
      </c>
    </row>
    <row r="1103" spans="1:10" x14ac:dyDescent="0.25">
      <c r="A1103" t="s">
        <v>1227</v>
      </c>
      <c r="B1103" s="18">
        <v>43296</v>
      </c>
      <c r="C1103" t="s">
        <v>95</v>
      </c>
      <c r="D1103" t="s">
        <v>106</v>
      </c>
      <c r="E1103">
        <v>11</v>
      </c>
      <c r="F1103">
        <v>80</v>
      </c>
      <c r="G1103">
        <v>880</v>
      </c>
      <c r="H1103">
        <v>0.01</v>
      </c>
      <c r="I1103">
        <v>8.8000000000000007</v>
      </c>
      <c r="J1103" t="s">
        <v>102</v>
      </c>
    </row>
    <row r="1104" spans="1:10" x14ac:dyDescent="0.25">
      <c r="A1104" t="s">
        <v>1228</v>
      </c>
      <c r="B1104" s="18">
        <v>43296</v>
      </c>
      <c r="C1104" t="s">
        <v>98</v>
      </c>
      <c r="D1104" t="s">
        <v>96</v>
      </c>
      <c r="E1104">
        <v>18</v>
      </c>
      <c r="F1104">
        <v>40</v>
      </c>
      <c r="G1104">
        <v>720</v>
      </c>
      <c r="H1104">
        <v>0.06</v>
      </c>
      <c r="I1104">
        <v>43.199999999999996</v>
      </c>
      <c r="J1104" t="s">
        <v>103</v>
      </c>
    </row>
    <row r="1105" spans="1:10" x14ac:dyDescent="0.25">
      <c r="A1105" t="s">
        <v>1229</v>
      </c>
      <c r="B1105" s="18">
        <v>43296</v>
      </c>
      <c r="C1105" t="s">
        <v>111</v>
      </c>
      <c r="D1105" t="s">
        <v>106</v>
      </c>
      <c r="E1105">
        <v>7</v>
      </c>
      <c r="F1105">
        <v>150</v>
      </c>
      <c r="G1105">
        <v>1050</v>
      </c>
      <c r="H1105">
        <v>0.05</v>
      </c>
      <c r="I1105">
        <v>52.5</v>
      </c>
      <c r="J1105" t="s">
        <v>105</v>
      </c>
    </row>
    <row r="1106" spans="1:10" x14ac:dyDescent="0.25">
      <c r="A1106" t="s">
        <v>1230</v>
      </c>
      <c r="B1106" s="18">
        <v>43296</v>
      </c>
      <c r="C1106" t="s">
        <v>98</v>
      </c>
      <c r="D1106" t="s">
        <v>96</v>
      </c>
      <c r="E1106">
        <v>2</v>
      </c>
      <c r="F1106">
        <v>40</v>
      </c>
      <c r="G1106">
        <v>80</v>
      </c>
      <c r="H1106">
        <v>0.12</v>
      </c>
      <c r="I1106">
        <v>9.6</v>
      </c>
      <c r="J1106" t="s">
        <v>107</v>
      </c>
    </row>
    <row r="1107" spans="1:10" x14ac:dyDescent="0.25">
      <c r="A1107" t="s">
        <v>1231</v>
      </c>
      <c r="B1107" s="18">
        <v>43296</v>
      </c>
      <c r="C1107" t="s">
        <v>95</v>
      </c>
      <c r="D1107" t="s">
        <v>99</v>
      </c>
      <c r="E1107">
        <v>14</v>
      </c>
      <c r="F1107">
        <v>80</v>
      </c>
      <c r="G1107">
        <v>1120</v>
      </c>
      <c r="H1107">
        <v>0.06</v>
      </c>
      <c r="I1107">
        <v>67.2</v>
      </c>
      <c r="J1107" t="s">
        <v>110</v>
      </c>
    </row>
    <row r="1108" spans="1:10" x14ac:dyDescent="0.25">
      <c r="A1108" t="s">
        <v>1232</v>
      </c>
      <c r="B1108" s="18">
        <v>43296</v>
      </c>
      <c r="C1108" t="s">
        <v>111</v>
      </c>
      <c r="D1108" t="s">
        <v>109</v>
      </c>
      <c r="E1108">
        <v>7</v>
      </c>
      <c r="F1108">
        <v>150</v>
      </c>
      <c r="G1108">
        <v>1050</v>
      </c>
      <c r="H1108">
        <v>0.03</v>
      </c>
      <c r="I1108">
        <v>31.5</v>
      </c>
      <c r="J1108" t="s">
        <v>112</v>
      </c>
    </row>
    <row r="1109" spans="1:10" x14ac:dyDescent="0.25">
      <c r="A1109" t="s">
        <v>1233</v>
      </c>
      <c r="B1109" s="18">
        <v>43296</v>
      </c>
      <c r="C1109" t="s">
        <v>108</v>
      </c>
      <c r="D1109" t="s">
        <v>106</v>
      </c>
      <c r="E1109">
        <v>10</v>
      </c>
      <c r="F1109">
        <v>16</v>
      </c>
      <c r="G1109">
        <v>160</v>
      </c>
      <c r="H1109">
        <v>0.01</v>
      </c>
      <c r="I1109">
        <v>1.6</v>
      </c>
      <c r="J1109" t="s">
        <v>113</v>
      </c>
    </row>
    <row r="1110" spans="1:10" x14ac:dyDescent="0.25">
      <c r="A1110" t="s">
        <v>1234</v>
      </c>
      <c r="B1110" s="18">
        <v>43297</v>
      </c>
      <c r="C1110" t="s">
        <v>98</v>
      </c>
      <c r="D1110" t="s">
        <v>99</v>
      </c>
      <c r="E1110">
        <v>7</v>
      </c>
      <c r="F1110">
        <v>40</v>
      </c>
      <c r="G1110">
        <v>280</v>
      </c>
      <c r="H1110">
        <v>0.01</v>
      </c>
      <c r="I1110">
        <v>2.8000000000000003</v>
      </c>
      <c r="J1110" t="s">
        <v>114</v>
      </c>
    </row>
    <row r="1111" spans="1:10" x14ac:dyDescent="0.25">
      <c r="A1111" t="s">
        <v>1235</v>
      </c>
      <c r="B1111" s="18">
        <v>43297</v>
      </c>
      <c r="C1111" t="s">
        <v>108</v>
      </c>
      <c r="D1111" t="s">
        <v>106</v>
      </c>
      <c r="E1111">
        <v>7</v>
      </c>
      <c r="F1111">
        <v>16</v>
      </c>
      <c r="G1111">
        <v>112</v>
      </c>
      <c r="H1111">
        <v>0.08</v>
      </c>
      <c r="I1111">
        <v>8.9600000000000009</v>
      </c>
      <c r="J1111" t="s">
        <v>115</v>
      </c>
    </row>
    <row r="1112" spans="1:10" x14ac:dyDescent="0.25">
      <c r="A1112" t="s">
        <v>1236</v>
      </c>
      <c r="B1112" s="18">
        <v>43297</v>
      </c>
      <c r="C1112" t="s">
        <v>111</v>
      </c>
      <c r="D1112" t="s">
        <v>104</v>
      </c>
      <c r="E1112">
        <v>15</v>
      </c>
      <c r="F1112">
        <v>150</v>
      </c>
      <c r="G1112">
        <v>2250</v>
      </c>
      <c r="H1112">
        <v>0.05</v>
      </c>
      <c r="I1112">
        <v>112.5</v>
      </c>
      <c r="J1112" t="s">
        <v>116</v>
      </c>
    </row>
    <row r="1113" spans="1:10" x14ac:dyDescent="0.25">
      <c r="A1113" t="s">
        <v>1237</v>
      </c>
      <c r="B1113" s="18">
        <v>43297</v>
      </c>
      <c r="C1113" t="s">
        <v>95</v>
      </c>
      <c r="D1113" t="s">
        <v>96</v>
      </c>
      <c r="E1113">
        <v>7</v>
      </c>
      <c r="F1113">
        <v>80</v>
      </c>
      <c r="G1113">
        <v>560</v>
      </c>
      <c r="H1113">
        <v>0.02</v>
      </c>
      <c r="I1113">
        <v>11.200000000000001</v>
      </c>
      <c r="J1113" t="s">
        <v>97</v>
      </c>
    </row>
    <row r="1114" spans="1:10" x14ac:dyDescent="0.25">
      <c r="A1114" t="s">
        <v>1238</v>
      </c>
      <c r="B1114" s="18">
        <v>43297</v>
      </c>
      <c r="C1114" t="s">
        <v>98</v>
      </c>
      <c r="D1114" t="s">
        <v>104</v>
      </c>
      <c r="E1114">
        <v>6</v>
      </c>
      <c r="F1114">
        <v>40</v>
      </c>
      <c r="G1114">
        <v>240</v>
      </c>
      <c r="H1114">
        <v>0.06</v>
      </c>
      <c r="I1114">
        <v>14.399999999999999</v>
      </c>
      <c r="J1114" t="s">
        <v>100</v>
      </c>
    </row>
    <row r="1115" spans="1:10" x14ac:dyDescent="0.25">
      <c r="A1115" t="s">
        <v>1239</v>
      </c>
      <c r="B1115" s="18">
        <v>43297</v>
      </c>
      <c r="C1115" t="s">
        <v>101</v>
      </c>
      <c r="D1115" t="s">
        <v>96</v>
      </c>
      <c r="E1115">
        <v>3</v>
      </c>
      <c r="F1115">
        <v>230</v>
      </c>
      <c r="G1115">
        <v>690</v>
      </c>
      <c r="H1115">
        <v>0.06</v>
      </c>
      <c r="I1115">
        <v>41.4</v>
      </c>
      <c r="J1115" t="s">
        <v>102</v>
      </c>
    </row>
    <row r="1116" spans="1:10" x14ac:dyDescent="0.25">
      <c r="A1116" t="s">
        <v>1240</v>
      </c>
      <c r="B1116" s="18">
        <v>43297</v>
      </c>
      <c r="C1116" t="s">
        <v>111</v>
      </c>
      <c r="D1116" t="s">
        <v>104</v>
      </c>
      <c r="E1116">
        <v>20</v>
      </c>
      <c r="F1116">
        <v>150</v>
      </c>
      <c r="G1116">
        <v>3000</v>
      </c>
      <c r="H1116">
        <v>0.04</v>
      </c>
      <c r="I1116">
        <v>120</v>
      </c>
      <c r="J1116" t="s">
        <v>103</v>
      </c>
    </row>
    <row r="1117" spans="1:10" x14ac:dyDescent="0.25">
      <c r="A1117" t="s">
        <v>1241</v>
      </c>
      <c r="B1117" s="18">
        <v>43297</v>
      </c>
      <c r="C1117" t="s">
        <v>101</v>
      </c>
      <c r="D1117" t="s">
        <v>104</v>
      </c>
      <c r="E1117">
        <v>20</v>
      </c>
      <c r="F1117">
        <v>230</v>
      </c>
      <c r="G1117">
        <v>4600</v>
      </c>
      <c r="H1117">
        <v>0.06</v>
      </c>
      <c r="I1117">
        <v>276</v>
      </c>
      <c r="J1117" t="s">
        <v>105</v>
      </c>
    </row>
    <row r="1118" spans="1:10" x14ac:dyDescent="0.25">
      <c r="A1118" t="s">
        <v>1242</v>
      </c>
      <c r="B1118" s="18">
        <v>43297</v>
      </c>
      <c r="C1118" t="s">
        <v>108</v>
      </c>
      <c r="D1118" t="s">
        <v>104</v>
      </c>
      <c r="E1118">
        <v>14</v>
      </c>
      <c r="F1118">
        <v>16</v>
      </c>
      <c r="G1118">
        <v>224</v>
      </c>
      <c r="H1118">
        <v>0.01</v>
      </c>
      <c r="I1118">
        <v>2.2400000000000002</v>
      </c>
      <c r="J1118" t="s">
        <v>107</v>
      </c>
    </row>
    <row r="1119" spans="1:10" x14ac:dyDescent="0.25">
      <c r="A1119" t="s">
        <v>1243</v>
      </c>
      <c r="B1119" s="18">
        <v>43297</v>
      </c>
      <c r="C1119" t="s">
        <v>111</v>
      </c>
      <c r="D1119" t="s">
        <v>104</v>
      </c>
      <c r="E1119">
        <v>20</v>
      </c>
      <c r="F1119">
        <v>150</v>
      </c>
      <c r="G1119">
        <v>3000</v>
      </c>
      <c r="H1119">
        <v>0.04</v>
      </c>
      <c r="I1119">
        <v>120</v>
      </c>
      <c r="J1119" t="s">
        <v>100</v>
      </c>
    </row>
    <row r="1120" spans="1:10" x14ac:dyDescent="0.25">
      <c r="A1120" t="s">
        <v>1244</v>
      </c>
      <c r="B1120" s="18">
        <v>43297</v>
      </c>
      <c r="C1120" t="s">
        <v>95</v>
      </c>
      <c r="D1120" t="s">
        <v>96</v>
      </c>
      <c r="E1120">
        <v>17</v>
      </c>
      <c r="F1120">
        <v>80</v>
      </c>
      <c r="G1120">
        <v>1360</v>
      </c>
      <c r="H1120">
        <v>0.09</v>
      </c>
      <c r="I1120">
        <v>122.39999999999999</v>
      </c>
      <c r="J1120" t="s">
        <v>102</v>
      </c>
    </row>
    <row r="1121" spans="1:10" x14ac:dyDescent="0.25">
      <c r="A1121" t="s">
        <v>1245</v>
      </c>
      <c r="B1121" s="18">
        <v>43298</v>
      </c>
      <c r="C1121" t="s">
        <v>111</v>
      </c>
      <c r="D1121" t="s">
        <v>104</v>
      </c>
      <c r="E1121">
        <v>20</v>
      </c>
      <c r="F1121">
        <v>150</v>
      </c>
      <c r="G1121">
        <v>3000</v>
      </c>
      <c r="H1121">
        <v>0.12</v>
      </c>
      <c r="I1121">
        <v>360</v>
      </c>
      <c r="J1121" t="s">
        <v>103</v>
      </c>
    </row>
    <row r="1122" spans="1:10" x14ac:dyDescent="0.25">
      <c r="A1122" t="s">
        <v>1246</v>
      </c>
      <c r="B1122" s="18">
        <v>43298</v>
      </c>
      <c r="C1122" t="s">
        <v>108</v>
      </c>
      <c r="D1122" t="s">
        <v>104</v>
      </c>
      <c r="E1122">
        <v>11</v>
      </c>
      <c r="F1122">
        <v>16</v>
      </c>
      <c r="G1122">
        <v>176</v>
      </c>
      <c r="H1122">
        <v>0.04</v>
      </c>
      <c r="I1122">
        <v>7.04</v>
      </c>
      <c r="J1122" t="s">
        <v>105</v>
      </c>
    </row>
    <row r="1123" spans="1:10" x14ac:dyDescent="0.25">
      <c r="A1123" t="s">
        <v>1247</v>
      </c>
      <c r="B1123" s="18">
        <v>43298</v>
      </c>
      <c r="C1123" t="s">
        <v>101</v>
      </c>
      <c r="D1123" t="s">
        <v>109</v>
      </c>
      <c r="E1123">
        <v>7</v>
      </c>
      <c r="F1123">
        <v>230</v>
      </c>
      <c r="G1123">
        <v>1610</v>
      </c>
      <c r="H1123">
        <v>0.05</v>
      </c>
      <c r="I1123">
        <v>80.5</v>
      </c>
      <c r="J1123" t="s">
        <v>107</v>
      </c>
    </row>
    <row r="1124" spans="1:10" x14ac:dyDescent="0.25">
      <c r="A1124" t="s">
        <v>1248</v>
      </c>
      <c r="B1124" s="18">
        <v>43298</v>
      </c>
      <c r="C1124" t="s">
        <v>98</v>
      </c>
      <c r="D1124" t="s">
        <v>99</v>
      </c>
      <c r="E1124">
        <v>14</v>
      </c>
      <c r="F1124">
        <v>40</v>
      </c>
      <c r="G1124">
        <v>560</v>
      </c>
      <c r="H1124">
        <v>0.06</v>
      </c>
      <c r="I1124">
        <v>33.6</v>
      </c>
      <c r="J1124" t="s">
        <v>110</v>
      </c>
    </row>
    <row r="1125" spans="1:10" x14ac:dyDescent="0.25">
      <c r="A1125" t="s">
        <v>1249</v>
      </c>
      <c r="B1125" s="18">
        <v>43298</v>
      </c>
      <c r="C1125" t="s">
        <v>95</v>
      </c>
      <c r="D1125" t="s">
        <v>99</v>
      </c>
      <c r="E1125">
        <v>13</v>
      </c>
      <c r="F1125">
        <v>80</v>
      </c>
      <c r="G1125">
        <v>1040</v>
      </c>
      <c r="H1125">
        <v>0.06</v>
      </c>
      <c r="I1125">
        <v>62.4</v>
      </c>
      <c r="J1125" t="s">
        <v>112</v>
      </c>
    </row>
    <row r="1126" spans="1:10" x14ac:dyDescent="0.25">
      <c r="A1126" t="s">
        <v>1250</v>
      </c>
      <c r="B1126" s="18">
        <v>43298</v>
      </c>
      <c r="C1126" t="s">
        <v>108</v>
      </c>
      <c r="D1126" t="s">
        <v>104</v>
      </c>
      <c r="E1126">
        <v>17</v>
      </c>
      <c r="F1126">
        <v>16</v>
      </c>
      <c r="G1126">
        <v>272</v>
      </c>
      <c r="H1126">
        <v>0.05</v>
      </c>
      <c r="I1126">
        <v>13.600000000000001</v>
      </c>
      <c r="J1126" t="s">
        <v>113</v>
      </c>
    </row>
    <row r="1127" spans="1:10" x14ac:dyDescent="0.25">
      <c r="A1127" t="s">
        <v>1251</v>
      </c>
      <c r="B1127" s="18">
        <v>43298</v>
      </c>
      <c r="C1127" t="s">
        <v>101</v>
      </c>
      <c r="D1127" t="s">
        <v>104</v>
      </c>
      <c r="E1127">
        <v>12</v>
      </c>
      <c r="F1127">
        <v>230</v>
      </c>
      <c r="G1127">
        <v>2760</v>
      </c>
      <c r="H1127">
        <v>0.03</v>
      </c>
      <c r="I1127">
        <v>82.8</v>
      </c>
      <c r="J1127" t="s">
        <v>114</v>
      </c>
    </row>
    <row r="1128" spans="1:10" x14ac:dyDescent="0.25">
      <c r="A1128" t="s">
        <v>1252</v>
      </c>
      <c r="B1128" s="18">
        <v>43298</v>
      </c>
      <c r="C1128" t="s">
        <v>98</v>
      </c>
      <c r="D1128" t="s">
        <v>99</v>
      </c>
      <c r="E1128">
        <v>4</v>
      </c>
      <c r="F1128">
        <v>40</v>
      </c>
      <c r="G1128">
        <v>160</v>
      </c>
      <c r="H1128">
        <v>0.12</v>
      </c>
      <c r="I1128">
        <v>19.2</v>
      </c>
      <c r="J1128" t="s">
        <v>115</v>
      </c>
    </row>
    <row r="1129" spans="1:10" x14ac:dyDescent="0.25">
      <c r="A1129" t="s">
        <v>1253</v>
      </c>
      <c r="B1129" s="18">
        <v>43298</v>
      </c>
      <c r="C1129" t="s">
        <v>108</v>
      </c>
      <c r="D1129" t="s">
        <v>96</v>
      </c>
      <c r="E1129">
        <v>20</v>
      </c>
      <c r="F1129">
        <v>16</v>
      </c>
      <c r="G1129">
        <v>320</v>
      </c>
      <c r="H1129">
        <v>0.01</v>
      </c>
      <c r="I1129">
        <v>3.2</v>
      </c>
      <c r="J1129" t="s">
        <v>116</v>
      </c>
    </row>
    <row r="1130" spans="1:10" x14ac:dyDescent="0.25">
      <c r="A1130" t="s">
        <v>1254</v>
      </c>
      <c r="B1130" s="18">
        <v>43298</v>
      </c>
      <c r="C1130" t="s">
        <v>95</v>
      </c>
      <c r="D1130" t="s">
        <v>106</v>
      </c>
      <c r="E1130">
        <v>8</v>
      </c>
      <c r="F1130">
        <v>80</v>
      </c>
      <c r="G1130">
        <v>640</v>
      </c>
      <c r="H1130">
        <v>0.06</v>
      </c>
      <c r="I1130">
        <v>38.4</v>
      </c>
      <c r="J1130" t="s">
        <v>97</v>
      </c>
    </row>
    <row r="1131" spans="1:10" x14ac:dyDescent="0.25">
      <c r="A1131" t="s">
        <v>1255</v>
      </c>
      <c r="B1131" s="18">
        <v>43298</v>
      </c>
      <c r="C1131" t="s">
        <v>95</v>
      </c>
      <c r="D1131" t="s">
        <v>96</v>
      </c>
      <c r="E1131">
        <v>18</v>
      </c>
      <c r="F1131">
        <v>80</v>
      </c>
      <c r="G1131">
        <v>1440</v>
      </c>
      <c r="H1131">
        <v>0.02</v>
      </c>
      <c r="I1131">
        <v>28.8</v>
      </c>
      <c r="J1131" t="s">
        <v>100</v>
      </c>
    </row>
    <row r="1132" spans="1:10" x14ac:dyDescent="0.25">
      <c r="A1132" t="s">
        <v>1256</v>
      </c>
      <c r="B1132" s="18">
        <v>43298</v>
      </c>
      <c r="C1132" t="s">
        <v>108</v>
      </c>
      <c r="D1132" t="s">
        <v>104</v>
      </c>
      <c r="E1132">
        <v>6</v>
      </c>
      <c r="F1132">
        <v>16</v>
      </c>
      <c r="G1132">
        <v>96</v>
      </c>
      <c r="H1132">
        <v>0.06</v>
      </c>
      <c r="I1132">
        <v>5.76</v>
      </c>
      <c r="J1132" t="s">
        <v>102</v>
      </c>
    </row>
    <row r="1133" spans="1:10" x14ac:dyDescent="0.25">
      <c r="A1133" t="s">
        <v>1257</v>
      </c>
      <c r="B1133" s="18">
        <v>43298</v>
      </c>
      <c r="C1133" t="s">
        <v>95</v>
      </c>
      <c r="D1133" t="s">
        <v>96</v>
      </c>
      <c r="E1133">
        <v>9</v>
      </c>
      <c r="F1133">
        <v>80</v>
      </c>
      <c r="G1133">
        <v>720</v>
      </c>
      <c r="H1133">
        <v>0.04</v>
      </c>
      <c r="I1133">
        <v>28.8</v>
      </c>
      <c r="J1133" t="s">
        <v>103</v>
      </c>
    </row>
    <row r="1134" spans="1:10" x14ac:dyDescent="0.25">
      <c r="A1134" t="s">
        <v>1258</v>
      </c>
      <c r="B1134" s="18">
        <v>43299</v>
      </c>
      <c r="C1134" t="s">
        <v>95</v>
      </c>
      <c r="D1134" t="s">
        <v>104</v>
      </c>
      <c r="E1134">
        <v>8</v>
      </c>
      <c r="F1134">
        <v>80</v>
      </c>
      <c r="G1134">
        <v>640</v>
      </c>
      <c r="H1134">
        <v>0.02</v>
      </c>
      <c r="I1134">
        <v>12.8</v>
      </c>
      <c r="J1134" t="s">
        <v>105</v>
      </c>
    </row>
    <row r="1135" spans="1:10" x14ac:dyDescent="0.25">
      <c r="A1135" t="s">
        <v>1259</v>
      </c>
      <c r="B1135" s="18">
        <v>43299</v>
      </c>
      <c r="C1135" t="s">
        <v>111</v>
      </c>
      <c r="D1135" t="s">
        <v>106</v>
      </c>
      <c r="E1135">
        <v>6</v>
      </c>
      <c r="F1135">
        <v>150</v>
      </c>
      <c r="G1135">
        <v>900</v>
      </c>
      <c r="H1135">
        <v>0.03</v>
      </c>
      <c r="I1135">
        <v>27</v>
      </c>
      <c r="J1135" t="s">
        <v>107</v>
      </c>
    </row>
    <row r="1136" spans="1:10" x14ac:dyDescent="0.25">
      <c r="A1136" t="s">
        <v>1260</v>
      </c>
      <c r="B1136" s="18">
        <v>43299</v>
      </c>
      <c r="C1136" t="s">
        <v>108</v>
      </c>
      <c r="D1136" t="s">
        <v>106</v>
      </c>
      <c r="E1136">
        <v>14</v>
      </c>
      <c r="F1136">
        <v>16</v>
      </c>
      <c r="G1136">
        <v>224</v>
      </c>
      <c r="H1136">
        <v>0.12</v>
      </c>
      <c r="I1136">
        <v>26.88</v>
      </c>
      <c r="J1136" t="s">
        <v>100</v>
      </c>
    </row>
    <row r="1137" spans="1:10" x14ac:dyDescent="0.25">
      <c r="A1137" t="s">
        <v>1261</v>
      </c>
      <c r="B1137" s="18">
        <v>43299</v>
      </c>
      <c r="C1137" t="s">
        <v>95</v>
      </c>
      <c r="D1137" t="s">
        <v>104</v>
      </c>
      <c r="E1137">
        <v>6</v>
      </c>
      <c r="F1137">
        <v>80</v>
      </c>
      <c r="G1137">
        <v>480</v>
      </c>
      <c r="H1137">
        <v>0.09</v>
      </c>
      <c r="I1137">
        <v>43.199999999999996</v>
      </c>
      <c r="J1137" t="s">
        <v>102</v>
      </c>
    </row>
    <row r="1138" spans="1:10" x14ac:dyDescent="0.25">
      <c r="A1138" t="s">
        <v>1262</v>
      </c>
      <c r="B1138" s="18">
        <v>43299</v>
      </c>
      <c r="C1138" t="s">
        <v>98</v>
      </c>
      <c r="D1138" t="s">
        <v>109</v>
      </c>
      <c r="E1138">
        <v>23</v>
      </c>
      <c r="F1138">
        <v>40</v>
      </c>
      <c r="G1138">
        <v>920</v>
      </c>
      <c r="H1138">
        <v>0.04</v>
      </c>
      <c r="I1138">
        <v>36.800000000000004</v>
      </c>
      <c r="J1138" t="s">
        <v>103</v>
      </c>
    </row>
    <row r="1139" spans="1:10" x14ac:dyDescent="0.25">
      <c r="A1139" t="s">
        <v>1263</v>
      </c>
      <c r="B1139" s="18">
        <v>43299</v>
      </c>
      <c r="C1139" t="s">
        <v>98</v>
      </c>
      <c r="D1139" t="s">
        <v>104</v>
      </c>
      <c r="E1139">
        <v>12</v>
      </c>
      <c r="F1139">
        <v>40</v>
      </c>
      <c r="G1139">
        <v>480</v>
      </c>
      <c r="H1139">
        <v>0.02</v>
      </c>
      <c r="I1139">
        <v>9.6</v>
      </c>
      <c r="J1139" t="s">
        <v>105</v>
      </c>
    </row>
    <row r="1140" spans="1:10" x14ac:dyDescent="0.25">
      <c r="A1140" t="s">
        <v>1264</v>
      </c>
      <c r="B1140" s="18">
        <v>43299</v>
      </c>
      <c r="C1140" t="s">
        <v>98</v>
      </c>
      <c r="D1140" t="s">
        <v>106</v>
      </c>
      <c r="E1140">
        <v>22</v>
      </c>
      <c r="F1140">
        <v>40</v>
      </c>
      <c r="G1140">
        <v>880</v>
      </c>
      <c r="H1140">
        <v>0.01</v>
      </c>
      <c r="I1140">
        <v>8.8000000000000007</v>
      </c>
      <c r="J1140" t="s">
        <v>107</v>
      </c>
    </row>
    <row r="1141" spans="1:10" x14ac:dyDescent="0.25">
      <c r="A1141" t="s">
        <v>1265</v>
      </c>
      <c r="B1141" s="18">
        <v>43299</v>
      </c>
      <c r="C1141" t="s">
        <v>111</v>
      </c>
      <c r="D1141" t="s">
        <v>106</v>
      </c>
      <c r="E1141">
        <v>6</v>
      </c>
      <c r="F1141">
        <v>150</v>
      </c>
      <c r="G1141">
        <v>900</v>
      </c>
      <c r="H1141">
        <v>0.03</v>
      </c>
      <c r="I1141">
        <v>27</v>
      </c>
      <c r="J1141" t="s">
        <v>110</v>
      </c>
    </row>
    <row r="1142" spans="1:10" x14ac:dyDescent="0.25">
      <c r="A1142" t="s">
        <v>1266</v>
      </c>
      <c r="B1142" s="18">
        <v>43299</v>
      </c>
      <c r="C1142" t="s">
        <v>108</v>
      </c>
      <c r="D1142" t="s">
        <v>109</v>
      </c>
      <c r="E1142">
        <v>19</v>
      </c>
      <c r="F1142">
        <v>16</v>
      </c>
      <c r="G1142">
        <v>304</v>
      </c>
      <c r="H1142">
        <v>0.02</v>
      </c>
      <c r="I1142">
        <v>6.08</v>
      </c>
      <c r="J1142" t="s">
        <v>112</v>
      </c>
    </row>
    <row r="1143" spans="1:10" x14ac:dyDescent="0.25">
      <c r="A1143" t="s">
        <v>1267</v>
      </c>
      <c r="B1143" s="18">
        <v>43299</v>
      </c>
      <c r="C1143" t="s">
        <v>98</v>
      </c>
      <c r="D1143" t="s">
        <v>104</v>
      </c>
      <c r="E1143">
        <v>2</v>
      </c>
      <c r="F1143">
        <v>40</v>
      </c>
      <c r="G1143">
        <v>80</v>
      </c>
      <c r="H1143">
        <v>0.02</v>
      </c>
      <c r="I1143">
        <v>1.6</v>
      </c>
      <c r="J1143" t="s">
        <v>113</v>
      </c>
    </row>
    <row r="1144" spans="1:10" x14ac:dyDescent="0.25">
      <c r="A1144" t="s">
        <v>1268</v>
      </c>
      <c r="B1144" s="18">
        <v>43300</v>
      </c>
      <c r="C1144" t="s">
        <v>98</v>
      </c>
      <c r="D1144" t="s">
        <v>106</v>
      </c>
      <c r="E1144">
        <v>22</v>
      </c>
      <c r="F1144">
        <v>40</v>
      </c>
      <c r="G1144">
        <v>880</v>
      </c>
      <c r="H1144">
        <v>0.01</v>
      </c>
      <c r="I1144">
        <v>8.8000000000000007</v>
      </c>
      <c r="J1144" t="s">
        <v>114</v>
      </c>
    </row>
    <row r="1145" spans="1:10" x14ac:dyDescent="0.25">
      <c r="A1145" t="s">
        <v>1269</v>
      </c>
      <c r="B1145" s="18">
        <v>43300</v>
      </c>
      <c r="C1145" t="s">
        <v>101</v>
      </c>
      <c r="D1145" t="s">
        <v>106</v>
      </c>
      <c r="E1145">
        <v>3</v>
      </c>
      <c r="F1145">
        <v>230</v>
      </c>
      <c r="G1145">
        <v>690</v>
      </c>
      <c r="H1145">
        <v>0.01</v>
      </c>
      <c r="I1145">
        <v>6.9</v>
      </c>
      <c r="J1145" t="s">
        <v>115</v>
      </c>
    </row>
    <row r="1146" spans="1:10" x14ac:dyDescent="0.25">
      <c r="A1146" t="s">
        <v>1270</v>
      </c>
      <c r="B1146" s="18">
        <v>43300</v>
      </c>
      <c r="C1146" t="s">
        <v>98</v>
      </c>
      <c r="D1146" t="s">
        <v>106</v>
      </c>
      <c r="E1146">
        <v>23</v>
      </c>
      <c r="F1146">
        <v>40</v>
      </c>
      <c r="G1146">
        <v>920</v>
      </c>
      <c r="H1146">
        <v>0.06</v>
      </c>
      <c r="I1146">
        <v>55.199999999999996</v>
      </c>
      <c r="J1146" t="s">
        <v>116</v>
      </c>
    </row>
    <row r="1147" spans="1:10" x14ac:dyDescent="0.25">
      <c r="A1147" t="s">
        <v>1271</v>
      </c>
      <c r="B1147" s="18">
        <v>43300</v>
      </c>
      <c r="C1147" t="s">
        <v>98</v>
      </c>
      <c r="D1147" t="s">
        <v>109</v>
      </c>
      <c r="E1147">
        <v>5</v>
      </c>
      <c r="F1147">
        <v>40</v>
      </c>
      <c r="G1147">
        <v>200</v>
      </c>
      <c r="H1147">
        <v>0.03</v>
      </c>
      <c r="I1147">
        <v>6</v>
      </c>
      <c r="J1147" t="s">
        <v>97</v>
      </c>
    </row>
    <row r="1148" spans="1:10" x14ac:dyDescent="0.25">
      <c r="A1148" t="s">
        <v>1272</v>
      </c>
      <c r="B1148" s="18">
        <v>43300</v>
      </c>
      <c r="C1148" t="s">
        <v>95</v>
      </c>
      <c r="D1148" t="s">
        <v>96</v>
      </c>
      <c r="E1148">
        <v>8</v>
      </c>
      <c r="F1148">
        <v>80</v>
      </c>
      <c r="G1148">
        <v>640</v>
      </c>
      <c r="H1148">
        <v>0.08</v>
      </c>
      <c r="I1148">
        <v>51.2</v>
      </c>
      <c r="J1148" t="s">
        <v>100</v>
      </c>
    </row>
    <row r="1149" spans="1:10" x14ac:dyDescent="0.25">
      <c r="A1149" t="s">
        <v>1273</v>
      </c>
      <c r="B1149" s="18">
        <v>43300</v>
      </c>
      <c r="C1149" t="s">
        <v>98</v>
      </c>
      <c r="D1149" t="s">
        <v>104</v>
      </c>
      <c r="E1149">
        <v>18</v>
      </c>
      <c r="F1149">
        <v>40</v>
      </c>
      <c r="G1149">
        <v>720</v>
      </c>
      <c r="H1149">
        <v>0.03</v>
      </c>
      <c r="I1149">
        <v>21.599999999999998</v>
      </c>
      <c r="J1149" t="s">
        <v>102</v>
      </c>
    </row>
    <row r="1150" spans="1:10" x14ac:dyDescent="0.25">
      <c r="A1150" t="s">
        <v>1274</v>
      </c>
      <c r="B1150" s="18">
        <v>43300</v>
      </c>
      <c r="C1150" t="s">
        <v>98</v>
      </c>
      <c r="D1150" t="s">
        <v>109</v>
      </c>
      <c r="E1150">
        <v>20</v>
      </c>
      <c r="F1150">
        <v>40</v>
      </c>
      <c r="G1150">
        <v>800</v>
      </c>
      <c r="H1150">
        <v>0.1</v>
      </c>
      <c r="I1150">
        <v>80</v>
      </c>
      <c r="J1150" t="s">
        <v>103</v>
      </c>
    </row>
    <row r="1151" spans="1:10" x14ac:dyDescent="0.25">
      <c r="A1151" t="s">
        <v>1275</v>
      </c>
      <c r="B1151" s="18">
        <v>43300</v>
      </c>
      <c r="C1151" t="s">
        <v>98</v>
      </c>
      <c r="D1151" t="s">
        <v>104</v>
      </c>
      <c r="E1151">
        <v>2</v>
      </c>
      <c r="F1151">
        <v>40</v>
      </c>
      <c r="G1151">
        <v>80</v>
      </c>
      <c r="H1151">
        <v>0.03</v>
      </c>
      <c r="I1151">
        <v>2.4</v>
      </c>
      <c r="J1151" t="s">
        <v>105</v>
      </c>
    </row>
    <row r="1152" spans="1:10" x14ac:dyDescent="0.25">
      <c r="A1152" t="s">
        <v>1276</v>
      </c>
      <c r="B1152" s="18">
        <v>43300</v>
      </c>
      <c r="C1152" t="s">
        <v>101</v>
      </c>
      <c r="D1152" t="s">
        <v>96</v>
      </c>
      <c r="E1152">
        <v>15</v>
      </c>
      <c r="F1152">
        <v>230</v>
      </c>
      <c r="G1152">
        <v>3450</v>
      </c>
      <c r="H1152">
        <v>0.05</v>
      </c>
      <c r="I1152">
        <v>172.5</v>
      </c>
      <c r="J1152" t="s">
        <v>107</v>
      </c>
    </row>
    <row r="1153" spans="1:10" x14ac:dyDescent="0.25">
      <c r="A1153" t="s">
        <v>1277</v>
      </c>
      <c r="B1153" s="18">
        <v>43300</v>
      </c>
      <c r="C1153" t="s">
        <v>111</v>
      </c>
      <c r="D1153" t="s">
        <v>106</v>
      </c>
      <c r="E1153">
        <v>15</v>
      </c>
      <c r="F1153">
        <v>150</v>
      </c>
      <c r="G1153">
        <v>2250</v>
      </c>
      <c r="H1153">
        <v>0.08</v>
      </c>
      <c r="I1153">
        <v>180</v>
      </c>
      <c r="J1153" t="s">
        <v>100</v>
      </c>
    </row>
    <row r="1154" spans="1:10" x14ac:dyDescent="0.25">
      <c r="A1154" t="s">
        <v>1278</v>
      </c>
      <c r="B1154" s="18">
        <v>43300</v>
      </c>
      <c r="C1154" t="s">
        <v>111</v>
      </c>
      <c r="D1154" t="s">
        <v>106</v>
      </c>
      <c r="E1154">
        <v>22</v>
      </c>
      <c r="F1154">
        <v>150</v>
      </c>
      <c r="G1154">
        <v>3300</v>
      </c>
      <c r="H1154">
        <v>0.05</v>
      </c>
      <c r="I1154">
        <v>165</v>
      </c>
      <c r="J1154" t="s">
        <v>102</v>
      </c>
    </row>
    <row r="1155" spans="1:10" x14ac:dyDescent="0.25">
      <c r="A1155" t="s">
        <v>1279</v>
      </c>
      <c r="B1155" s="18">
        <v>43300</v>
      </c>
      <c r="C1155" t="s">
        <v>101</v>
      </c>
      <c r="D1155" t="s">
        <v>99</v>
      </c>
      <c r="E1155">
        <v>19</v>
      </c>
      <c r="F1155">
        <v>230</v>
      </c>
      <c r="G1155">
        <v>4370</v>
      </c>
      <c r="H1155">
        <v>0.11</v>
      </c>
      <c r="I1155">
        <v>480.7</v>
      </c>
      <c r="J1155" t="s">
        <v>103</v>
      </c>
    </row>
    <row r="1156" spans="1:10" x14ac:dyDescent="0.25">
      <c r="A1156" t="s">
        <v>1280</v>
      </c>
      <c r="B1156" s="18">
        <v>43300</v>
      </c>
      <c r="C1156" t="s">
        <v>95</v>
      </c>
      <c r="D1156" t="s">
        <v>99</v>
      </c>
      <c r="E1156">
        <v>10</v>
      </c>
      <c r="F1156">
        <v>80</v>
      </c>
      <c r="G1156">
        <v>800</v>
      </c>
      <c r="H1156">
        <v>0.11</v>
      </c>
      <c r="I1156">
        <v>88</v>
      </c>
      <c r="J1156" t="s">
        <v>105</v>
      </c>
    </row>
    <row r="1157" spans="1:10" x14ac:dyDescent="0.25">
      <c r="A1157" t="s">
        <v>1281</v>
      </c>
      <c r="B1157" s="18">
        <v>43300</v>
      </c>
      <c r="C1157" t="s">
        <v>98</v>
      </c>
      <c r="D1157" t="s">
        <v>106</v>
      </c>
      <c r="E1157">
        <v>18</v>
      </c>
      <c r="F1157">
        <v>40</v>
      </c>
      <c r="G1157">
        <v>720</v>
      </c>
      <c r="H1157">
        <v>0.06</v>
      </c>
      <c r="I1157">
        <v>43.199999999999996</v>
      </c>
      <c r="J1157" t="s">
        <v>107</v>
      </c>
    </row>
    <row r="1158" spans="1:10" x14ac:dyDescent="0.25">
      <c r="A1158" t="s">
        <v>1282</v>
      </c>
      <c r="B1158" s="18">
        <v>43300</v>
      </c>
      <c r="C1158" t="s">
        <v>95</v>
      </c>
      <c r="D1158" t="s">
        <v>106</v>
      </c>
      <c r="E1158">
        <v>16</v>
      </c>
      <c r="F1158">
        <v>80</v>
      </c>
      <c r="G1158">
        <v>1280</v>
      </c>
      <c r="H1158">
        <v>0.05</v>
      </c>
      <c r="I1158">
        <v>64</v>
      </c>
      <c r="J1158" t="s">
        <v>110</v>
      </c>
    </row>
    <row r="1159" spans="1:10" x14ac:dyDescent="0.25">
      <c r="A1159" t="s">
        <v>1283</v>
      </c>
      <c r="B1159" s="18">
        <v>43300</v>
      </c>
      <c r="C1159" t="s">
        <v>111</v>
      </c>
      <c r="D1159" t="s">
        <v>109</v>
      </c>
      <c r="E1159">
        <v>17</v>
      </c>
      <c r="F1159">
        <v>150</v>
      </c>
      <c r="G1159">
        <v>2550</v>
      </c>
      <c r="H1159">
        <v>0.02</v>
      </c>
      <c r="I1159">
        <v>51</v>
      </c>
      <c r="J1159" t="s">
        <v>112</v>
      </c>
    </row>
    <row r="1160" spans="1:10" x14ac:dyDescent="0.25">
      <c r="A1160" t="s">
        <v>1284</v>
      </c>
      <c r="B1160" s="18">
        <v>43301</v>
      </c>
      <c r="C1160" t="s">
        <v>101</v>
      </c>
      <c r="D1160" t="s">
        <v>96</v>
      </c>
      <c r="E1160">
        <v>8</v>
      </c>
      <c r="F1160">
        <v>230</v>
      </c>
      <c r="G1160">
        <v>1840</v>
      </c>
      <c r="H1160">
        <v>0.03</v>
      </c>
      <c r="I1160">
        <v>55.199999999999996</v>
      </c>
      <c r="J1160" t="s">
        <v>113</v>
      </c>
    </row>
    <row r="1161" spans="1:10" x14ac:dyDescent="0.25">
      <c r="A1161" t="s">
        <v>1285</v>
      </c>
      <c r="B1161" s="18">
        <v>43301</v>
      </c>
      <c r="C1161" t="s">
        <v>95</v>
      </c>
      <c r="D1161" t="s">
        <v>106</v>
      </c>
      <c r="E1161">
        <v>11</v>
      </c>
      <c r="F1161">
        <v>80</v>
      </c>
      <c r="G1161">
        <v>880</v>
      </c>
      <c r="H1161">
        <v>0.01</v>
      </c>
      <c r="I1161">
        <v>8.8000000000000007</v>
      </c>
      <c r="J1161" t="s">
        <v>114</v>
      </c>
    </row>
    <row r="1162" spans="1:10" x14ac:dyDescent="0.25">
      <c r="A1162" t="s">
        <v>1286</v>
      </c>
      <c r="B1162" s="18">
        <v>43301</v>
      </c>
      <c r="C1162" t="s">
        <v>98</v>
      </c>
      <c r="D1162" t="s">
        <v>96</v>
      </c>
      <c r="E1162">
        <v>5</v>
      </c>
      <c r="F1162">
        <v>40</v>
      </c>
      <c r="G1162">
        <v>200</v>
      </c>
      <c r="H1162">
        <v>0.06</v>
      </c>
      <c r="I1162">
        <v>12</v>
      </c>
      <c r="J1162" t="s">
        <v>115</v>
      </c>
    </row>
    <row r="1163" spans="1:10" x14ac:dyDescent="0.25">
      <c r="A1163" t="s">
        <v>1287</v>
      </c>
      <c r="B1163" s="18">
        <v>43301</v>
      </c>
      <c r="C1163" t="s">
        <v>98</v>
      </c>
      <c r="D1163" t="s">
        <v>109</v>
      </c>
      <c r="E1163">
        <v>11</v>
      </c>
      <c r="F1163">
        <v>40</v>
      </c>
      <c r="G1163">
        <v>440</v>
      </c>
      <c r="H1163">
        <v>0.05</v>
      </c>
      <c r="I1163">
        <v>22</v>
      </c>
      <c r="J1163" t="s">
        <v>116</v>
      </c>
    </row>
    <row r="1164" spans="1:10" x14ac:dyDescent="0.25">
      <c r="A1164" t="s">
        <v>1288</v>
      </c>
      <c r="B1164" s="18">
        <v>43301</v>
      </c>
      <c r="C1164" t="s">
        <v>111</v>
      </c>
      <c r="D1164" t="s">
        <v>106</v>
      </c>
      <c r="E1164">
        <v>20</v>
      </c>
      <c r="F1164">
        <v>150</v>
      </c>
      <c r="G1164">
        <v>3000</v>
      </c>
      <c r="H1164">
        <v>0.1</v>
      </c>
      <c r="I1164">
        <v>300</v>
      </c>
      <c r="J1164" t="s">
        <v>97</v>
      </c>
    </row>
    <row r="1165" spans="1:10" x14ac:dyDescent="0.25">
      <c r="A1165" t="s">
        <v>1289</v>
      </c>
      <c r="B1165" s="18">
        <v>43301</v>
      </c>
      <c r="C1165" t="s">
        <v>111</v>
      </c>
      <c r="D1165" t="s">
        <v>104</v>
      </c>
      <c r="E1165">
        <v>11</v>
      </c>
      <c r="F1165">
        <v>150</v>
      </c>
      <c r="G1165">
        <v>1650</v>
      </c>
      <c r="H1165">
        <v>0.11</v>
      </c>
      <c r="I1165">
        <v>181.5</v>
      </c>
      <c r="J1165" t="s">
        <v>100</v>
      </c>
    </row>
    <row r="1166" spans="1:10" x14ac:dyDescent="0.25">
      <c r="A1166" t="s">
        <v>1290</v>
      </c>
      <c r="B1166" s="18">
        <v>43301</v>
      </c>
      <c r="C1166" t="s">
        <v>95</v>
      </c>
      <c r="D1166" t="s">
        <v>106</v>
      </c>
      <c r="E1166">
        <v>2</v>
      </c>
      <c r="F1166">
        <v>80</v>
      </c>
      <c r="G1166">
        <v>160</v>
      </c>
      <c r="H1166">
        <v>0.08</v>
      </c>
      <c r="I1166">
        <v>12.8</v>
      </c>
      <c r="J1166" t="s">
        <v>102</v>
      </c>
    </row>
    <row r="1167" spans="1:10" x14ac:dyDescent="0.25">
      <c r="A1167" t="s">
        <v>1291</v>
      </c>
      <c r="B1167" s="18">
        <v>43301</v>
      </c>
      <c r="C1167" t="s">
        <v>111</v>
      </c>
      <c r="D1167" t="s">
        <v>99</v>
      </c>
      <c r="E1167">
        <v>16</v>
      </c>
      <c r="F1167">
        <v>150</v>
      </c>
      <c r="G1167">
        <v>2400</v>
      </c>
      <c r="H1167">
        <v>0.08</v>
      </c>
      <c r="I1167">
        <v>192</v>
      </c>
      <c r="J1167" t="s">
        <v>103</v>
      </c>
    </row>
    <row r="1168" spans="1:10" x14ac:dyDescent="0.25">
      <c r="A1168" t="s">
        <v>1292</v>
      </c>
      <c r="B1168" s="18">
        <v>43301</v>
      </c>
      <c r="C1168" t="s">
        <v>108</v>
      </c>
      <c r="D1168" t="s">
        <v>96</v>
      </c>
      <c r="E1168">
        <v>20</v>
      </c>
      <c r="F1168">
        <v>16</v>
      </c>
      <c r="G1168">
        <v>320</v>
      </c>
      <c r="H1168">
        <v>0.11</v>
      </c>
      <c r="I1168">
        <v>35.200000000000003</v>
      </c>
      <c r="J1168" t="s">
        <v>105</v>
      </c>
    </row>
    <row r="1169" spans="1:10" x14ac:dyDescent="0.25">
      <c r="A1169" t="s">
        <v>1293</v>
      </c>
      <c r="B1169" s="18">
        <v>43301</v>
      </c>
      <c r="C1169" t="s">
        <v>101</v>
      </c>
      <c r="D1169" t="s">
        <v>104</v>
      </c>
      <c r="E1169">
        <v>2</v>
      </c>
      <c r="F1169">
        <v>230</v>
      </c>
      <c r="G1169">
        <v>460</v>
      </c>
      <c r="H1169">
        <v>0.09</v>
      </c>
      <c r="I1169">
        <v>41.4</v>
      </c>
      <c r="J1169" t="s">
        <v>107</v>
      </c>
    </row>
    <row r="1170" spans="1:10" x14ac:dyDescent="0.25">
      <c r="A1170" t="s">
        <v>1294</v>
      </c>
      <c r="B1170" s="18">
        <v>43301</v>
      </c>
      <c r="C1170" t="s">
        <v>111</v>
      </c>
      <c r="D1170" t="s">
        <v>96</v>
      </c>
      <c r="E1170">
        <v>20</v>
      </c>
      <c r="F1170">
        <v>150</v>
      </c>
      <c r="G1170">
        <v>3000</v>
      </c>
      <c r="H1170">
        <v>0.04</v>
      </c>
      <c r="I1170">
        <v>120</v>
      </c>
      <c r="J1170" t="s">
        <v>100</v>
      </c>
    </row>
    <row r="1171" spans="1:10" x14ac:dyDescent="0.25">
      <c r="A1171" t="s">
        <v>1295</v>
      </c>
      <c r="B1171" s="18">
        <v>43301</v>
      </c>
      <c r="C1171" t="s">
        <v>111</v>
      </c>
      <c r="D1171" t="s">
        <v>96</v>
      </c>
      <c r="E1171">
        <v>22</v>
      </c>
      <c r="F1171">
        <v>150</v>
      </c>
      <c r="G1171">
        <v>3300</v>
      </c>
      <c r="H1171">
        <v>7.0000000000000007E-2</v>
      </c>
      <c r="I1171">
        <v>231.00000000000003</v>
      </c>
      <c r="J1171" t="s">
        <v>102</v>
      </c>
    </row>
    <row r="1172" spans="1:10" x14ac:dyDescent="0.25">
      <c r="A1172" t="s">
        <v>1296</v>
      </c>
      <c r="B1172" s="18">
        <v>43301</v>
      </c>
      <c r="C1172" t="s">
        <v>111</v>
      </c>
      <c r="D1172" t="s">
        <v>104</v>
      </c>
      <c r="E1172">
        <v>22</v>
      </c>
      <c r="F1172">
        <v>150</v>
      </c>
      <c r="G1172">
        <v>3300</v>
      </c>
      <c r="H1172">
        <v>0.04</v>
      </c>
      <c r="I1172">
        <v>132</v>
      </c>
      <c r="J1172" t="s">
        <v>103</v>
      </c>
    </row>
    <row r="1173" spans="1:10" x14ac:dyDescent="0.25">
      <c r="A1173" t="s">
        <v>1297</v>
      </c>
      <c r="B1173" s="18">
        <v>43301</v>
      </c>
      <c r="C1173" t="s">
        <v>98</v>
      </c>
      <c r="D1173" t="s">
        <v>96</v>
      </c>
      <c r="E1173">
        <v>23</v>
      </c>
      <c r="F1173">
        <v>40</v>
      </c>
      <c r="G1173">
        <v>920</v>
      </c>
      <c r="H1173">
        <v>7.0000000000000007E-2</v>
      </c>
      <c r="I1173">
        <v>64.400000000000006</v>
      </c>
      <c r="J1173" t="s">
        <v>105</v>
      </c>
    </row>
    <row r="1174" spans="1:10" x14ac:dyDescent="0.25">
      <c r="A1174" t="s">
        <v>1298</v>
      </c>
      <c r="B1174" s="18">
        <v>43302</v>
      </c>
      <c r="C1174" t="s">
        <v>108</v>
      </c>
      <c r="D1174" t="s">
        <v>104</v>
      </c>
      <c r="E1174">
        <v>11</v>
      </c>
      <c r="F1174">
        <v>16</v>
      </c>
      <c r="G1174">
        <v>176</v>
      </c>
      <c r="H1174">
        <v>0.04</v>
      </c>
      <c r="I1174">
        <v>7.04</v>
      </c>
      <c r="J1174" t="s">
        <v>107</v>
      </c>
    </row>
    <row r="1175" spans="1:10" x14ac:dyDescent="0.25">
      <c r="A1175" t="s">
        <v>1299</v>
      </c>
      <c r="B1175" s="18">
        <v>43302</v>
      </c>
      <c r="C1175" t="s">
        <v>101</v>
      </c>
      <c r="D1175" t="s">
        <v>99</v>
      </c>
      <c r="E1175">
        <v>11</v>
      </c>
      <c r="F1175">
        <v>230</v>
      </c>
      <c r="G1175">
        <v>2530</v>
      </c>
      <c r="H1175">
        <v>0.1</v>
      </c>
      <c r="I1175">
        <v>253</v>
      </c>
      <c r="J1175" t="s">
        <v>110</v>
      </c>
    </row>
    <row r="1176" spans="1:10" x14ac:dyDescent="0.25">
      <c r="A1176" t="s">
        <v>1300</v>
      </c>
      <c r="B1176" s="18">
        <v>43302</v>
      </c>
      <c r="C1176" t="s">
        <v>101</v>
      </c>
      <c r="D1176" t="s">
        <v>96</v>
      </c>
      <c r="E1176">
        <v>7</v>
      </c>
      <c r="F1176">
        <v>230</v>
      </c>
      <c r="G1176">
        <v>1610</v>
      </c>
      <c r="H1176">
        <v>0.08</v>
      </c>
      <c r="I1176">
        <v>128.80000000000001</v>
      </c>
      <c r="J1176" t="s">
        <v>112</v>
      </c>
    </row>
    <row r="1177" spans="1:10" x14ac:dyDescent="0.25">
      <c r="A1177" t="s">
        <v>1301</v>
      </c>
      <c r="B1177" s="18">
        <v>43302</v>
      </c>
      <c r="C1177" t="s">
        <v>101</v>
      </c>
      <c r="D1177" t="s">
        <v>106</v>
      </c>
      <c r="E1177">
        <v>16</v>
      </c>
      <c r="F1177">
        <v>230</v>
      </c>
      <c r="G1177">
        <v>3680</v>
      </c>
      <c r="H1177">
        <v>0.11</v>
      </c>
      <c r="I1177">
        <v>404.8</v>
      </c>
      <c r="J1177" t="s">
        <v>114</v>
      </c>
    </row>
    <row r="1178" spans="1:10" x14ac:dyDescent="0.25">
      <c r="A1178" t="s">
        <v>1302</v>
      </c>
      <c r="B1178" s="18">
        <v>43302</v>
      </c>
      <c r="C1178" t="s">
        <v>101</v>
      </c>
      <c r="D1178" t="s">
        <v>109</v>
      </c>
      <c r="E1178">
        <v>20</v>
      </c>
      <c r="F1178">
        <v>230</v>
      </c>
      <c r="G1178">
        <v>4600</v>
      </c>
      <c r="H1178">
        <v>0.09</v>
      </c>
      <c r="I1178">
        <v>414</v>
      </c>
      <c r="J1178" t="s">
        <v>115</v>
      </c>
    </row>
    <row r="1179" spans="1:10" x14ac:dyDescent="0.25">
      <c r="A1179" t="s">
        <v>1303</v>
      </c>
      <c r="B1179" s="18">
        <v>43302</v>
      </c>
      <c r="C1179" t="s">
        <v>98</v>
      </c>
      <c r="D1179" t="s">
        <v>104</v>
      </c>
      <c r="E1179">
        <v>20</v>
      </c>
      <c r="F1179">
        <v>40</v>
      </c>
      <c r="G1179">
        <v>800</v>
      </c>
      <c r="H1179">
        <v>0.01</v>
      </c>
      <c r="I1179">
        <v>8</v>
      </c>
      <c r="J1179" t="s">
        <v>116</v>
      </c>
    </row>
    <row r="1180" spans="1:10" x14ac:dyDescent="0.25">
      <c r="A1180" t="s">
        <v>1304</v>
      </c>
      <c r="B1180" s="18">
        <v>43302</v>
      </c>
      <c r="C1180" t="s">
        <v>95</v>
      </c>
      <c r="D1180" t="s">
        <v>96</v>
      </c>
      <c r="E1180">
        <v>20</v>
      </c>
      <c r="F1180">
        <v>80</v>
      </c>
      <c r="G1180">
        <v>1600</v>
      </c>
      <c r="H1180">
        <v>0.01</v>
      </c>
      <c r="I1180">
        <v>16</v>
      </c>
      <c r="J1180" t="s">
        <v>97</v>
      </c>
    </row>
    <row r="1181" spans="1:10" x14ac:dyDescent="0.25">
      <c r="A1181" t="s">
        <v>1305</v>
      </c>
      <c r="B1181" s="18">
        <v>43302</v>
      </c>
      <c r="C1181" t="s">
        <v>111</v>
      </c>
      <c r="D1181" t="s">
        <v>96</v>
      </c>
      <c r="E1181">
        <v>5</v>
      </c>
      <c r="F1181">
        <v>150</v>
      </c>
      <c r="G1181">
        <v>750</v>
      </c>
      <c r="H1181">
        <v>0.11</v>
      </c>
      <c r="I1181">
        <v>82.5</v>
      </c>
      <c r="J1181" t="s">
        <v>100</v>
      </c>
    </row>
    <row r="1182" spans="1:10" x14ac:dyDescent="0.25">
      <c r="A1182" t="s">
        <v>1306</v>
      </c>
      <c r="B1182" s="18">
        <v>43303</v>
      </c>
      <c r="C1182" t="s">
        <v>98</v>
      </c>
      <c r="D1182" t="s">
        <v>104</v>
      </c>
      <c r="E1182">
        <v>4</v>
      </c>
      <c r="F1182">
        <v>40</v>
      </c>
      <c r="G1182">
        <v>160</v>
      </c>
      <c r="H1182">
        <v>0.11</v>
      </c>
      <c r="I1182">
        <v>17.600000000000001</v>
      </c>
      <c r="J1182" t="s">
        <v>102</v>
      </c>
    </row>
    <row r="1183" spans="1:10" x14ac:dyDescent="0.25">
      <c r="A1183" t="s">
        <v>1307</v>
      </c>
      <c r="B1183" s="18">
        <v>43303</v>
      </c>
      <c r="C1183" t="s">
        <v>108</v>
      </c>
      <c r="D1183" t="s">
        <v>96</v>
      </c>
      <c r="E1183">
        <v>7</v>
      </c>
      <c r="F1183">
        <v>16</v>
      </c>
      <c r="G1183">
        <v>112</v>
      </c>
      <c r="H1183">
        <v>0.12</v>
      </c>
      <c r="I1183">
        <v>13.44</v>
      </c>
      <c r="J1183" t="s">
        <v>103</v>
      </c>
    </row>
    <row r="1184" spans="1:10" x14ac:dyDescent="0.25">
      <c r="A1184" t="s">
        <v>1308</v>
      </c>
      <c r="B1184" s="18">
        <v>43303</v>
      </c>
      <c r="C1184" t="s">
        <v>108</v>
      </c>
      <c r="D1184" t="s">
        <v>99</v>
      </c>
      <c r="E1184">
        <v>22</v>
      </c>
      <c r="F1184">
        <v>16</v>
      </c>
      <c r="G1184">
        <v>352</v>
      </c>
      <c r="H1184">
        <v>0.01</v>
      </c>
      <c r="I1184">
        <v>3.52</v>
      </c>
      <c r="J1184" t="s">
        <v>105</v>
      </c>
    </row>
    <row r="1185" spans="1:10" x14ac:dyDescent="0.25">
      <c r="A1185" t="s">
        <v>1309</v>
      </c>
      <c r="B1185" s="18">
        <v>43303</v>
      </c>
      <c r="C1185" t="s">
        <v>98</v>
      </c>
      <c r="D1185" t="s">
        <v>106</v>
      </c>
      <c r="E1185">
        <v>15</v>
      </c>
      <c r="F1185">
        <v>40</v>
      </c>
      <c r="G1185">
        <v>600</v>
      </c>
      <c r="H1185">
        <v>0.03</v>
      </c>
      <c r="I1185">
        <v>18</v>
      </c>
      <c r="J1185" t="s">
        <v>107</v>
      </c>
    </row>
    <row r="1186" spans="1:10" x14ac:dyDescent="0.25">
      <c r="A1186" t="s">
        <v>1310</v>
      </c>
      <c r="B1186" s="18">
        <v>43303</v>
      </c>
      <c r="C1186" t="s">
        <v>95</v>
      </c>
      <c r="D1186" t="s">
        <v>99</v>
      </c>
      <c r="E1186">
        <v>14</v>
      </c>
      <c r="F1186">
        <v>80</v>
      </c>
      <c r="G1186">
        <v>1120</v>
      </c>
      <c r="H1186">
        <v>0.11</v>
      </c>
      <c r="I1186">
        <v>123.2</v>
      </c>
      <c r="J1186" t="s">
        <v>100</v>
      </c>
    </row>
    <row r="1187" spans="1:10" x14ac:dyDescent="0.25">
      <c r="A1187" t="s">
        <v>1311</v>
      </c>
      <c r="B1187" s="18">
        <v>43303</v>
      </c>
      <c r="C1187" t="s">
        <v>108</v>
      </c>
      <c r="D1187" t="s">
        <v>99</v>
      </c>
      <c r="E1187">
        <v>15</v>
      </c>
      <c r="F1187">
        <v>16</v>
      </c>
      <c r="G1187">
        <v>240</v>
      </c>
      <c r="H1187">
        <v>0.02</v>
      </c>
      <c r="I1187">
        <v>4.8</v>
      </c>
      <c r="J1187" t="s">
        <v>102</v>
      </c>
    </row>
    <row r="1188" spans="1:10" x14ac:dyDescent="0.25">
      <c r="A1188" t="s">
        <v>1312</v>
      </c>
      <c r="B1188" s="18">
        <v>43304</v>
      </c>
      <c r="C1188" t="s">
        <v>95</v>
      </c>
      <c r="D1188" t="s">
        <v>106</v>
      </c>
      <c r="E1188">
        <v>19</v>
      </c>
      <c r="F1188">
        <v>80</v>
      </c>
      <c r="G1188">
        <v>1520</v>
      </c>
      <c r="H1188">
        <v>0.02</v>
      </c>
      <c r="I1188">
        <v>30.400000000000002</v>
      </c>
      <c r="J1188" t="s">
        <v>103</v>
      </c>
    </row>
    <row r="1189" spans="1:10" x14ac:dyDescent="0.25">
      <c r="A1189" t="s">
        <v>1313</v>
      </c>
      <c r="B1189" s="18">
        <v>43304</v>
      </c>
      <c r="C1189" t="s">
        <v>98</v>
      </c>
      <c r="D1189" t="s">
        <v>109</v>
      </c>
      <c r="E1189">
        <v>20</v>
      </c>
      <c r="F1189">
        <v>40</v>
      </c>
      <c r="G1189">
        <v>800</v>
      </c>
      <c r="H1189">
        <v>0.05</v>
      </c>
      <c r="I1189">
        <v>40</v>
      </c>
      <c r="J1189" t="s">
        <v>105</v>
      </c>
    </row>
    <row r="1190" spans="1:10" x14ac:dyDescent="0.25">
      <c r="A1190" t="s">
        <v>1314</v>
      </c>
      <c r="B1190" s="18">
        <v>43304</v>
      </c>
      <c r="C1190" t="s">
        <v>98</v>
      </c>
      <c r="D1190" t="s">
        <v>106</v>
      </c>
      <c r="E1190">
        <v>11</v>
      </c>
      <c r="F1190">
        <v>40</v>
      </c>
      <c r="G1190">
        <v>440</v>
      </c>
      <c r="H1190">
        <v>0.06</v>
      </c>
      <c r="I1190">
        <v>26.4</v>
      </c>
      <c r="J1190" t="s">
        <v>107</v>
      </c>
    </row>
    <row r="1191" spans="1:10" x14ac:dyDescent="0.25">
      <c r="A1191" t="s">
        <v>1315</v>
      </c>
      <c r="B1191" s="18">
        <v>43304</v>
      </c>
      <c r="C1191" t="s">
        <v>111</v>
      </c>
      <c r="D1191" t="s">
        <v>104</v>
      </c>
      <c r="E1191">
        <v>11</v>
      </c>
      <c r="F1191">
        <v>150</v>
      </c>
      <c r="G1191">
        <v>1650</v>
      </c>
      <c r="H1191">
        <v>0.05</v>
      </c>
      <c r="I1191">
        <v>82.5</v>
      </c>
      <c r="J1191" t="s">
        <v>110</v>
      </c>
    </row>
    <row r="1192" spans="1:10" x14ac:dyDescent="0.25">
      <c r="A1192" t="s">
        <v>1316</v>
      </c>
      <c r="B1192" s="18">
        <v>43304</v>
      </c>
      <c r="C1192" t="s">
        <v>95</v>
      </c>
      <c r="D1192" t="s">
        <v>106</v>
      </c>
      <c r="E1192">
        <v>23</v>
      </c>
      <c r="F1192">
        <v>80</v>
      </c>
      <c r="G1192">
        <v>1840</v>
      </c>
      <c r="H1192">
        <v>0.11</v>
      </c>
      <c r="I1192">
        <v>202.4</v>
      </c>
      <c r="J1192" t="s">
        <v>112</v>
      </c>
    </row>
    <row r="1193" spans="1:10" x14ac:dyDescent="0.25">
      <c r="A1193" t="s">
        <v>1317</v>
      </c>
      <c r="B1193" s="18">
        <v>43304</v>
      </c>
      <c r="C1193" t="s">
        <v>95</v>
      </c>
      <c r="D1193" t="s">
        <v>96</v>
      </c>
      <c r="E1193">
        <v>8</v>
      </c>
      <c r="F1193">
        <v>80</v>
      </c>
      <c r="G1193">
        <v>640</v>
      </c>
      <c r="H1193">
        <v>0.09</v>
      </c>
      <c r="I1193">
        <v>57.599999999999994</v>
      </c>
      <c r="J1193" t="s">
        <v>113</v>
      </c>
    </row>
    <row r="1194" spans="1:10" x14ac:dyDescent="0.25">
      <c r="A1194" t="s">
        <v>1318</v>
      </c>
      <c r="B1194" s="18">
        <v>43304</v>
      </c>
      <c r="C1194" t="s">
        <v>98</v>
      </c>
      <c r="D1194" t="s">
        <v>106</v>
      </c>
      <c r="E1194">
        <v>9</v>
      </c>
      <c r="F1194">
        <v>40</v>
      </c>
      <c r="G1194">
        <v>360</v>
      </c>
      <c r="H1194">
        <v>0.06</v>
      </c>
      <c r="I1194">
        <v>21.599999999999998</v>
      </c>
      <c r="J1194" t="s">
        <v>114</v>
      </c>
    </row>
    <row r="1195" spans="1:10" x14ac:dyDescent="0.25">
      <c r="A1195" t="s">
        <v>1319</v>
      </c>
      <c r="B1195" s="18">
        <v>43304</v>
      </c>
      <c r="C1195" t="s">
        <v>101</v>
      </c>
      <c r="D1195" t="s">
        <v>109</v>
      </c>
      <c r="E1195">
        <v>13</v>
      </c>
      <c r="F1195">
        <v>230</v>
      </c>
      <c r="G1195">
        <v>2990</v>
      </c>
      <c r="H1195">
        <v>0.06</v>
      </c>
      <c r="I1195">
        <v>179.4</v>
      </c>
      <c r="J1195" t="s">
        <v>115</v>
      </c>
    </row>
    <row r="1196" spans="1:10" x14ac:dyDescent="0.25">
      <c r="A1196" t="s">
        <v>1320</v>
      </c>
      <c r="B1196" s="18">
        <v>43304</v>
      </c>
      <c r="C1196" t="s">
        <v>98</v>
      </c>
      <c r="D1196" t="s">
        <v>106</v>
      </c>
      <c r="E1196">
        <v>22</v>
      </c>
      <c r="F1196">
        <v>40</v>
      </c>
      <c r="G1196">
        <v>880</v>
      </c>
      <c r="H1196">
        <v>0.01</v>
      </c>
      <c r="I1196">
        <v>8.8000000000000007</v>
      </c>
      <c r="J1196" t="s">
        <v>116</v>
      </c>
    </row>
    <row r="1197" spans="1:10" x14ac:dyDescent="0.25">
      <c r="A1197" t="s">
        <v>1321</v>
      </c>
      <c r="B1197" s="18">
        <v>43304</v>
      </c>
      <c r="C1197" t="s">
        <v>108</v>
      </c>
      <c r="D1197" t="s">
        <v>109</v>
      </c>
      <c r="E1197">
        <v>14</v>
      </c>
      <c r="F1197">
        <v>16</v>
      </c>
      <c r="G1197">
        <v>224</v>
      </c>
      <c r="H1197">
        <v>0.06</v>
      </c>
      <c r="I1197">
        <v>13.44</v>
      </c>
      <c r="J1197" t="s">
        <v>97</v>
      </c>
    </row>
    <row r="1198" spans="1:10" x14ac:dyDescent="0.25">
      <c r="A1198" t="s">
        <v>1322</v>
      </c>
      <c r="B1198" s="18">
        <v>43305</v>
      </c>
      <c r="C1198" t="s">
        <v>95</v>
      </c>
      <c r="D1198" t="s">
        <v>99</v>
      </c>
      <c r="E1198">
        <v>5</v>
      </c>
      <c r="F1198">
        <v>80</v>
      </c>
      <c r="G1198">
        <v>400</v>
      </c>
      <c r="H1198">
        <v>0.04</v>
      </c>
      <c r="I1198">
        <v>16</v>
      </c>
      <c r="J1198" t="s">
        <v>100</v>
      </c>
    </row>
    <row r="1199" spans="1:10" x14ac:dyDescent="0.25">
      <c r="A1199" t="s">
        <v>1323</v>
      </c>
      <c r="B1199" s="18">
        <v>43305</v>
      </c>
      <c r="C1199" t="s">
        <v>111</v>
      </c>
      <c r="D1199" t="s">
        <v>109</v>
      </c>
      <c r="E1199">
        <v>18</v>
      </c>
      <c r="F1199">
        <v>150</v>
      </c>
      <c r="G1199">
        <v>2700</v>
      </c>
      <c r="H1199">
        <v>0.12</v>
      </c>
      <c r="I1199">
        <v>324</v>
      </c>
      <c r="J1199" t="s">
        <v>102</v>
      </c>
    </row>
    <row r="1200" spans="1:10" x14ac:dyDescent="0.25">
      <c r="A1200" t="s">
        <v>1324</v>
      </c>
      <c r="B1200" s="18">
        <v>43305</v>
      </c>
      <c r="C1200" t="s">
        <v>101</v>
      </c>
      <c r="D1200" t="s">
        <v>104</v>
      </c>
      <c r="E1200">
        <v>14</v>
      </c>
      <c r="F1200">
        <v>230</v>
      </c>
      <c r="G1200">
        <v>3220</v>
      </c>
      <c r="H1200">
        <v>0.12</v>
      </c>
      <c r="I1200">
        <v>386.4</v>
      </c>
      <c r="J1200" t="s">
        <v>103</v>
      </c>
    </row>
    <row r="1201" spans="1:10" x14ac:dyDescent="0.25">
      <c r="A1201" t="s">
        <v>1325</v>
      </c>
      <c r="B1201" s="18">
        <v>43305</v>
      </c>
      <c r="C1201" t="s">
        <v>101</v>
      </c>
      <c r="D1201" t="s">
        <v>109</v>
      </c>
      <c r="E1201">
        <v>20</v>
      </c>
      <c r="F1201">
        <v>230</v>
      </c>
      <c r="G1201">
        <v>4600</v>
      </c>
      <c r="H1201">
        <v>0.11</v>
      </c>
      <c r="I1201">
        <v>506</v>
      </c>
      <c r="J1201" t="s">
        <v>105</v>
      </c>
    </row>
    <row r="1202" spans="1:10" x14ac:dyDescent="0.25">
      <c r="A1202" t="s">
        <v>1326</v>
      </c>
      <c r="B1202" s="18">
        <v>43305</v>
      </c>
      <c r="C1202" t="s">
        <v>108</v>
      </c>
      <c r="D1202" t="s">
        <v>109</v>
      </c>
      <c r="E1202">
        <v>3</v>
      </c>
      <c r="F1202">
        <v>16</v>
      </c>
      <c r="G1202">
        <v>48</v>
      </c>
      <c r="H1202">
        <v>0.03</v>
      </c>
      <c r="I1202">
        <v>1.44</v>
      </c>
      <c r="J1202" t="s">
        <v>107</v>
      </c>
    </row>
    <row r="1203" spans="1:10" x14ac:dyDescent="0.25">
      <c r="A1203" t="s">
        <v>1327</v>
      </c>
      <c r="B1203" s="18">
        <v>43305</v>
      </c>
      <c r="C1203" t="s">
        <v>101</v>
      </c>
      <c r="D1203" t="s">
        <v>104</v>
      </c>
      <c r="E1203">
        <v>20</v>
      </c>
      <c r="F1203">
        <v>230</v>
      </c>
      <c r="G1203">
        <v>4600</v>
      </c>
      <c r="H1203">
        <v>0.06</v>
      </c>
      <c r="I1203">
        <v>276</v>
      </c>
      <c r="J1203" t="s">
        <v>100</v>
      </c>
    </row>
    <row r="1204" spans="1:10" x14ac:dyDescent="0.25">
      <c r="A1204" t="s">
        <v>1328</v>
      </c>
      <c r="B1204" s="18">
        <v>43305</v>
      </c>
      <c r="C1204" t="s">
        <v>95</v>
      </c>
      <c r="D1204" t="s">
        <v>109</v>
      </c>
      <c r="E1204">
        <v>9</v>
      </c>
      <c r="F1204">
        <v>80</v>
      </c>
      <c r="G1204">
        <v>720</v>
      </c>
      <c r="H1204">
        <v>0.02</v>
      </c>
      <c r="I1204">
        <v>14.4</v>
      </c>
      <c r="J1204" t="s">
        <v>102</v>
      </c>
    </row>
    <row r="1205" spans="1:10" x14ac:dyDescent="0.25">
      <c r="A1205" t="s">
        <v>1329</v>
      </c>
      <c r="B1205" s="18">
        <v>43305</v>
      </c>
      <c r="C1205" t="s">
        <v>108</v>
      </c>
      <c r="D1205" t="s">
        <v>106</v>
      </c>
      <c r="E1205">
        <v>22</v>
      </c>
      <c r="F1205">
        <v>16</v>
      </c>
      <c r="G1205">
        <v>352</v>
      </c>
      <c r="H1205">
        <v>0.03</v>
      </c>
      <c r="I1205">
        <v>10.559999999999999</v>
      </c>
      <c r="J1205" t="s">
        <v>103</v>
      </c>
    </row>
    <row r="1206" spans="1:10" x14ac:dyDescent="0.25">
      <c r="A1206" t="s">
        <v>1330</v>
      </c>
      <c r="B1206" s="18">
        <v>43305</v>
      </c>
      <c r="C1206" t="s">
        <v>95</v>
      </c>
      <c r="D1206" t="s">
        <v>99</v>
      </c>
      <c r="E1206">
        <v>15</v>
      </c>
      <c r="F1206">
        <v>80</v>
      </c>
      <c r="G1206">
        <v>1200</v>
      </c>
      <c r="H1206">
        <v>0.12</v>
      </c>
      <c r="I1206">
        <v>144</v>
      </c>
      <c r="J1206" t="s">
        <v>105</v>
      </c>
    </row>
    <row r="1207" spans="1:10" x14ac:dyDescent="0.25">
      <c r="A1207" t="s">
        <v>1331</v>
      </c>
      <c r="B1207" s="18">
        <v>43305</v>
      </c>
      <c r="C1207" t="s">
        <v>111</v>
      </c>
      <c r="D1207" t="s">
        <v>96</v>
      </c>
      <c r="E1207">
        <v>11</v>
      </c>
      <c r="F1207">
        <v>150</v>
      </c>
      <c r="G1207">
        <v>1650</v>
      </c>
      <c r="H1207">
        <v>0.05</v>
      </c>
      <c r="I1207">
        <v>82.5</v>
      </c>
      <c r="J1207" t="s">
        <v>107</v>
      </c>
    </row>
    <row r="1208" spans="1:10" x14ac:dyDescent="0.25">
      <c r="A1208" t="s">
        <v>1332</v>
      </c>
      <c r="B1208" s="18">
        <v>43305</v>
      </c>
      <c r="C1208" t="s">
        <v>101</v>
      </c>
      <c r="D1208" t="s">
        <v>106</v>
      </c>
      <c r="E1208">
        <v>11</v>
      </c>
      <c r="F1208">
        <v>230</v>
      </c>
      <c r="G1208">
        <v>2530</v>
      </c>
      <c r="H1208">
        <v>0.12</v>
      </c>
      <c r="I1208">
        <v>303.59999999999997</v>
      </c>
      <c r="J1208" t="s">
        <v>110</v>
      </c>
    </row>
    <row r="1209" spans="1:10" x14ac:dyDescent="0.25">
      <c r="A1209" t="s">
        <v>1333</v>
      </c>
      <c r="B1209" s="18">
        <v>43305</v>
      </c>
      <c r="C1209" t="s">
        <v>111</v>
      </c>
      <c r="D1209" t="s">
        <v>96</v>
      </c>
      <c r="E1209">
        <v>20</v>
      </c>
      <c r="F1209">
        <v>150</v>
      </c>
      <c r="G1209">
        <v>3000</v>
      </c>
      <c r="H1209">
        <v>0.01</v>
      </c>
      <c r="I1209">
        <v>30</v>
      </c>
      <c r="J1209" t="s">
        <v>112</v>
      </c>
    </row>
    <row r="1210" spans="1:10" x14ac:dyDescent="0.25">
      <c r="A1210" t="s">
        <v>1334</v>
      </c>
      <c r="B1210" s="18">
        <v>43305</v>
      </c>
      <c r="C1210" t="s">
        <v>98</v>
      </c>
      <c r="D1210" t="s">
        <v>104</v>
      </c>
      <c r="E1210">
        <v>11</v>
      </c>
      <c r="F1210">
        <v>40</v>
      </c>
      <c r="G1210">
        <v>440</v>
      </c>
      <c r="H1210">
        <v>0.12</v>
      </c>
      <c r="I1210">
        <v>52.8</v>
      </c>
      <c r="J1210" t="s">
        <v>113</v>
      </c>
    </row>
    <row r="1211" spans="1:10" x14ac:dyDescent="0.25">
      <c r="A1211" t="s">
        <v>1335</v>
      </c>
      <c r="B1211" s="18">
        <v>43306</v>
      </c>
      <c r="C1211" t="s">
        <v>101</v>
      </c>
      <c r="D1211" t="s">
        <v>104</v>
      </c>
      <c r="E1211">
        <v>12</v>
      </c>
      <c r="F1211">
        <v>230</v>
      </c>
      <c r="G1211">
        <v>2760</v>
      </c>
      <c r="H1211">
        <v>0.06</v>
      </c>
      <c r="I1211">
        <v>165.6</v>
      </c>
      <c r="J1211" t="s">
        <v>114</v>
      </c>
    </row>
    <row r="1212" spans="1:10" x14ac:dyDescent="0.25">
      <c r="A1212" t="s">
        <v>1336</v>
      </c>
      <c r="B1212" s="18">
        <v>43306</v>
      </c>
      <c r="C1212" t="s">
        <v>98</v>
      </c>
      <c r="D1212" t="s">
        <v>96</v>
      </c>
      <c r="E1212">
        <v>15</v>
      </c>
      <c r="F1212">
        <v>40</v>
      </c>
      <c r="G1212">
        <v>600</v>
      </c>
      <c r="H1212">
        <v>0.06</v>
      </c>
      <c r="I1212">
        <v>36</v>
      </c>
      <c r="J1212" t="s">
        <v>115</v>
      </c>
    </row>
    <row r="1213" spans="1:10" x14ac:dyDescent="0.25">
      <c r="A1213" t="s">
        <v>1337</v>
      </c>
      <c r="B1213" s="18">
        <v>43306</v>
      </c>
      <c r="C1213" t="s">
        <v>98</v>
      </c>
      <c r="D1213" t="s">
        <v>106</v>
      </c>
      <c r="E1213">
        <v>13</v>
      </c>
      <c r="F1213">
        <v>40</v>
      </c>
      <c r="G1213">
        <v>520</v>
      </c>
      <c r="H1213">
        <v>0.09</v>
      </c>
      <c r="I1213">
        <v>46.8</v>
      </c>
      <c r="J1213" t="s">
        <v>116</v>
      </c>
    </row>
    <row r="1214" spans="1:10" x14ac:dyDescent="0.25">
      <c r="A1214" t="s">
        <v>1338</v>
      </c>
      <c r="B1214" s="18">
        <v>43306</v>
      </c>
      <c r="C1214" t="s">
        <v>98</v>
      </c>
      <c r="D1214" t="s">
        <v>109</v>
      </c>
      <c r="E1214">
        <v>4</v>
      </c>
      <c r="F1214">
        <v>40</v>
      </c>
      <c r="G1214">
        <v>160</v>
      </c>
      <c r="H1214">
        <v>0.09</v>
      </c>
      <c r="I1214">
        <v>14.399999999999999</v>
      </c>
      <c r="J1214" t="s">
        <v>97</v>
      </c>
    </row>
    <row r="1215" spans="1:10" x14ac:dyDescent="0.25">
      <c r="A1215" t="s">
        <v>1339</v>
      </c>
      <c r="B1215" s="18">
        <v>43306</v>
      </c>
      <c r="C1215" t="s">
        <v>101</v>
      </c>
      <c r="D1215" t="s">
        <v>106</v>
      </c>
      <c r="E1215">
        <v>18</v>
      </c>
      <c r="F1215">
        <v>230</v>
      </c>
      <c r="G1215">
        <v>4140</v>
      </c>
      <c r="H1215">
        <v>0.01</v>
      </c>
      <c r="I1215">
        <v>41.4</v>
      </c>
      <c r="J1215" t="s">
        <v>100</v>
      </c>
    </row>
    <row r="1216" spans="1:10" x14ac:dyDescent="0.25">
      <c r="A1216" t="s">
        <v>1340</v>
      </c>
      <c r="B1216" s="18">
        <v>43306</v>
      </c>
      <c r="C1216" t="s">
        <v>108</v>
      </c>
      <c r="D1216" t="s">
        <v>96</v>
      </c>
      <c r="E1216">
        <v>7</v>
      </c>
      <c r="F1216">
        <v>16</v>
      </c>
      <c r="G1216">
        <v>112</v>
      </c>
      <c r="H1216">
        <v>0.02</v>
      </c>
      <c r="I1216">
        <v>2.2400000000000002</v>
      </c>
      <c r="J1216" t="s">
        <v>102</v>
      </c>
    </row>
    <row r="1217" spans="1:10" x14ac:dyDescent="0.25">
      <c r="A1217" t="s">
        <v>1341</v>
      </c>
      <c r="B1217" s="18">
        <v>43306</v>
      </c>
      <c r="C1217" t="s">
        <v>108</v>
      </c>
      <c r="D1217" t="s">
        <v>104</v>
      </c>
      <c r="E1217">
        <v>6</v>
      </c>
      <c r="F1217">
        <v>16</v>
      </c>
      <c r="G1217">
        <v>96</v>
      </c>
      <c r="H1217">
        <v>7.0000000000000007E-2</v>
      </c>
      <c r="I1217">
        <v>6.7200000000000006</v>
      </c>
      <c r="J1217" t="s">
        <v>103</v>
      </c>
    </row>
    <row r="1218" spans="1:10" x14ac:dyDescent="0.25">
      <c r="A1218" t="s">
        <v>1342</v>
      </c>
      <c r="B1218" s="18">
        <v>43306</v>
      </c>
      <c r="C1218" t="s">
        <v>101</v>
      </c>
      <c r="D1218" t="s">
        <v>106</v>
      </c>
      <c r="E1218">
        <v>8</v>
      </c>
      <c r="F1218">
        <v>230</v>
      </c>
      <c r="G1218">
        <v>1840</v>
      </c>
      <c r="H1218">
        <v>0.05</v>
      </c>
      <c r="I1218">
        <v>92</v>
      </c>
      <c r="J1218" t="s">
        <v>105</v>
      </c>
    </row>
    <row r="1219" spans="1:10" x14ac:dyDescent="0.25">
      <c r="A1219" t="s">
        <v>1343</v>
      </c>
      <c r="B1219" s="18">
        <v>43306</v>
      </c>
      <c r="C1219" t="s">
        <v>108</v>
      </c>
      <c r="D1219" t="s">
        <v>104</v>
      </c>
      <c r="E1219">
        <v>12</v>
      </c>
      <c r="F1219">
        <v>16</v>
      </c>
      <c r="G1219">
        <v>192</v>
      </c>
      <c r="H1219">
        <v>0.11</v>
      </c>
      <c r="I1219">
        <v>21.12</v>
      </c>
      <c r="J1219" t="s">
        <v>107</v>
      </c>
    </row>
    <row r="1220" spans="1:10" x14ac:dyDescent="0.25">
      <c r="A1220" t="s">
        <v>1344</v>
      </c>
      <c r="B1220" s="18">
        <v>43306</v>
      </c>
      <c r="C1220" t="s">
        <v>101</v>
      </c>
      <c r="D1220" t="s">
        <v>96</v>
      </c>
      <c r="E1220">
        <v>11</v>
      </c>
      <c r="F1220">
        <v>230</v>
      </c>
      <c r="G1220">
        <v>2530</v>
      </c>
      <c r="H1220">
        <v>0.02</v>
      </c>
      <c r="I1220">
        <v>50.6</v>
      </c>
      <c r="J1220" t="s">
        <v>100</v>
      </c>
    </row>
    <row r="1221" spans="1:10" x14ac:dyDescent="0.25">
      <c r="A1221" t="s">
        <v>1345</v>
      </c>
      <c r="B1221" s="18">
        <v>43306</v>
      </c>
      <c r="C1221" t="s">
        <v>108</v>
      </c>
      <c r="D1221" t="s">
        <v>104</v>
      </c>
      <c r="E1221">
        <v>3</v>
      </c>
      <c r="F1221">
        <v>16</v>
      </c>
      <c r="G1221">
        <v>48</v>
      </c>
      <c r="H1221">
        <v>0.05</v>
      </c>
      <c r="I1221">
        <v>2.4000000000000004</v>
      </c>
      <c r="J1221" t="s">
        <v>102</v>
      </c>
    </row>
    <row r="1222" spans="1:10" x14ac:dyDescent="0.25">
      <c r="A1222" t="s">
        <v>1346</v>
      </c>
      <c r="B1222" s="18">
        <v>43307</v>
      </c>
      <c r="C1222" t="s">
        <v>111</v>
      </c>
      <c r="D1222" t="s">
        <v>99</v>
      </c>
      <c r="E1222">
        <v>16</v>
      </c>
      <c r="F1222">
        <v>150</v>
      </c>
      <c r="G1222">
        <v>2400</v>
      </c>
      <c r="H1222">
        <v>0.05</v>
      </c>
      <c r="I1222">
        <v>120</v>
      </c>
      <c r="J1222" t="s">
        <v>103</v>
      </c>
    </row>
    <row r="1223" spans="1:10" x14ac:dyDescent="0.25">
      <c r="A1223" t="s">
        <v>1347</v>
      </c>
      <c r="B1223" s="18">
        <v>43307</v>
      </c>
      <c r="C1223" t="s">
        <v>101</v>
      </c>
      <c r="D1223" t="s">
        <v>106</v>
      </c>
      <c r="E1223">
        <v>8</v>
      </c>
      <c r="F1223">
        <v>230</v>
      </c>
      <c r="G1223">
        <v>1840</v>
      </c>
      <c r="H1223">
        <v>0.01</v>
      </c>
      <c r="I1223">
        <v>18.400000000000002</v>
      </c>
      <c r="J1223" t="s">
        <v>105</v>
      </c>
    </row>
    <row r="1224" spans="1:10" x14ac:dyDescent="0.25">
      <c r="A1224" t="s">
        <v>1348</v>
      </c>
      <c r="B1224" s="18">
        <v>43307</v>
      </c>
      <c r="C1224" t="s">
        <v>95</v>
      </c>
      <c r="D1224" t="s">
        <v>104</v>
      </c>
      <c r="E1224">
        <v>16</v>
      </c>
      <c r="F1224">
        <v>80</v>
      </c>
      <c r="G1224">
        <v>1280</v>
      </c>
      <c r="H1224">
        <v>0.04</v>
      </c>
      <c r="I1224">
        <v>51.2</v>
      </c>
      <c r="J1224" t="s">
        <v>107</v>
      </c>
    </row>
    <row r="1225" spans="1:10" x14ac:dyDescent="0.25">
      <c r="A1225" t="s">
        <v>1349</v>
      </c>
      <c r="B1225" s="18">
        <v>43307</v>
      </c>
      <c r="C1225" t="s">
        <v>108</v>
      </c>
      <c r="D1225" t="s">
        <v>106</v>
      </c>
      <c r="E1225">
        <v>18</v>
      </c>
      <c r="F1225">
        <v>16</v>
      </c>
      <c r="G1225">
        <v>288</v>
      </c>
      <c r="H1225">
        <v>0.04</v>
      </c>
      <c r="I1225">
        <v>11.52</v>
      </c>
      <c r="J1225" t="s">
        <v>110</v>
      </c>
    </row>
    <row r="1226" spans="1:10" x14ac:dyDescent="0.25">
      <c r="A1226" t="s">
        <v>1350</v>
      </c>
      <c r="B1226" s="18">
        <v>43307</v>
      </c>
      <c r="C1226" t="s">
        <v>98</v>
      </c>
      <c r="D1226" t="s">
        <v>109</v>
      </c>
      <c r="E1226">
        <v>14</v>
      </c>
      <c r="F1226">
        <v>40</v>
      </c>
      <c r="G1226">
        <v>560</v>
      </c>
      <c r="H1226">
        <v>0.11</v>
      </c>
      <c r="I1226">
        <v>61.6</v>
      </c>
      <c r="J1226" t="s">
        <v>112</v>
      </c>
    </row>
    <row r="1227" spans="1:10" x14ac:dyDescent="0.25">
      <c r="A1227" t="s">
        <v>1351</v>
      </c>
      <c r="B1227" s="18">
        <v>43307</v>
      </c>
      <c r="C1227" t="s">
        <v>108</v>
      </c>
      <c r="D1227" t="s">
        <v>99</v>
      </c>
      <c r="E1227">
        <v>21</v>
      </c>
      <c r="F1227">
        <v>16</v>
      </c>
      <c r="G1227">
        <v>336</v>
      </c>
      <c r="H1227">
        <v>0.02</v>
      </c>
      <c r="I1227">
        <v>6.72</v>
      </c>
      <c r="J1227" t="s">
        <v>113</v>
      </c>
    </row>
    <row r="1228" spans="1:10" x14ac:dyDescent="0.25">
      <c r="A1228" t="s">
        <v>1352</v>
      </c>
      <c r="B1228" s="18">
        <v>43307</v>
      </c>
      <c r="C1228" t="s">
        <v>108</v>
      </c>
      <c r="D1228" t="s">
        <v>99</v>
      </c>
      <c r="E1228">
        <v>7</v>
      </c>
      <c r="F1228">
        <v>16</v>
      </c>
      <c r="G1228">
        <v>112</v>
      </c>
      <c r="H1228">
        <v>0.08</v>
      </c>
      <c r="I1228">
        <v>8.9600000000000009</v>
      </c>
      <c r="J1228" t="s">
        <v>114</v>
      </c>
    </row>
    <row r="1229" spans="1:10" x14ac:dyDescent="0.25">
      <c r="A1229" t="s">
        <v>1353</v>
      </c>
      <c r="B1229" s="18">
        <v>43307</v>
      </c>
      <c r="C1229" t="s">
        <v>95</v>
      </c>
      <c r="D1229" t="s">
        <v>104</v>
      </c>
      <c r="E1229">
        <v>7</v>
      </c>
      <c r="F1229">
        <v>80</v>
      </c>
      <c r="G1229">
        <v>560</v>
      </c>
      <c r="H1229">
        <v>0.05</v>
      </c>
      <c r="I1229">
        <v>28</v>
      </c>
      <c r="J1229" t="s">
        <v>115</v>
      </c>
    </row>
    <row r="1230" spans="1:10" x14ac:dyDescent="0.25">
      <c r="A1230" t="s">
        <v>1354</v>
      </c>
      <c r="B1230" s="18">
        <v>43307</v>
      </c>
      <c r="C1230" t="s">
        <v>98</v>
      </c>
      <c r="D1230" t="s">
        <v>109</v>
      </c>
      <c r="E1230">
        <v>16</v>
      </c>
      <c r="F1230">
        <v>40</v>
      </c>
      <c r="G1230">
        <v>640</v>
      </c>
      <c r="H1230">
        <v>0.09</v>
      </c>
      <c r="I1230">
        <v>57.599999999999994</v>
      </c>
      <c r="J1230" t="s">
        <v>116</v>
      </c>
    </row>
    <row r="1231" spans="1:10" x14ac:dyDescent="0.25">
      <c r="A1231" t="s">
        <v>1355</v>
      </c>
      <c r="B1231" s="18">
        <v>43307</v>
      </c>
      <c r="C1231" t="s">
        <v>101</v>
      </c>
      <c r="D1231" t="s">
        <v>109</v>
      </c>
      <c r="E1231">
        <v>22</v>
      </c>
      <c r="F1231">
        <v>230</v>
      </c>
      <c r="G1231">
        <v>5060</v>
      </c>
      <c r="H1231">
        <v>0.1</v>
      </c>
      <c r="I1231">
        <v>506</v>
      </c>
      <c r="J1231" t="s">
        <v>97</v>
      </c>
    </row>
    <row r="1232" spans="1:10" x14ac:dyDescent="0.25">
      <c r="A1232" t="s">
        <v>1356</v>
      </c>
      <c r="B1232" s="18">
        <v>43307</v>
      </c>
      <c r="C1232" t="s">
        <v>98</v>
      </c>
      <c r="D1232" t="s">
        <v>99</v>
      </c>
      <c r="E1232">
        <v>4</v>
      </c>
      <c r="F1232">
        <v>40</v>
      </c>
      <c r="G1232">
        <v>160</v>
      </c>
      <c r="H1232">
        <v>0.03</v>
      </c>
      <c r="I1232">
        <v>4.8</v>
      </c>
      <c r="J1232" t="s">
        <v>100</v>
      </c>
    </row>
    <row r="1233" spans="1:10" x14ac:dyDescent="0.25">
      <c r="A1233" t="s">
        <v>1357</v>
      </c>
      <c r="B1233" s="18">
        <v>43307</v>
      </c>
      <c r="C1233" t="s">
        <v>101</v>
      </c>
      <c r="D1233" t="s">
        <v>109</v>
      </c>
      <c r="E1233">
        <v>3</v>
      </c>
      <c r="F1233">
        <v>230</v>
      </c>
      <c r="G1233">
        <v>690</v>
      </c>
      <c r="H1233">
        <v>0.1</v>
      </c>
      <c r="I1233">
        <v>69</v>
      </c>
      <c r="J1233" t="s">
        <v>102</v>
      </c>
    </row>
    <row r="1234" spans="1:10" x14ac:dyDescent="0.25">
      <c r="A1234" t="s">
        <v>1358</v>
      </c>
      <c r="B1234" s="18">
        <v>43307</v>
      </c>
      <c r="C1234" t="s">
        <v>95</v>
      </c>
      <c r="D1234" t="s">
        <v>99</v>
      </c>
      <c r="E1234">
        <v>14</v>
      </c>
      <c r="F1234">
        <v>80</v>
      </c>
      <c r="G1234">
        <v>1120</v>
      </c>
      <c r="H1234">
        <v>0.11</v>
      </c>
      <c r="I1234">
        <v>123.2</v>
      </c>
      <c r="J1234" t="s">
        <v>103</v>
      </c>
    </row>
    <row r="1235" spans="1:10" x14ac:dyDescent="0.25">
      <c r="A1235" t="s">
        <v>1359</v>
      </c>
      <c r="B1235" s="18">
        <v>43308</v>
      </c>
      <c r="C1235" t="s">
        <v>98</v>
      </c>
      <c r="D1235" t="s">
        <v>109</v>
      </c>
      <c r="E1235">
        <v>21</v>
      </c>
      <c r="F1235">
        <v>40</v>
      </c>
      <c r="G1235">
        <v>840</v>
      </c>
      <c r="H1235">
        <v>0.01</v>
      </c>
      <c r="I1235">
        <v>8.4</v>
      </c>
      <c r="J1235" t="s">
        <v>105</v>
      </c>
    </row>
    <row r="1236" spans="1:10" x14ac:dyDescent="0.25">
      <c r="A1236" t="s">
        <v>1360</v>
      </c>
      <c r="B1236" s="18">
        <v>43308</v>
      </c>
      <c r="C1236" t="s">
        <v>108</v>
      </c>
      <c r="D1236" t="s">
        <v>99</v>
      </c>
      <c r="E1236">
        <v>20</v>
      </c>
      <c r="F1236">
        <v>16</v>
      </c>
      <c r="G1236">
        <v>320</v>
      </c>
      <c r="H1236">
        <v>0.06</v>
      </c>
      <c r="I1236">
        <v>19.2</v>
      </c>
      <c r="J1236" t="s">
        <v>107</v>
      </c>
    </row>
    <row r="1237" spans="1:10" x14ac:dyDescent="0.25">
      <c r="A1237" t="s">
        <v>1361</v>
      </c>
      <c r="B1237" s="18">
        <v>43308</v>
      </c>
      <c r="C1237" t="s">
        <v>95</v>
      </c>
      <c r="D1237" t="s">
        <v>109</v>
      </c>
      <c r="E1237">
        <v>22</v>
      </c>
      <c r="F1237">
        <v>80</v>
      </c>
      <c r="G1237">
        <v>1760</v>
      </c>
      <c r="H1237">
        <v>0.11</v>
      </c>
      <c r="I1237">
        <v>193.6</v>
      </c>
      <c r="J1237" t="s">
        <v>100</v>
      </c>
    </row>
    <row r="1238" spans="1:10" x14ac:dyDescent="0.25">
      <c r="A1238" t="s">
        <v>1362</v>
      </c>
      <c r="B1238" s="18">
        <v>43308</v>
      </c>
      <c r="C1238" t="s">
        <v>98</v>
      </c>
      <c r="D1238" t="s">
        <v>96</v>
      </c>
      <c r="E1238">
        <v>7</v>
      </c>
      <c r="F1238">
        <v>40</v>
      </c>
      <c r="G1238">
        <v>280</v>
      </c>
      <c r="H1238">
        <v>0.1</v>
      </c>
      <c r="I1238">
        <v>28</v>
      </c>
      <c r="J1238" t="s">
        <v>102</v>
      </c>
    </row>
    <row r="1239" spans="1:10" x14ac:dyDescent="0.25">
      <c r="A1239" t="s">
        <v>1363</v>
      </c>
      <c r="B1239" s="18">
        <v>43308</v>
      </c>
      <c r="C1239" t="s">
        <v>111</v>
      </c>
      <c r="D1239" t="s">
        <v>99</v>
      </c>
      <c r="E1239">
        <v>16</v>
      </c>
      <c r="F1239">
        <v>150</v>
      </c>
      <c r="G1239">
        <v>2400</v>
      </c>
      <c r="H1239">
        <v>0.05</v>
      </c>
      <c r="I1239">
        <v>120</v>
      </c>
      <c r="J1239" t="s">
        <v>103</v>
      </c>
    </row>
    <row r="1240" spans="1:10" x14ac:dyDescent="0.25">
      <c r="A1240" t="s">
        <v>1364</v>
      </c>
      <c r="B1240" s="18">
        <v>43308</v>
      </c>
      <c r="C1240" t="s">
        <v>101</v>
      </c>
      <c r="D1240" t="s">
        <v>99</v>
      </c>
      <c r="E1240">
        <v>7</v>
      </c>
      <c r="F1240">
        <v>230</v>
      </c>
      <c r="G1240">
        <v>1610</v>
      </c>
      <c r="H1240">
        <v>0.05</v>
      </c>
      <c r="I1240">
        <v>80.5</v>
      </c>
      <c r="J1240" t="s">
        <v>105</v>
      </c>
    </row>
    <row r="1241" spans="1:10" x14ac:dyDescent="0.25">
      <c r="A1241" t="s">
        <v>1365</v>
      </c>
      <c r="B1241" s="18">
        <v>43308</v>
      </c>
      <c r="C1241" t="s">
        <v>111</v>
      </c>
      <c r="D1241" t="s">
        <v>96</v>
      </c>
      <c r="E1241">
        <v>20</v>
      </c>
      <c r="F1241">
        <v>150</v>
      </c>
      <c r="G1241">
        <v>3000</v>
      </c>
      <c r="H1241">
        <v>0.03</v>
      </c>
      <c r="I1241">
        <v>90</v>
      </c>
      <c r="J1241" t="s">
        <v>107</v>
      </c>
    </row>
    <row r="1242" spans="1:10" x14ac:dyDescent="0.25">
      <c r="A1242" t="s">
        <v>1366</v>
      </c>
      <c r="B1242" s="18">
        <v>43308</v>
      </c>
      <c r="C1242" t="s">
        <v>111</v>
      </c>
      <c r="D1242" t="s">
        <v>99</v>
      </c>
      <c r="E1242">
        <v>16</v>
      </c>
      <c r="F1242">
        <v>150</v>
      </c>
      <c r="G1242">
        <v>2400</v>
      </c>
      <c r="H1242">
        <v>0.03</v>
      </c>
      <c r="I1242">
        <v>72</v>
      </c>
      <c r="J1242" t="s">
        <v>110</v>
      </c>
    </row>
    <row r="1243" spans="1:10" x14ac:dyDescent="0.25">
      <c r="A1243" t="s">
        <v>1367</v>
      </c>
      <c r="B1243" s="18">
        <v>43308</v>
      </c>
      <c r="C1243" t="s">
        <v>108</v>
      </c>
      <c r="D1243" t="s">
        <v>106</v>
      </c>
      <c r="E1243">
        <v>10</v>
      </c>
      <c r="F1243">
        <v>16</v>
      </c>
      <c r="G1243">
        <v>160</v>
      </c>
      <c r="H1243">
        <v>0.04</v>
      </c>
      <c r="I1243">
        <v>6.4</v>
      </c>
      <c r="J1243" t="s">
        <v>112</v>
      </c>
    </row>
    <row r="1244" spans="1:10" x14ac:dyDescent="0.25">
      <c r="A1244" t="s">
        <v>1368</v>
      </c>
      <c r="B1244" s="18">
        <v>43308</v>
      </c>
      <c r="C1244" t="s">
        <v>95</v>
      </c>
      <c r="D1244" t="s">
        <v>109</v>
      </c>
      <c r="E1244">
        <v>6</v>
      </c>
      <c r="F1244">
        <v>80</v>
      </c>
      <c r="G1244">
        <v>480</v>
      </c>
      <c r="H1244">
        <v>0.09</v>
      </c>
      <c r="I1244">
        <v>43.199999999999996</v>
      </c>
      <c r="J1244" t="s">
        <v>113</v>
      </c>
    </row>
    <row r="1245" spans="1:10" x14ac:dyDescent="0.25">
      <c r="A1245" t="s">
        <v>1369</v>
      </c>
      <c r="B1245" s="18">
        <v>43308</v>
      </c>
      <c r="C1245" t="s">
        <v>95</v>
      </c>
      <c r="D1245" t="s">
        <v>96</v>
      </c>
      <c r="E1245">
        <v>17</v>
      </c>
      <c r="F1245">
        <v>80</v>
      </c>
      <c r="G1245">
        <v>1360</v>
      </c>
      <c r="H1245">
        <v>0.09</v>
      </c>
      <c r="I1245">
        <v>122.39999999999999</v>
      </c>
      <c r="J1245" t="s">
        <v>114</v>
      </c>
    </row>
    <row r="1246" spans="1:10" x14ac:dyDescent="0.25">
      <c r="A1246" t="s">
        <v>1370</v>
      </c>
      <c r="B1246" s="18">
        <v>43308</v>
      </c>
      <c r="C1246" t="s">
        <v>98</v>
      </c>
      <c r="D1246" t="s">
        <v>96</v>
      </c>
      <c r="E1246">
        <v>19</v>
      </c>
      <c r="F1246">
        <v>40</v>
      </c>
      <c r="G1246">
        <v>760</v>
      </c>
      <c r="H1246">
        <v>0.04</v>
      </c>
      <c r="I1246">
        <v>30.400000000000002</v>
      </c>
      <c r="J1246" t="s">
        <v>115</v>
      </c>
    </row>
    <row r="1247" spans="1:10" x14ac:dyDescent="0.25">
      <c r="A1247" t="s">
        <v>1371</v>
      </c>
      <c r="B1247" s="18">
        <v>43308</v>
      </c>
      <c r="C1247" t="s">
        <v>98</v>
      </c>
      <c r="D1247" t="s">
        <v>109</v>
      </c>
      <c r="E1247">
        <v>16</v>
      </c>
      <c r="F1247">
        <v>40</v>
      </c>
      <c r="G1247">
        <v>640</v>
      </c>
      <c r="H1247">
        <v>0.09</v>
      </c>
      <c r="I1247">
        <v>57.599999999999994</v>
      </c>
      <c r="J1247" t="s">
        <v>116</v>
      </c>
    </row>
    <row r="1248" spans="1:10" x14ac:dyDescent="0.25">
      <c r="A1248" t="s">
        <v>1372</v>
      </c>
      <c r="B1248" s="18">
        <v>43308</v>
      </c>
      <c r="C1248" t="s">
        <v>108</v>
      </c>
      <c r="D1248" t="s">
        <v>96</v>
      </c>
      <c r="E1248">
        <v>4</v>
      </c>
      <c r="F1248">
        <v>16</v>
      </c>
      <c r="G1248">
        <v>64</v>
      </c>
      <c r="H1248">
        <v>0.12</v>
      </c>
      <c r="I1248">
        <v>7.68</v>
      </c>
      <c r="J1248" t="s">
        <v>97</v>
      </c>
    </row>
    <row r="1249" spans="1:10" x14ac:dyDescent="0.25">
      <c r="A1249" t="s">
        <v>1373</v>
      </c>
      <c r="B1249" s="18">
        <v>43308</v>
      </c>
      <c r="C1249" t="s">
        <v>111</v>
      </c>
      <c r="D1249" t="s">
        <v>106</v>
      </c>
      <c r="E1249">
        <v>9</v>
      </c>
      <c r="F1249">
        <v>150</v>
      </c>
      <c r="G1249">
        <v>1350</v>
      </c>
      <c r="H1249">
        <v>0.02</v>
      </c>
      <c r="I1249">
        <v>27</v>
      </c>
      <c r="J1249" t="s">
        <v>100</v>
      </c>
    </row>
    <row r="1250" spans="1:10" x14ac:dyDescent="0.25">
      <c r="A1250" t="s">
        <v>1374</v>
      </c>
      <c r="B1250" s="18">
        <v>43308</v>
      </c>
      <c r="C1250" t="s">
        <v>108</v>
      </c>
      <c r="D1250" t="s">
        <v>96</v>
      </c>
      <c r="E1250">
        <v>11</v>
      </c>
      <c r="F1250">
        <v>16</v>
      </c>
      <c r="G1250">
        <v>176</v>
      </c>
      <c r="H1250">
        <v>0.09</v>
      </c>
      <c r="I1250">
        <v>15.84</v>
      </c>
      <c r="J1250" t="s">
        <v>102</v>
      </c>
    </row>
    <row r="1251" spans="1:10" x14ac:dyDescent="0.25">
      <c r="A1251" t="s">
        <v>1375</v>
      </c>
      <c r="B1251" s="18">
        <v>43308</v>
      </c>
      <c r="C1251" t="s">
        <v>95</v>
      </c>
      <c r="D1251" t="s">
        <v>99</v>
      </c>
      <c r="E1251">
        <v>17</v>
      </c>
      <c r="F1251">
        <v>80</v>
      </c>
      <c r="G1251">
        <v>1360</v>
      </c>
      <c r="H1251">
        <v>0.03</v>
      </c>
      <c r="I1251">
        <v>40.799999999999997</v>
      </c>
      <c r="J1251" t="s">
        <v>103</v>
      </c>
    </row>
    <row r="1252" spans="1:10" x14ac:dyDescent="0.25">
      <c r="A1252" t="s">
        <v>1376</v>
      </c>
      <c r="B1252" s="18">
        <v>43309</v>
      </c>
      <c r="C1252" t="s">
        <v>111</v>
      </c>
      <c r="D1252" t="s">
        <v>96</v>
      </c>
      <c r="E1252">
        <v>3</v>
      </c>
      <c r="F1252">
        <v>150</v>
      </c>
      <c r="G1252">
        <v>450</v>
      </c>
      <c r="H1252">
        <v>0.03</v>
      </c>
      <c r="I1252">
        <v>13.5</v>
      </c>
      <c r="J1252" t="s">
        <v>105</v>
      </c>
    </row>
    <row r="1253" spans="1:10" x14ac:dyDescent="0.25">
      <c r="A1253" t="s">
        <v>1377</v>
      </c>
      <c r="B1253" s="18">
        <v>43309</v>
      </c>
      <c r="C1253" t="s">
        <v>101</v>
      </c>
      <c r="D1253" t="s">
        <v>106</v>
      </c>
      <c r="E1253">
        <v>2</v>
      </c>
      <c r="F1253">
        <v>230</v>
      </c>
      <c r="G1253">
        <v>460</v>
      </c>
      <c r="H1253">
        <v>0.08</v>
      </c>
      <c r="I1253">
        <v>36.800000000000004</v>
      </c>
      <c r="J1253" t="s">
        <v>107</v>
      </c>
    </row>
    <row r="1254" spans="1:10" x14ac:dyDescent="0.25">
      <c r="A1254" t="s">
        <v>1378</v>
      </c>
      <c r="B1254" s="18">
        <v>43309</v>
      </c>
      <c r="C1254" t="s">
        <v>101</v>
      </c>
      <c r="D1254" t="s">
        <v>106</v>
      </c>
      <c r="E1254">
        <v>17</v>
      </c>
      <c r="F1254">
        <v>230</v>
      </c>
      <c r="G1254">
        <v>3910</v>
      </c>
      <c r="H1254">
        <v>0.12</v>
      </c>
      <c r="I1254">
        <v>469.2</v>
      </c>
      <c r="J1254" t="s">
        <v>100</v>
      </c>
    </row>
    <row r="1255" spans="1:10" x14ac:dyDescent="0.25">
      <c r="A1255" t="s">
        <v>1379</v>
      </c>
      <c r="B1255" s="18">
        <v>43309</v>
      </c>
      <c r="C1255" t="s">
        <v>111</v>
      </c>
      <c r="D1255" t="s">
        <v>99</v>
      </c>
      <c r="E1255">
        <v>2</v>
      </c>
      <c r="F1255">
        <v>150</v>
      </c>
      <c r="G1255">
        <v>300</v>
      </c>
      <c r="H1255">
        <v>0.09</v>
      </c>
      <c r="I1255">
        <v>27</v>
      </c>
      <c r="J1255" t="s">
        <v>102</v>
      </c>
    </row>
    <row r="1256" spans="1:10" x14ac:dyDescent="0.25">
      <c r="A1256" t="s">
        <v>1380</v>
      </c>
      <c r="B1256" s="18">
        <v>43309</v>
      </c>
      <c r="C1256" t="s">
        <v>98</v>
      </c>
      <c r="D1256" t="s">
        <v>106</v>
      </c>
      <c r="E1256">
        <v>18</v>
      </c>
      <c r="F1256">
        <v>40</v>
      </c>
      <c r="G1256">
        <v>720</v>
      </c>
      <c r="H1256">
        <v>0.06</v>
      </c>
      <c r="I1256">
        <v>43.199999999999996</v>
      </c>
      <c r="J1256" t="s">
        <v>103</v>
      </c>
    </row>
    <row r="1257" spans="1:10" x14ac:dyDescent="0.25">
      <c r="A1257" t="s">
        <v>1381</v>
      </c>
      <c r="B1257" s="18">
        <v>43309</v>
      </c>
      <c r="C1257" t="s">
        <v>111</v>
      </c>
      <c r="D1257" t="s">
        <v>104</v>
      </c>
      <c r="E1257">
        <v>18</v>
      </c>
      <c r="F1257">
        <v>150</v>
      </c>
      <c r="G1257">
        <v>2700</v>
      </c>
      <c r="H1257">
        <v>0.06</v>
      </c>
      <c r="I1257">
        <v>162</v>
      </c>
      <c r="J1257" t="s">
        <v>105</v>
      </c>
    </row>
    <row r="1258" spans="1:10" x14ac:dyDescent="0.25">
      <c r="A1258" t="s">
        <v>1382</v>
      </c>
      <c r="B1258" s="18">
        <v>43309</v>
      </c>
      <c r="C1258" t="s">
        <v>98</v>
      </c>
      <c r="D1258" t="s">
        <v>99</v>
      </c>
      <c r="E1258">
        <v>12</v>
      </c>
      <c r="F1258">
        <v>40</v>
      </c>
      <c r="G1258">
        <v>480</v>
      </c>
      <c r="H1258">
        <v>0.1</v>
      </c>
      <c r="I1258">
        <v>48</v>
      </c>
      <c r="J1258" t="s">
        <v>107</v>
      </c>
    </row>
    <row r="1259" spans="1:10" x14ac:dyDescent="0.25">
      <c r="A1259" t="s">
        <v>1383</v>
      </c>
      <c r="B1259" s="18">
        <v>43309</v>
      </c>
      <c r="C1259" t="s">
        <v>95</v>
      </c>
      <c r="D1259" t="s">
        <v>96</v>
      </c>
      <c r="E1259">
        <v>21</v>
      </c>
      <c r="F1259">
        <v>80</v>
      </c>
      <c r="G1259">
        <v>1680</v>
      </c>
      <c r="H1259">
        <v>0.04</v>
      </c>
      <c r="I1259">
        <v>67.2</v>
      </c>
      <c r="J1259" t="s">
        <v>110</v>
      </c>
    </row>
    <row r="1260" spans="1:10" x14ac:dyDescent="0.25">
      <c r="A1260" t="s">
        <v>1384</v>
      </c>
      <c r="B1260" s="18">
        <v>43309</v>
      </c>
      <c r="C1260" t="s">
        <v>98</v>
      </c>
      <c r="D1260" t="s">
        <v>109</v>
      </c>
      <c r="E1260">
        <v>3</v>
      </c>
      <c r="F1260">
        <v>40</v>
      </c>
      <c r="G1260">
        <v>120</v>
      </c>
      <c r="H1260">
        <v>0.03</v>
      </c>
      <c r="I1260">
        <v>3.5999999999999996</v>
      </c>
      <c r="J1260" t="s">
        <v>112</v>
      </c>
    </row>
    <row r="1261" spans="1:10" x14ac:dyDescent="0.25">
      <c r="A1261" t="s">
        <v>1385</v>
      </c>
      <c r="B1261" s="18">
        <v>43309</v>
      </c>
      <c r="C1261" t="s">
        <v>95</v>
      </c>
      <c r="D1261" t="s">
        <v>109</v>
      </c>
      <c r="E1261">
        <v>22</v>
      </c>
      <c r="F1261">
        <v>80</v>
      </c>
      <c r="G1261">
        <v>1760</v>
      </c>
      <c r="H1261">
        <v>0.1</v>
      </c>
      <c r="I1261">
        <v>176</v>
      </c>
      <c r="J1261" t="s">
        <v>113</v>
      </c>
    </row>
    <row r="1262" spans="1:10" x14ac:dyDescent="0.25">
      <c r="A1262" t="s">
        <v>1386</v>
      </c>
      <c r="B1262" s="18">
        <v>43309</v>
      </c>
      <c r="C1262" t="s">
        <v>98</v>
      </c>
      <c r="D1262" t="s">
        <v>109</v>
      </c>
      <c r="E1262">
        <v>16</v>
      </c>
      <c r="F1262">
        <v>40</v>
      </c>
      <c r="G1262">
        <v>640</v>
      </c>
      <c r="H1262">
        <v>0.11</v>
      </c>
      <c r="I1262">
        <v>70.400000000000006</v>
      </c>
      <c r="J1262" t="s">
        <v>114</v>
      </c>
    </row>
    <row r="1263" spans="1:10" x14ac:dyDescent="0.25">
      <c r="A1263" t="s">
        <v>1387</v>
      </c>
      <c r="B1263" s="18">
        <v>43309</v>
      </c>
      <c r="C1263" t="s">
        <v>108</v>
      </c>
      <c r="D1263" t="s">
        <v>96</v>
      </c>
      <c r="E1263">
        <v>11</v>
      </c>
      <c r="F1263">
        <v>16</v>
      </c>
      <c r="G1263">
        <v>176</v>
      </c>
      <c r="H1263">
        <v>0.09</v>
      </c>
      <c r="I1263">
        <v>15.84</v>
      </c>
      <c r="J1263" t="s">
        <v>115</v>
      </c>
    </row>
    <row r="1264" spans="1:10" x14ac:dyDescent="0.25">
      <c r="A1264" t="s">
        <v>1388</v>
      </c>
      <c r="B1264" s="18">
        <v>43310</v>
      </c>
      <c r="C1264" t="s">
        <v>95</v>
      </c>
      <c r="D1264" t="s">
        <v>104</v>
      </c>
      <c r="E1264">
        <v>10</v>
      </c>
      <c r="F1264">
        <v>80</v>
      </c>
      <c r="G1264">
        <v>800</v>
      </c>
      <c r="H1264">
        <v>0.08</v>
      </c>
      <c r="I1264">
        <v>64</v>
      </c>
      <c r="J1264" t="s">
        <v>116</v>
      </c>
    </row>
    <row r="1265" spans="1:10" x14ac:dyDescent="0.25">
      <c r="A1265" t="s">
        <v>1389</v>
      </c>
      <c r="B1265" s="18">
        <v>43310</v>
      </c>
      <c r="C1265" t="s">
        <v>108</v>
      </c>
      <c r="D1265" t="s">
        <v>104</v>
      </c>
      <c r="E1265">
        <v>12</v>
      </c>
      <c r="F1265">
        <v>16</v>
      </c>
      <c r="G1265">
        <v>192</v>
      </c>
      <c r="H1265">
        <v>0.03</v>
      </c>
      <c r="I1265">
        <v>5.76</v>
      </c>
      <c r="J1265" t="s">
        <v>97</v>
      </c>
    </row>
    <row r="1266" spans="1:10" x14ac:dyDescent="0.25">
      <c r="A1266" t="s">
        <v>1390</v>
      </c>
      <c r="B1266" s="18">
        <v>43310</v>
      </c>
      <c r="C1266" t="s">
        <v>111</v>
      </c>
      <c r="D1266" t="s">
        <v>96</v>
      </c>
      <c r="E1266">
        <v>8</v>
      </c>
      <c r="F1266">
        <v>150</v>
      </c>
      <c r="G1266">
        <v>1200</v>
      </c>
      <c r="H1266">
        <v>0.09</v>
      </c>
      <c r="I1266">
        <v>108</v>
      </c>
      <c r="J1266" t="s">
        <v>100</v>
      </c>
    </row>
    <row r="1267" spans="1:10" x14ac:dyDescent="0.25">
      <c r="A1267" t="s">
        <v>1391</v>
      </c>
      <c r="B1267" s="18">
        <v>43310</v>
      </c>
      <c r="C1267" t="s">
        <v>98</v>
      </c>
      <c r="D1267" t="s">
        <v>109</v>
      </c>
      <c r="E1267">
        <v>10</v>
      </c>
      <c r="F1267">
        <v>40</v>
      </c>
      <c r="G1267">
        <v>400</v>
      </c>
      <c r="H1267">
        <v>0.03</v>
      </c>
      <c r="I1267">
        <v>12</v>
      </c>
      <c r="J1267" t="s">
        <v>102</v>
      </c>
    </row>
    <row r="1268" spans="1:10" x14ac:dyDescent="0.25">
      <c r="A1268" t="s">
        <v>1392</v>
      </c>
      <c r="B1268" s="18">
        <v>43310</v>
      </c>
      <c r="C1268" t="s">
        <v>111</v>
      </c>
      <c r="D1268" t="s">
        <v>96</v>
      </c>
      <c r="E1268">
        <v>7</v>
      </c>
      <c r="F1268">
        <v>150</v>
      </c>
      <c r="G1268">
        <v>1050</v>
      </c>
      <c r="H1268">
        <v>0.02</v>
      </c>
      <c r="I1268">
        <v>21</v>
      </c>
      <c r="J1268" t="s">
        <v>103</v>
      </c>
    </row>
    <row r="1269" spans="1:10" x14ac:dyDescent="0.25">
      <c r="A1269" t="s">
        <v>1393</v>
      </c>
      <c r="B1269" s="18">
        <v>43310</v>
      </c>
      <c r="C1269" t="s">
        <v>108</v>
      </c>
      <c r="D1269" t="s">
        <v>104</v>
      </c>
      <c r="E1269">
        <v>6</v>
      </c>
      <c r="F1269">
        <v>16</v>
      </c>
      <c r="G1269">
        <v>96</v>
      </c>
      <c r="H1269">
        <v>0.01</v>
      </c>
      <c r="I1269">
        <v>0.96</v>
      </c>
      <c r="J1269" t="s">
        <v>105</v>
      </c>
    </row>
    <row r="1270" spans="1:10" x14ac:dyDescent="0.25">
      <c r="A1270" t="s">
        <v>1394</v>
      </c>
      <c r="B1270" s="18">
        <v>43310</v>
      </c>
      <c r="C1270" t="s">
        <v>95</v>
      </c>
      <c r="D1270" t="s">
        <v>106</v>
      </c>
      <c r="E1270">
        <v>15</v>
      </c>
      <c r="F1270">
        <v>80</v>
      </c>
      <c r="G1270">
        <v>1200</v>
      </c>
      <c r="H1270">
        <v>0.08</v>
      </c>
      <c r="I1270">
        <v>96</v>
      </c>
      <c r="J1270" t="s">
        <v>107</v>
      </c>
    </row>
    <row r="1271" spans="1:10" x14ac:dyDescent="0.25">
      <c r="A1271" t="s">
        <v>1395</v>
      </c>
      <c r="B1271" s="18">
        <v>43310</v>
      </c>
      <c r="C1271" t="s">
        <v>108</v>
      </c>
      <c r="D1271" t="s">
        <v>109</v>
      </c>
      <c r="E1271">
        <v>13</v>
      </c>
      <c r="F1271">
        <v>16</v>
      </c>
      <c r="G1271">
        <v>208</v>
      </c>
      <c r="H1271">
        <v>7.0000000000000007E-2</v>
      </c>
      <c r="I1271">
        <v>14.560000000000002</v>
      </c>
      <c r="J1271" t="s">
        <v>100</v>
      </c>
    </row>
    <row r="1272" spans="1:10" x14ac:dyDescent="0.25">
      <c r="A1272" t="s">
        <v>1396</v>
      </c>
      <c r="B1272" s="18">
        <v>43310</v>
      </c>
      <c r="C1272" t="s">
        <v>101</v>
      </c>
      <c r="D1272" t="s">
        <v>106</v>
      </c>
      <c r="E1272">
        <v>19</v>
      </c>
      <c r="F1272">
        <v>230</v>
      </c>
      <c r="G1272">
        <v>4370</v>
      </c>
      <c r="H1272">
        <v>0.06</v>
      </c>
      <c r="I1272">
        <v>262.2</v>
      </c>
      <c r="J1272" t="s">
        <v>102</v>
      </c>
    </row>
    <row r="1273" spans="1:10" x14ac:dyDescent="0.25">
      <c r="A1273" t="s">
        <v>1397</v>
      </c>
      <c r="B1273" s="18">
        <v>43310</v>
      </c>
      <c r="C1273" t="s">
        <v>95</v>
      </c>
      <c r="D1273" t="s">
        <v>106</v>
      </c>
      <c r="E1273">
        <v>21</v>
      </c>
      <c r="F1273">
        <v>80</v>
      </c>
      <c r="G1273">
        <v>1680</v>
      </c>
      <c r="H1273">
        <v>0.05</v>
      </c>
      <c r="I1273">
        <v>84</v>
      </c>
      <c r="J1273" t="s">
        <v>103</v>
      </c>
    </row>
    <row r="1274" spans="1:10" x14ac:dyDescent="0.25">
      <c r="A1274" t="s">
        <v>1398</v>
      </c>
      <c r="B1274" s="18">
        <v>43310</v>
      </c>
      <c r="C1274" t="s">
        <v>95</v>
      </c>
      <c r="D1274" t="s">
        <v>99</v>
      </c>
      <c r="E1274">
        <v>5</v>
      </c>
      <c r="F1274">
        <v>80</v>
      </c>
      <c r="G1274">
        <v>400</v>
      </c>
      <c r="H1274">
        <v>7.0000000000000007E-2</v>
      </c>
      <c r="I1274">
        <v>28.000000000000004</v>
      </c>
      <c r="J1274" t="s">
        <v>105</v>
      </c>
    </row>
    <row r="1275" spans="1:10" x14ac:dyDescent="0.25">
      <c r="A1275" t="s">
        <v>1399</v>
      </c>
      <c r="B1275" s="18">
        <v>43310</v>
      </c>
      <c r="C1275" t="s">
        <v>108</v>
      </c>
      <c r="D1275" t="s">
        <v>104</v>
      </c>
      <c r="E1275">
        <v>8</v>
      </c>
      <c r="F1275">
        <v>16</v>
      </c>
      <c r="G1275">
        <v>128</v>
      </c>
      <c r="H1275">
        <v>0.03</v>
      </c>
      <c r="I1275">
        <v>3.84</v>
      </c>
      <c r="J1275" t="s">
        <v>107</v>
      </c>
    </row>
    <row r="1276" spans="1:10" x14ac:dyDescent="0.25">
      <c r="A1276" t="s">
        <v>1400</v>
      </c>
      <c r="B1276" s="18">
        <v>43310</v>
      </c>
      <c r="C1276" t="s">
        <v>108</v>
      </c>
      <c r="D1276" t="s">
        <v>104</v>
      </c>
      <c r="E1276">
        <v>12</v>
      </c>
      <c r="F1276">
        <v>16</v>
      </c>
      <c r="G1276">
        <v>192</v>
      </c>
      <c r="H1276">
        <v>0.11</v>
      </c>
      <c r="I1276">
        <v>21.12</v>
      </c>
      <c r="J1276" t="s">
        <v>110</v>
      </c>
    </row>
    <row r="1277" spans="1:10" x14ac:dyDescent="0.25">
      <c r="A1277" t="s">
        <v>1401</v>
      </c>
      <c r="B1277" s="18">
        <v>43310</v>
      </c>
      <c r="C1277" t="s">
        <v>95</v>
      </c>
      <c r="D1277" t="s">
        <v>106</v>
      </c>
      <c r="E1277">
        <v>22</v>
      </c>
      <c r="F1277">
        <v>80</v>
      </c>
      <c r="G1277">
        <v>1760</v>
      </c>
      <c r="H1277">
        <v>0.03</v>
      </c>
      <c r="I1277">
        <v>52.8</v>
      </c>
      <c r="J1277" t="s">
        <v>112</v>
      </c>
    </row>
    <row r="1278" spans="1:10" x14ac:dyDescent="0.25">
      <c r="A1278" t="s">
        <v>1402</v>
      </c>
      <c r="B1278" s="18">
        <v>43310</v>
      </c>
      <c r="C1278" t="s">
        <v>98</v>
      </c>
      <c r="D1278" t="s">
        <v>96</v>
      </c>
      <c r="E1278">
        <v>5</v>
      </c>
      <c r="F1278">
        <v>40</v>
      </c>
      <c r="G1278">
        <v>200</v>
      </c>
      <c r="H1278">
        <v>0.09</v>
      </c>
      <c r="I1278">
        <v>18</v>
      </c>
      <c r="J1278" t="s">
        <v>113</v>
      </c>
    </row>
    <row r="1279" spans="1:10" x14ac:dyDescent="0.25">
      <c r="A1279" t="s">
        <v>1403</v>
      </c>
      <c r="B1279" s="18">
        <v>43311</v>
      </c>
      <c r="C1279" t="s">
        <v>111</v>
      </c>
      <c r="D1279" t="s">
        <v>99</v>
      </c>
      <c r="E1279">
        <v>23</v>
      </c>
      <c r="F1279">
        <v>150</v>
      </c>
      <c r="G1279">
        <v>3450</v>
      </c>
      <c r="H1279">
        <v>0.11</v>
      </c>
      <c r="I1279">
        <v>379.5</v>
      </c>
      <c r="J1279" t="s">
        <v>114</v>
      </c>
    </row>
    <row r="1280" spans="1:10" x14ac:dyDescent="0.25">
      <c r="A1280" t="s">
        <v>1404</v>
      </c>
      <c r="B1280" s="18">
        <v>43311</v>
      </c>
      <c r="C1280" t="s">
        <v>95</v>
      </c>
      <c r="D1280" t="s">
        <v>96</v>
      </c>
      <c r="E1280">
        <v>16</v>
      </c>
      <c r="F1280">
        <v>80</v>
      </c>
      <c r="G1280">
        <v>1280</v>
      </c>
      <c r="H1280">
        <v>0.03</v>
      </c>
      <c r="I1280">
        <v>38.4</v>
      </c>
      <c r="J1280" t="s">
        <v>115</v>
      </c>
    </row>
    <row r="1281" spans="1:10" x14ac:dyDescent="0.25">
      <c r="A1281" t="s">
        <v>1405</v>
      </c>
      <c r="B1281" s="18">
        <v>43311</v>
      </c>
      <c r="C1281" t="s">
        <v>111</v>
      </c>
      <c r="D1281" t="s">
        <v>109</v>
      </c>
      <c r="E1281">
        <v>15</v>
      </c>
      <c r="F1281">
        <v>150</v>
      </c>
      <c r="G1281">
        <v>2250</v>
      </c>
      <c r="H1281">
        <v>7.0000000000000007E-2</v>
      </c>
      <c r="I1281">
        <v>157.50000000000003</v>
      </c>
      <c r="J1281" t="s">
        <v>116</v>
      </c>
    </row>
    <row r="1282" spans="1:10" x14ac:dyDescent="0.25">
      <c r="A1282" t="s">
        <v>1406</v>
      </c>
      <c r="B1282" s="18">
        <v>43311</v>
      </c>
      <c r="C1282" t="s">
        <v>98</v>
      </c>
      <c r="D1282" t="s">
        <v>96</v>
      </c>
      <c r="E1282">
        <v>20</v>
      </c>
      <c r="F1282">
        <v>40</v>
      </c>
      <c r="G1282">
        <v>800</v>
      </c>
      <c r="H1282">
        <v>0.04</v>
      </c>
      <c r="I1282">
        <v>32</v>
      </c>
      <c r="J1282" t="s">
        <v>97</v>
      </c>
    </row>
    <row r="1283" spans="1:10" x14ac:dyDescent="0.25">
      <c r="A1283" t="s">
        <v>1407</v>
      </c>
      <c r="B1283" s="18">
        <v>43311</v>
      </c>
      <c r="C1283" t="s">
        <v>101</v>
      </c>
      <c r="D1283" t="s">
        <v>104</v>
      </c>
      <c r="E1283">
        <v>10</v>
      </c>
      <c r="F1283">
        <v>230</v>
      </c>
      <c r="G1283">
        <v>2300</v>
      </c>
      <c r="H1283">
        <v>0.02</v>
      </c>
      <c r="I1283">
        <v>46</v>
      </c>
      <c r="J1283" t="s">
        <v>100</v>
      </c>
    </row>
    <row r="1284" spans="1:10" x14ac:dyDescent="0.25">
      <c r="A1284" t="s">
        <v>1408</v>
      </c>
      <c r="B1284" s="18">
        <v>43311</v>
      </c>
      <c r="C1284" t="s">
        <v>95</v>
      </c>
      <c r="D1284" t="s">
        <v>99</v>
      </c>
      <c r="E1284">
        <v>9</v>
      </c>
      <c r="F1284">
        <v>80</v>
      </c>
      <c r="G1284">
        <v>720</v>
      </c>
      <c r="H1284">
        <v>0.03</v>
      </c>
      <c r="I1284">
        <v>21.599999999999998</v>
      </c>
      <c r="J1284" t="s">
        <v>102</v>
      </c>
    </row>
    <row r="1285" spans="1:10" x14ac:dyDescent="0.25">
      <c r="A1285" t="s">
        <v>1409</v>
      </c>
      <c r="B1285" s="18">
        <v>43311</v>
      </c>
      <c r="C1285" t="s">
        <v>101</v>
      </c>
      <c r="D1285" t="s">
        <v>96</v>
      </c>
      <c r="E1285">
        <v>16</v>
      </c>
      <c r="F1285">
        <v>230</v>
      </c>
      <c r="G1285">
        <v>3680</v>
      </c>
      <c r="H1285">
        <v>7.0000000000000007E-2</v>
      </c>
      <c r="I1285">
        <v>257.60000000000002</v>
      </c>
      <c r="J1285" t="s">
        <v>103</v>
      </c>
    </row>
    <row r="1286" spans="1:10" x14ac:dyDescent="0.25">
      <c r="A1286" t="s">
        <v>1410</v>
      </c>
      <c r="B1286" s="18">
        <v>43311</v>
      </c>
      <c r="C1286" t="s">
        <v>95</v>
      </c>
      <c r="D1286" t="s">
        <v>99</v>
      </c>
      <c r="E1286">
        <v>21</v>
      </c>
      <c r="F1286">
        <v>80</v>
      </c>
      <c r="G1286">
        <v>1680</v>
      </c>
      <c r="H1286">
        <v>0.04</v>
      </c>
      <c r="I1286">
        <v>67.2</v>
      </c>
      <c r="J1286" t="s">
        <v>105</v>
      </c>
    </row>
    <row r="1287" spans="1:10" x14ac:dyDescent="0.25">
      <c r="A1287" t="s">
        <v>1411</v>
      </c>
      <c r="B1287" s="18">
        <v>43311</v>
      </c>
      <c r="C1287" t="s">
        <v>95</v>
      </c>
      <c r="D1287" t="s">
        <v>99</v>
      </c>
      <c r="E1287">
        <v>9</v>
      </c>
      <c r="F1287">
        <v>80</v>
      </c>
      <c r="G1287">
        <v>720</v>
      </c>
      <c r="H1287">
        <v>0.03</v>
      </c>
      <c r="I1287">
        <v>21.599999999999998</v>
      </c>
      <c r="J1287" t="s">
        <v>107</v>
      </c>
    </row>
    <row r="1288" spans="1:10" x14ac:dyDescent="0.25">
      <c r="A1288" t="s">
        <v>1412</v>
      </c>
      <c r="B1288" s="18">
        <v>43311</v>
      </c>
      <c r="C1288" t="s">
        <v>98</v>
      </c>
      <c r="D1288" t="s">
        <v>99</v>
      </c>
      <c r="E1288">
        <v>4</v>
      </c>
      <c r="F1288">
        <v>40</v>
      </c>
      <c r="G1288">
        <v>160</v>
      </c>
      <c r="H1288">
        <v>0.12</v>
      </c>
      <c r="I1288">
        <v>19.2</v>
      </c>
      <c r="J1288" t="s">
        <v>100</v>
      </c>
    </row>
    <row r="1289" spans="1:10" x14ac:dyDescent="0.25">
      <c r="A1289" t="s">
        <v>1413</v>
      </c>
      <c r="B1289" s="18">
        <v>43311</v>
      </c>
      <c r="C1289" t="s">
        <v>101</v>
      </c>
      <c r="D1289" t="s">
        <v>104</v>
      </c>
      <c r="E1289">
        <v>5</v>
      </c>
      <c r="F1289">
        <v>230</v>
      </c>
      <c r="G1289">
        <v>1150</v>
      </c>
      <c r="H1289">
        <v>0.01</v>
      </c>
      <c r="I1289">
        <v>11.5</v>
      </c>
      <c r="J1289" t="s">
        <v>102</v>
      </c>
    </row>
    <row r="1290" spans="1:10" x14ac:dyDescent="0.25">
      <c r="A1290" t="s">
        <v>1414</v>
      </c>
      <c r="B1290" s="18">
        <v>43311</v>
      </c>
      <c r="C1290" t="s">
        <v>108</v>
      </c>
      <c r="D1290" t="s">
        <v>96</v>
      </c>
      <c r="E1290">
        <v>18</v>
      </c>
      <c r="F1290">
        <v>16</v>
      </c>
      <c r="G1290">
        <v>288</v>
      </c>
      <c r="H1290">
        <v>0.05</v>
      </c>
      <c r="I1290">
        <v>14.4</v>
      </c>
      <c r="J1290" t="s">
        <v>103</v>
      </c>
    </row>
    <row r="1291" spans="1:10" x14ac:dyDescent="0.25">
      <c r="A1291" t="s">
        <v>1415</v>
      </c>
      <c r="B1291" s="18">
        <v>43312</v>
      </c>
      <c r="C1291" t="s">
        <v>95</v>
      </c>
      <c r="D1291" t="s">
        <v>104</v>
      </c>
      <c r="E1291">
        <v>6</v>
      </c>
      <c r="F1291">
        <v>80</v>
      </c>
      <c r="G1291">
        <v>480</v>
      </c>
      <c r="H1291">
        <v>0.01</v>
      </c>
      <c r="I1291">
        <v>4.8</v>
      </c>
      <c r="J1291" t="s">
        <v>105</v>
      </c>
    </row>
    <row r="1292" spans="1:10" x14ac:dyDescent="0.25">
      <c r="A1292" t="s">
        <v>1416</v>
      </c>
      <c r="B1292" s="18">
        <v>43312</v>
      </c>
      <c r="C1292" t="s">
        <v>111</v>
      </c>
      <c r="D1292" t="s">
        <v>109</v>
      </c>
      <c r="E1292">
        <v>4</v>
      </c>
      <c r="F1292">
        <v>150</v>
      </c>
      <c r="G1292">
        <v>600</v>
      </c>
      <c r="H1292">
        <v>0.05</v>
      </c>
      <c r="I1292">
        <v>30</v>
      </c>
      <c r="J1292" t="s">
        <v>107</v>
      </c>
    </row>
    <row r="1293" spans="1:10" x14ac:dyDescent="0.25">
      <c r="A1293" t="s">
        <v>1417</v>
      </c>
      <c r="B1293" s="18">
        <v>43312</v>
      </c>
      <c r="C1293" t="s">
        <v>101</v>
      </c>
      <c r="D1293" t="s">
        <v>109</v>
      </c>
      <c r="E1293">
        <v>21</v>
      </c>
      <c r="F1293">
        <v>230</v>
      </c>
      <c r="G1293">
        <v>4830</v>
      </c>
      <c r="H1293">
        <v>0.05</v>
      </c>
      <c r="I1293">
        <v>241.5</v>
      </c>
      <c r="J1293" t="s">
        <v>110</v>
      </c>
    </row>
    <row r="1294" spans="1:10" x14ac:dyDescent="0.25">
      <c r="A1294" t="s">
        <v>1418</v>
      </c>
      <c r="B1294" s="18">
        <v>43312</v>
      </c>
      <c r="C1294" t="s">
        <v>111</v>
      </c>
      <c r="D1294" t="s">
        <v>96</v>
      </c>
      <c r="E1294">
        <v>4</v>
      </c>
      <c r="F1294">
        <v>150</v>
      </c>
      <c r="G1294">
        <v>600</v>
      </c>
      <c r="H1294">
        <v>0.06</v>
      </c>
      <c r="I1294">
        <v>36</v>
      </c>
      <c r="J1294" t="s">
        <v>112</v>
      </c>
    </row>
    <row r="1295" spans="1:10" x14ac:dyDescent="0.25">
      <c r="A1295" t="s">
        <v>1419</v>
      </c>
      <c r="B1295" s="18">
        <v>43312</v>
      </c>
      <c r="C1295" t="s">
        <v>95</v>
      </c>
      <c r="D1295" t="s">
        <v>99</v>
      </c>
      <c r="E1295">
        <v>2</v>
      </c>
      <c r="F1295">
        <v>80</v>
      </c>
      <c r="G1295">
        <v>160</v>
      </c>
      <c r="H1295">
        <v>0.04</v>
      </c>
      <c r="I1295">
        <v>6.4</v>
      </c>
      <c r="J1295" t="s">
        <v>113</v>
      </c>
    </row>
    <row r="1296" spans="1:10" x14ac:dyDescent="0.25">
      <c r="A1296" t="s">
        <v>1420</v>
      </c>
      <c r="B1296" s="18">
        <v>43312</v>
      </c>
      <c r="C1296" t="s">
        <v>108</v>
      </c>
      <c r="D1296" t="s">
        <v>99</v>
      </c>
      <c r="E1296">
        <v>5</v>
      </c>
      <c r="F1296">
        <v>16</v>
      </c>
      <c r="G1296">
        <v>80</v>
      </c>
      <c r="H1296">
        <v>0.11</v>
      </c>
      <c r="I1296">
        <v>8.8000000000000007</v>
      </c>
      <c r="J1296" t="s">
        <v>114</v>
      </c>
    </row>
    <row r="1297" spans="1:10" x14ac:dyDescent="0.25">
      <c r="A1297" t="s">
        <v>1421</v>
      </c>
      <c r="B1297" s="18">
        <v>43312</v>
      </c>
      <c r="C1297" t="s">
        <v>111</v>
      </c>
      <c r="D1297" t="s">
        <v>109</v>
      </c>
      <c r="E1297">
        <v>23</v>
      </c>
      <c r="F1297">
        <v>150</v>
      </c>
      <c r="G1297">
        <v>3450</v>
      </c>
      <c r="H1297">
        <v>0.08</v>
      </c>
      <c r="I1297">
        <v>276</v>
      </c>
      <c r="J1297" t="s">
        <v>115</v>
      </c>
    </row>
    <row r="1298" spans="1:10" x14ac:dyDescent="0.25">
      <c r="A1298" t="s">
        <v>1422</v>
      </c>
      <c r="B1298" s="18">
        <v>43312</v>
      </c>
      <c r="C1298" t="s">
        <v>95</v>
      </c>
      <c r="D1298" t="s">
        <v>99</v>
      </c>
      <c r="E1298">
        <v>3</v>
      </c>
      <c r="F1298">
        <v>80</v>
      </c>
      <c r="G1298">
        <v>240</v>
      </c>
      <c r="H1298">
        <v>0.02</v>
      </c>
      <c r="I1298">
        <v>4.8</v>
      </c>
      <c r="J1298" t="s">
        <v>116</v>
      </c>
    </row>
    <row r="1299" spans="1:10" x14ac:dyDescent="0.25">
      <c r="A1299" t="s">
        <v>1423</v>
      </c>
      <c r="B1299" s="18">
        <v>43312</v>
      </c>
      <c r="C1299" t="s">
        <v>101</v>
      </c>
      <c r="D1299" t="s">
        <v>109</v>
      </c>
      <c r="E1299">
        <v>17</v>
      </c>
      <c r="F1299">
        <v>230</v>
      </c>
      <c r="G1299">
        <v>3910</v>
      </c>
      <c r="H1299">
        <v>0.11</v>
      </c>
      <c r="I1299">
        <v>430.1</v>
      </c>
      <c r="J1299" t="s">
        <v>97</v>
      </c>
    </row>
    <row r="1300" spans="1:10" x14ac:dyDescent="0.25">
      <c r="A1300" t="s">
        <v>1424</v>
      </c>
      <c r="B1300" s="18">
        <v>43312</v>
      </c>
      <c r="C1300" t="s">
        <v>98</v>
      </c>
      <c r="D1300" t="s">
        <v>104</v>
      </c>
      <c r="E1300">
        <v>11</v>
      </c>
      <c r="F1300">
        <v>40</v>
      </c>
      <c r="G1300">
        <v>440</v>
      </c>
      <c r="H1300">
        <v>0.05</v>
      </c>
      <c r="I1300">
        <v>22</v>
      </c>
      <c r="J1300" t="s">
        <v>100</v>
      </c>
    </row>
    <row r="1301" spans="1:10" x14ac:dyDescent="0.25">
      <c r="A1301" t="s">
        <v>1425</v>
      </c>
      <c r="B1301" s="18">
        <v>43312</v>
      </c>
      <c r="C1301" t="s">
        <v>98</v>
      </c>
      <c r="D1301" t="s">
        <v>104</v>
      </c>
      <c r="E1301">
        <v>13</v>
      </c>
      <c r="F1301">
        <v>40</v>
      </c>
      <c r="G1301">
        <v>520</v>
      </c>
      <c r="H1301">
        <v>0.02</v>
      </c>
      <c r="I1301">
        <v>10.4</v>
      </c>
      <c r="J1301" t="s">
        <v>103</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83E6B-DF28-471C-996E-B90B93D8E8A5}">
  <dimension ref="B1:N78"/>
  <sheetViews>
    <sheetView topLeftCell="F1" zoomScale="85" zoomScaleNormal="85" workbookViewId="0">
      <selection activeCell="J40" sqref="J1:J1048576"/>
    </sheetView>
  </sheetViews>
  <sheetFormatPr defaultRowHeight="15" x14ac:dyDescent="0.25"/>
  <cols>
    <col min="2" max="2" width="16.5703125" bestFit="1" customWidth="1"/>
    <col min="3" max="3" width="15.42578125" bestFit="1" customWidth="1"/>
    <col min="4" max="4" width="17.5703125" bestFit="1" customWidth="1"/>
    <col min="5" max="5" width="13.28515625" bestFit="1" customWidth="1"/>
    <col min="6" max="6" width="18.7109375" bestFit="1" customWidth="1"/>
    <col min="7" max="8" width="13.7109375" bestFit="1" customWidth="1"/>
    <col min="9" max="9" width="16.5703125" bestFit="1" customWidth="1"/>
    <col min="10" max="10" width="13.28515625" bestFit="1" customWidth="1"/>
    <col min="11" max="11" width="17.5703125" bestFit="1" customWidth="1"/>
    <col min="12" max="12" width="14" bestFit="1" customWidth="1"/>
    <col min="13" max="13" width="19.140625" bestFit="1" customWidth="1"/>
    <col min="14" max="23" width="16.7109375" bestFit="1" customWidth="1"/>
    <col min="24" max="24" width="11.5703125" bestFit="1" customWidth="1"/>
    <col min="25" max="37" width="15" bestFit="1" customWidth="1"/>
    <col min="38" max="38" width="11.5703125" bestFit="1" customWidth="1"/>
  </cols>
  <sheetData>
    <row r="1" spans="2:12" x14ac:dyDescent="0.25">
      <c r="F1" s="26" t="s">
        <v>1436</v>
      </c>
    </row>
    <row r="2" spans="2:12" x14ac:dyDescent="0.25">
      <c r="B2" s="22" t="s">
        <v>1426</v>
      </c>
      <c r="C2" t="s">
        <v>1427</v>
      </c>
      <c r="D2" t="s">
        <v>1429</v>
      </c>
      <c r="H2" t="s">
        <v>1428</v>
      </c>
      <c r="J2" s="21" t="s">
        <v>1430</v>
      </c>
      <c r="L2" s="25" t="s">
        <v>1434</v>
      </c>
    </row>
    <row r="3" spans="2:12" x14ac:dyDescent="0.25">
      <c r="B3">
        <v>1300</v>
      </c>
      <c r="C3" s="36">
        <v>16632</v>
      </c>
      <c r="D3">
        <v>1584826</v>
      </c>
      <c r="H3">
        <v>100157.03999999988</v>
      </c>
      <c r="J3">
        <f>GETPIVOTDATA("Total sales ",$D$2)-GETPIVOTDATA("Total commisstion",$H$2)</f>
        <v>1484668.9600000002</v>
      </c>
      <c r="L3" s="24">
        <f>COUNTA(G47:G58)</f>
        <v>12</v>
      </c>
    </row>
    <row r="24" spans="12:12" x14ac:dyDescent="0.25">
      <c r="L24" t="s">
        <v>1435</v>
      </c>
    </row>
    <row r="45" spans="2:14" x14ac:dyDescent="0.25">
      <c r="H45" s="19" t="s">
        <v>1432</v>
      </c>
      <c r="I45" t="s">
        <v>1426</v>
      </c>
    </row>
    <row r="46" spans="2:14" x14ac:dyDescent="0.25">
      <c r="B46" s="19" t="s">
        <v>1432</v>
      </c>
      <c r="C46" t="s">
        <v>1426</v>
      </c>
      <c r="G46" s="19" t="s">
        <v>1432</v>
      </c>
      <c r="H46" s="20" t="s">
        <v>107</v>
      </c>
      <c r="I46">
        <v>104</v>
      </c>
      <c r="M46" t="str">
        <f t="shared" ref="M46:M57" si="0">H46</f>
        <v>Bihar</v>
      </c>
      <c r="N46">
        <f t="shared" ref="N46:N57" si="1">I46</f>
        <v>104</v>
      </c>
    </row>
    <row r="47" spans="2:14" x14ac:dyDescent="0.25">
      <c r="B47" s="23">
        <v>43282</v>
      </c>
      <c r="C47">
        <v>39</v>
      </c>
      <c r="G47" s="20" t="s">
        <v>107</v>
      </c>
      <c r="H47" s="20" t="s">
        <v>103</v>
      </c>
      <c r="I47">
        <v>105</v>
      </c>
      <c r="M47" t="str">
        <f t="shared" si="0"/>
        <v>Delhi</v>
      </c>
      <c r="N47">
        <f t="shared" si="1"/>
        <v>105</v>
      </c>
    </row>
    <row r="48" spans="2:14" x14ac:dyDescent="0.25">
      <c r="B48" s="23">
        <v>43283</v>
      </c>
      <c r="C48">
        <v>33</v>
      </c>
      <c r="E48" s="19" t="s">
        <v>1432</v>
      </c>
      <c r="F48" t="s">
        <v>1427</v>
      </c>
      <c r="G48" s="20" t="s">
        <v>103</v>
      </c>
      <c r="H48" s="20" t="s">
        <v>110</v>
      </c>
      <c r="I48">
        <v>120</v>
      </c>
      <c r="M48" t="str">
        <f t="shared" si="0"/>
        <v>Goa</v>
      </c>
      <c r="N48">
        <f t="shared" si="1"/>
        <v>120</v>
      </c>
    </row>
    <row r="49" spans="2:14" x14ac:dyDescent="0.25">
      <c r="B49" s="23">
        <v>43284</v>
      </c>
      <c r="C49">
        <v>36</v>
      </c>
      <c r="E49" s="20" t="s">
        <v>108</v>
      </c>
      <c r="F49">
        <v>3071</v>
      </c>
      <c r="G49" s="20" t="s">
        <v>110</v>
      </c>
      <c r="H49" s="20" t="s">
        <v>113</v>
      </c>
      <c r="I49">
        <v>163</v>
      </c>
      <c r="M49" t="str">
        <f t="shared" si="0"/>
        <v>Gujarat</v>
      </c>
      <c r="N49">
        <f t="shared" si="1"/>
        <v>163</v>
      </c>
    </row>
    <row r="50" spans="2:14" x14ac:dyDescent="0.25">
      <c r="B50" s="23">
        <v>43285</v>
      </c>
      <c r="C50">
        <v>35</v>
      </c>
      <c r="E50" s="20" t="s">
        <v>101</v>
      </c>
      <c r="F50">
        <v>2648</v>
      </c>
      <c r="G50" s="20" t="s">
        <v>113</v>
      </c>
      <c r="H50" s="20" t="s">
        <v>115</v>
      </c>
      <c r="I50">
        <v>68</v>
      </c>
      <c r="M50" t="str">
        <f t="shared" si="0"/>
        <v>Haryana</v>
      </c>
      <c r="N50">
        <f t="shared" si="1"/>
        <v>68</v>
      </c>
    </row>
    <row r="51" spans="2:14" x14ac:dyDescent="0.25">
      <c r="B51" s="23">
        <v>43286</v>
      </c>
      <c r="C51">
        <v>42</v>
      </c>
      <c r="E51" s="20" t="s">
        <v>95</v>
      </c>
      <c r="F51">
        <v>3819</v>
      </c>
      <c r="G51" s="20" t="s">
        <v>115</v>
      </c>
      <c r="H51" s="20" t="s">
        <v>114</v>
      </c>
      <c r="I51">
        <v>119</v>
      </c>
      <c r="J51" s="19" t="s">
        <v>1432</v>
      </c>
      <c r="K51" t="s">
        <v>1429</v>
      </c>
      <c r="M51" t="str">
        <f t="shared" si="0"/>
        <v>Jharkhand</v>
      </c>
      <c r="N51">
        <f t="shared" si="1"/>
        <v>119</v>
      </c>
    </row>
    <row r="52" spans="2:14" x14ac:dyDescent="0.25">
      <c r="B52" s="23">
        <v>43287</v>
      </c>
      <c r="C52">
        <v>47</v>
      </c>
      <c r="E52" s="20" t="s">
        <v>111</v>
      </c>
      <c r="F52">
        <v>3067</v>
      </c>
      <c r="G52" s="20" t="s">
        <v>114</v>
      </c>
      <c r="H52" s="20" t="s">
        <v>112</v>
      </c>
      <c r="I52">
        <v>119</v>
      </c>
      <c r="J52" s="20" t="s">
        <v>109</v>
      </c>
      <c r="K52">
        <v>306530</v>
      </c>
      <c r="M52" t="str">
        <f t="shared" si="0"/>
        <v>Karnataka</v>
      </c>
      <c r="N52">
        <f t="shared" si="1"/>
        <v>119</v>
      </c>
    </row>
    <row r="53" spans="2:14" x14ac:dyDescent="0.25">
      <c r="B53" s="23">
        <v>43288</v>
      </c>
      <c r="C53">
        <v>53</v>
      </c>
      <c r="E53" s="20" t="s">
        <v>98</v>
      </c>
      <c r="F53">
        <v>4027</v>
      </c>
      <c r="G53" s="20" t="s">
        <v>112</v>
      </c>
      <c r="H53" s="20" t="s">
        <v>116</v>
      </c>
      <c r="I53">
        <v>68</v>
      </c>
      <c r="J53" s="20" t="s">
        <v>96</v>
      </c>
      <c r="K53">
        <v>319900</v>
      </c>
      <c r="M53" t="str">
        <f t="shared" si="0"/>
        <v>Kerala</v>
      </c>
      <c r="N53">
        <f t="shared" si="1"/>
        <v>68</v>
      </c>
    </row>
    <row r="54" spans="2:14" x14ac:dyDescent="0.25">
      <c r="B54" s="23">
        <v>43289</v>
      </c>
      <c r="C54">
        <v>50</v>
      </c>
      <c r="E54" s="20" t="s">
        <v>1431</v>
      </c>
      <c r="F54">
        <v>16632</v>
      </c>
      <c r="G54" s="20" t="s">
        <v>116</v>
      </c>
      <c r="H54" s="20" t="s">
        <v>102</v>
      </c>
      <c r="I54">
        <v>150</v>
      </c>
      <c r="J54" s="20" t="s">
        <v>104</v>
      </c>
      <c r="K54">
        <v>307656</v>
      </c>
      <c r="M54" t="str">
        <f t="shared" si="0"/>
        <v>Maharashtra</v>
      </c>
      <c r="N54">
        <f t="shared" si="1"/>
        <v>150</v>
      </c>
    </row>
    <row r="55" spans="2:14" x14ac:dyDescent="0.25">
      <c r="B55" s="23">
        <v>43290</v>
      </c>
      <c r="C55">
        <v>38</v>
      </c>
      <c r="G55" s="20" t="s">
        <v>102</v>
      </c>
      <c r="H55" s="20" t="s">
        <v>97</v>
      </c>
      <c r="I55">
        <v>76</v>
      </c>
      <c r="J55" s="20" t="s">
        <v>99</v>
      </c>
      <c r="K55">
        <v>321258</v>
      </c>
      <c r="M55" t="str">
        <f t="shared" si="0"/>
        <v>Meghalaya</v>
      </c>
      <c r="N55">
        <f t="shared" si="1"/>
        <v>76</v>
      </c>
    </row>
    <row r="56" spans="2:14" x14ac:dyDescent="0.25">
      <c r="B56" s="23">
        <v>43291</v>
      </c>
      <c r="C56">
        <v>50</v>
      </c>
      <c r="E56" s="19" t="s">
        <v>1432</v>
      </c>
      <c r="F56" t="s">
        <v>1433</v>
      </c>
      <c r="G56" s="20" t="s">
        <v>97</v>
      </c>
      <c r="H56" s="20" t="s">
        <v>100</v>
      </c>
      <c r="I56">
        <v>105</v>
      </c>
      <c r="J56" s="20" t="s">
        <v>106</v>
      </c>
      <c r="K56">
        <v>329482</v>
      </c>
      <c r="M56" t="str">
        <f t="shared" si="0"/>
        <v>Uttar Pradesh</v>
      </c>
      <c r="N56">
        <f t="shared" si="1"/>
        <v>105</v>
      </c>
    </row>
    <row r="57" spans="2:14" x14ac:dyDescent="0.25">
      <c r="B57" s="23">
        <v>43292</v>
      </c>
      <c r="C57">
        <v>43</v>
      </c>
      <c r="E57" s="20" t="s">
        <v>109</v>
      </c>
      <c r="F57">
        <v>17.429999999999986</v>
      </c>
      <c r="G57" s="20" t="s">
        <v>100</v>
      </c>
      <c r="H57" s="20" t="s">
        <v>105</v>
      </c>
      <c r="I57">
        <v>103</v>
      </c>
      <c r="J57" s="20" t="s">
        <v>1431</v>
      </c>
      <c r="K57">
        <v>1584826</v>
      </c>
      <c r="M57" t="str">
        <f t="shared" si="0"/>
        <v>West Bengal</v>
      </c>
      <c r="N57">
        <f t="shared" si="1"/>
        <v>103</v>
      </c>
    </row>
    <row r="58" spans="2:14" x14ac:dyDescent="0.25">
      <c r="B58" s="23">
        <v>43293</v>
      </c>
      <c r="C58">
        <v>30</v>
      </c>
      <c r="E58" s="20" t="s">
        <v>96</v>
      </c>
      <c r="F58">
        <v>17.179999999999968</v>
      </c>
      <c r="G58" s="20" t="s">
        <v>105</v>
      </c>
      <c r="H58" s="20" t="s">
        <v>1431</v>
      </c>
      <c r="I58">
        <v>1300</v>
      </c>
    </row>
    <row r="59" spans="2:14" x14ac:dyDescent="0.25">
      <c r="B59" s="23">
        <v>43294</v>
      </c>
      <c r="C59">
        <v>48</v>
      </c>
      <c r="E59" s="20" t="s">
        <v>104</v>
      </c>
      <c r="F59">
        <v>14.379999999999969</v>
      </c>
      <c r="G59" s="20" t="s">
        <v>1431</v>
      </c>
    </row>
    <row r="60" spans="2:14" x14ac:dyDescent="0.25">
      <c r="B60" s="23">
        <v>43295</v>
      </c>
      <c r="C60">
        <v>46</v>
      </c>
      <c r="E60" s="20" t="s">
        <v>99</v>
      </c>
      <c r="F60">
        <v>14.869999999999965</v>
      </c>
    </row>
    <row r="61" spans="2:14" x14ac:dyDescent="0.25">
      <c r="B61" s="23">
        <v>43296</v>
      </c>
      <c r="C61">
        <v>45</v>
      </c>
      <c r="E61" s="20" t="s">
        <v>106</v>
      </c>
      <c r="F61">
        <v>15.979999999999979</v>
      </c>
    </row>
    <row r="62" spans="2:14" x14ac:dyDescent="0.25">
      <c r="B62" s="23">
        <v>43297</v>
      </c>
      <c r="C62">
        <v>48</v>
      </c>
      <c r="E62" s="20" t="s">
        <v>1431</v>
      </c>
      <c r="F62">
        <v>79.839999999999861</v>
      </c>
    </row>
    <row r="63" spans="2:14" x14ac:dyDescent="0.25">
      <c r="B63" s="23">
        <v>43298</v>
      </c>
      <c r="C63">
        <v>48</v>
      </c>
    </row>
    <row r="64" spans="2:14" x14ac:dyDescent="0.25">
      <c r="B64" s="23">
        <v>43299</v>
      </c>
      <c r="C64">
        <v>41</v>
      </c>
    </row>
    <row r="65" spans="2:3" x14ac:dyDescent="0.25">
      <c r="B65" s="23">
        <v>43300</v>
      </c>
      <c r="C65">
        <v>44</v>
      </c>
    </row>
    <row r="66" spans="2:3" x14ac:dyDescent="0.25">
      <c r="B66" s="23">
        <v>43301</v>
      </c>
      <c r="C66">
        <v>34</v>
      </c>
    </row>
    <row r="67" spans="2:3" x14ac:dyDescent="0.25">
      <c r="B67" s="23">
        <v>43302</v>
      </c>
      <c r="C67">
        <v>47</v>
      </c>
    </row>
    <row r="68" spans="2:3" x14ac:dyDescent="0.25">
      <c r="B68" s="23">
        <v>43303</v>
      </c>
      <c r="C68">
        <v>38</v>
      </c>
    </row>
    <row r="69" spans="2:3" x14ac:dyDescent="0.25">
      <c r="B69" s="23">
        <v>43304</v>
      </c>
      <c r="C69">
        <v>39</v>
      </c>
    </row>
    <row r="70" spans="2:3" x14ac:dyDescent="0.25">
      <c r="B70" s="23">
        <v>43305</v>
      </c>
      <c r="C70">
        <v>46</v>
      </c>
    </row>
    <row r="71" spans="2:3" x14ac:dyDescent="0.25">
      <c r="B71" s="23">
        <v>43306</v>
      </c>
      <c r="C71">
        <v>49</v>
      </c>
    </row>
    <row r="72" spans="2:3" x14ac:dyDescent="0.25">
      <c r="B72" s="23">
        <v>43307</v>
      </c>
      <c r="C72">
        <v>47</v>
      </c>
    </row>
    <row r="73" spans="2:3" x14ac:dyDescent="0.25">
      <c r="B73" s="23">
        <v>43308</v>
      </c>
      <c r="C73">
        <v>52</v>
      </c>
    </row>
    <row r="74" spans="2:3" x14ac:dyDescent="0.25">
      <c r="B74" s="23">
        <v>43309</v>
      </c>
      <c r="C74">
        <v>37</v>
      </c>
    </row>
    <row r="75" spans="2:3" x14ac:dyDescent="0.25">
      <c r="B75" s="23">
        <v>43310</v>
      </c>
      <c r="C75">
        <v>42</v>
      </c>
    </row>
    <row r="76" spans="2:3" x14ac:dyDescent="0.25">
      <c r="B76" s="23">
        <v>43311</v>
      </c>
      <c r="C76">
        <v>28</v>
      </c>
    </row>
    <row r="77" spans="2:3" x14ac:dyDescent="0.25">
      <c r="B77" s="23">
        <v>43312</v>
      </c>
      <c r="C77">
        <v>25</v>
      </c>
    </row>
    <row r="78" spans="2:3" x14ac:dyDescent="0.25">
      <c r="B78" s="23" t="s">
        <v>1431</v>
      </c>
      <c r="C78">
        <v>1300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6B30C-678C-4B33-84FD-519D712FEB87}">
  <dimension ref="B1:T6"/>
  <sheetViews>
    <sheetView showGridLines="0" zoomScaleNormal="100" zoomScaleSheetLayoutView="96" zoomScalePageLayoutView="26" workbookViewId="0">
      <selection activeCell="G15" sqref="G15"/>
    </sheetView>
  </sheetViews>
  <sheetFormatPr defaultRowHeight="15" x14ac:dyDescent="0.25"/>
  <cols>
    <col min="1" max="1" width="5.140625" style="37" customWidth="1"/>
    <col min="2" max="2" width="10.85546875" style="37" customWidth="1"/>
    <col min="3" max="3" width="9.140625" style="37"/>
    <col min="4" max="4" width="7.140625" style="37" customWidth="1"/>
    <col min="5" max="5" width="9.140625" style="37"/>
    <col min="6" max="6" width="14.5703125" style="37" customWidth="1"/>
    <col min="7" max="8" width="9.140625" style="37"/>
    <col min="9" max="9" width="4.28515625" style="37" customWidth="1"/>
    <col min="10" max="14" width="9.140625" style="37"/>
    <col min="15" max="15" width="9.140625" style="37" customWidth="1"/>
    <col min="16" max="17" width="9.140625" style="37"/>
    <col min="18" max="18" width="9.140625" style="37" customWidth="1"/>
    <col min="19" max="19" width="10.85546875" style="37" customWidth="1"/>
    <col min="20" max="16384" width="9.140625" style="37"/>
  </cols>
  <sheetData>
    <row r="1" spans="2:20" ht="1.5" customHeight="1" x14ac:dyDescent="0.25"/>
    <row r="2" spans="2:20" ht="3.75" customHeight="1" x14ac:dyDescent="0.25"/>
    <row r="3" spans="2:20" ht="21" x14ac:dyDescent="0.35">
      <c r="B3" s="41" t="s">
        <v>1438</v>
      </c>
      <c r="C3" s="41"/>
      <c r="E3" s="41" t="s">
        <v>1440</v>
      </c>
      <c r="F3" s="41"/>
      <c r="H3" s="44" t="s">
        <v>1437</v>
      </c>
      <c r="I3" s="44"/>
      <c r="J3" s="44"/>
      <c r="K3" s="44"/>
      <c r="L3" s="44"/>
      <c r="M3" s="44"/>
      <c r="N3" s="44"/>
      <c r="P3" s="41" t="s">
        <v>1430</v>
      </c>
      <c r="Q3" s="41"/>
      <c r="S3" s="43" t="s">
        <v>1439</v>
      </c>
      <c r="T3" s="43"/>
    </row>
    <row r="4" spans="2:20" ht="15.75" x14ac:dyDescent="0.25">
      <c r="B4" s="42">
        <f>Sheet1!$B$3</f>
        <v>1300</v>
      </c>
      <c r="C4" s="42"/>
      <c r="E4" s="42">
        <f>Sheet1!$H$3</f>
        <v>100157.03999999988</v>
      </c>
      <c r="F4" s="42"/>
      <c r="H4" s="44"/>
      <c r="I4" s="44"/>
      <c r="J4" s="44"/>
      <c r="K4" s="44"/>
      <c r="L4" s="44"/>
      <c r="M4" s="44"/>
      <c r="N4" s="44"/>
      <c r="P4" s="42">
        <f>Sheet1!$J$3</f>
        <v>1484668.9600000002</v>
      </c>
      <c r="Q4" s="42"/>
      <c r="S4" s="42">
        <f>Sheet1!$D$3</f>
        <v>1584826</v>
      </c>
      <c r="T4" s="42"/>
    </row>
    <row r="5" spans="2:20" ht="21" x14ac:dyDescent="0.35">
      <c r="K5" s="39"/>
      <c r="L5" s="39"/>
    </row>
    <row r="6" spans="2:20" ht="15.75" x14ac:dyDescent="0.25">
      <c r="K6" s="38"/>
      <c r="L6" s="38"/>
    </row>
  </sheetData>
  <mergeCells count="9">
    <mergeCell ref="B3:C3"/>
    <mergeCell ref="B4:C4"/>
    <mergeCell ref="S3:T3"/>
    <mergeCell ref="S4:T4"/>
    <mergeCell ref="H3:N4"/>
    <mergeCell ref="E3:F3"/>
    <mergeCell ref="E4:F4"/>
    <mergeCell ref="P3:Q3"/>
    <mergeCell ref="P4:Q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1131-0AB6-493D-99AC-FC3C53D3DC6E}">
  <dimension ref="A1:K1001"/>
  <sheetViews>
    <sheetView workbookViewId="0">
      <selection activeCell="B21" sqref="B21"/>
    </sheetView>
  </sheetViews>
  <sheetFormatPr defaultRowHeight="15" x14ac:dyDescent="0.25"/>
  <cols>
    <col min="1" max="1" width="27.7109375" bestFit="1" customWidth="1"/>
    <col min="2" max="2" width="16.85546875" bestFit="1" customWidth="1"/>
    <col min="3" max="3" width="23.85546875" bestFit="1" customWidth="1"/>
    <col min="4" max="4" width="10" bestFit="1" customWidth="1"/>
    <col min="5" max="5" width="6.7109375" bestFit="1" customWidth="1"/>
    <col min="6" max="6" width="11.5703125" bestFit="1" customWidth="1"/>
    <col min="7" max="7" width="15.42578125" bestFit="1" customWidth="1"/>
    <col min="8" max="8" width="10.7109375" bestFit="1" customWidth="1"/>
    <col min="9" max="9" width="12.85546875" bestFit="1" customWidth="1"/>
    <col min="10" max="10" width="13.5703125" bestFit="1" customWidth="1"/>
    <col min="11" max="11" width="11.140625" bestFit="1" customWidth="1"/>
  </cols>
  <sheetData>
    <row r="1" spans="1:11" x14ac:dyDescent="0.25">
      <c r="A1" s="3" t="s">
        <v>14</v>
      </c>
      <c r="B1" s="4" t="s">
        <v>15</v>
      </c>
      <c r="C1" s="4" t="s">
        <v>16</v>
      </c>
      <c r="D1" s="4" t="s">
        <v>17</v>
      </c>
      <c r="E1" s="4" t="s">
        <v>18</v>
      </c>
      <c r="F1" s="4" t="s">
        <v>19</v>
      </c>
      <c r="G1" s="4" t="s">
        <v>20</v>
      </c>
      <c r="H1" s="4" t="s">
        <v>21</v>
      </c>
      <c r="I1" s="4" t="s">
        <v>22</v>
      </c>
      <c r="J1" s="4" t="s">
        <v>23</v>
      </c>
      <c r="K1" s="5" t="s">
        <v>24</v>
      </c>
    </row>
    <row r="2" spans="1:11" x14ac:dyDescent="0.25">
      <c r="A2" s="6" t="s">
        <v>25</v>
      </c>
      <c r="B2" s="1" t="s">
        <v>26</v>
      </c>
      <c r="C2" s="1" t="s">
        <v>27</v>
      </c>
      <c r="D2" s="1" t="s">
        <v>28</v>
      </c>
      <c r="E2" s="1">
        <v>55</v>
      </c>
      <c r="F2" s="7">
        <v>42468</v>
      </c>
      <c r="G2" s="8">
        <v>141604</v>
      </c>
      <c r="H2" s="9">
        <v>0.15</v>
      </c>
      <c r="I2" s="1" t="s">
        <v>29</v>
      </c>
      <c r="J2" s="1" t="s">
        <v>30</v>
      </c>
      <c r="K2" s="10">
        <v>44485</v>
      </c>
    </row>
    <row r="3" spans="1:11" x14ac:dyDescent="0.25">
      <c r="A3" s="6" t="s">
        <v>31</v>
      </c>
      <c r="B3" s="1" t="s">
        <v>26</v>
      </c>
      <c r="C3" s="1" t="s">
        <v>32</v>
      </c>
      <c r="D3" s="1" t="s">
        <v>33</v>
      </c>
      <c r="E3" s="1">
        <v>59</v>
      </c>
      <c r="F3" s="7">
        <v>35763</v>
      </c>
      <c r="G3" s="8">
        <v>99975</v>
      </c>
      <c r="H3" s="9">
        <v>0</v>
      </c>
      <c r="I3" s="1" t="s">
        <v>34</v>
      </c>
      <c r="J3" s="1" t="s">
        <v>35</v>
      </c>
      <c r="K3" s="10" t="s">
        <v>36</v>
      </c>
    </row>
    <row r="4" spans="1:11" x14ac:dyDescent="0.25">
      <c r="A4" s="6" t="s">
        <v>37</v>
      </c>
      <c r="B4" s="1" t="s">
        <v>38</v>
      </c>
      <c r="C4" s="1" t="s">
        <v>39</v>
      </c>
      <c r="D4" s="1" t="s">
        <v>28</v>
      </c>
      <c r="E4" s="1">
        <v>50</v>
      </c>
      <c r="F4" s="7">
        <v>39016</v>
      </c>
      <c r="G4" s="8">
        <v>163099</v>
      </c>
      <c r="H4" s="9">
        <v>0.2</v>
      </c>
      <c r="I4" s="1" t="s">
        <v>29</v>
      </c>
      <c r="J4" s="1" t="s">
        <v>40</v>
      </c>
      <c r="K4" s="10" t="s">
        <v>36</v>
      </c>
    </row>
    <row r="5" spans="1:11" x14ac:dyDescent="0.25">
      <c r="A5" s="6" t="s">
        <v>41</v>
      </c>
      <c r="B5" s="1" t="s">
        <v>26</v>
      </c>
      <c r="C5" s="1" t="s">
        <v>32</v>
      </c>
      <c r="D5" s="1" t="s">
        <v>28</v>
      </c>
      <c r="E5" s="1">
        <v>26</v>
      </c>
      <c r="F5" s="7">
        <v>43735</v>
      </c>
      <c r="G5" s="8">
        <v>84913</v>
      </c>
      <c r="H5" s="9">
        <v>7.0000000000000007E-2</v>
      </c>
      <c r="I5" s="1" t="s">
        <v>29</v>
      </c>
      <c r="J5" s="1" t="s">
        <v>40</v>
      </c>
      <c r="K5" s="10" t="s">
        <v>36</v>
      </c>
    </row>
    <row r="6" spans="1:11" x14ac:dyDescent="0.25">
      <c r="A6" s="6" t="s">
        <v>42</v>
      </c>
      <c r="B6" s="1" t="s">
        <v>38</v>
      </c>
      <c r="C6" s="1" t="s">
        <v>32</v>
      </c>
      <c r="D6" s="1" t="s">
        <v>33</v>
      </c>
      <c r="E6" s="1">
        <v>55</v>
      </c>
      <c r="F6" s="7">
        <v>35023</v>
      </c>
      <c r="G6" s="8">
        <v>95409</v>
      </c>
      <c r="H6" s="9">
        <v>0</v>
      </c>
      <c r="I6" s="1" t="s">
        <v>29</v>
      </c>
      <c r="J6" s="1" t="s">
        <v>43</v>
      </c>
      <c r="K6" s="10" t="s">
        <v>36</v>
      </c>
    </row>
    <row r="7" spans="1:11" x14ac:dyDescent="0.25">
      <c r="A7" s="6" t="s">
        <v>44</v>
      </c>
      <c r="B7" s="1" t="s">
        <v>45</v>
      </c>
      <c r="C7" s="1" t="s">
        <v>46</v>
      </c>
      <c r="D7" s="1" t="s">
        <v>33</v>
      </c>
      <c r="E7" s="1">
        <v>57</v>
      </c>
      <c r="F7" s="7">
        <v>42759</v>
      </c>
      <c r="G7" s="8">
        <v>50994</v>
      </c>
      <c r="H7" s="9">
        <v>0</v>
      </c>
      <c r="I7" s="1" t="s">
        <v>34</v>
      </c>
      <c r="J7" s="1" t="s">
        <v>35</v>
      </c>
      <c r="K7" s="10" t="s">
        <v>36</v>
      </c>
    </row>
    <row r="8" spans="1:11" x14ac:dyDescent="0.25">
      <c r="A8" s="6" t="s">
        <v>47</v>
      </c>
      <c r="B8" s="1" t="s">
        <v>26</v>
      </c>
      <c r="C8" s="1" t="s">
        <v>46</v>
      </c>
      <c r="D8" s="1" t="s">
        <v>28</v>
      </c>
      <c r="E8" s="1">
        <v>27</v>
      </c>
      <c r="F8" s="7">
        <v>44013</v>
      </c>
      <c r="G8" s="8">
        <v>119746</v>
      </c>
      <c r="H8" s="9">
        <v>0.1</v>
      </c>
      <c r="I8" s="1" t="s">
        <v>29</v>
      </c>
      <c r="J8" s="1" t="s">
        <v>43</v>
      </c>
      <c r="K8" s="10" t="s">
        <v>36</v>
      </c>
    </row>
    <row r="9" spans="1:11" x14ac:dyDescent="0.25">
      <c r="A9" s="6" t="s">
        <v>48</v>
      </c>
      <c r="B9" s="1" t="s">
        <v>38</v>
      </c>
      <c r="C9" s="1" t="s">
        <v>32</v>
      </c>
      <c r="D9" s="1" t="s">
        <v>33</v>
      </c>
      <c r="E9" s="1">
        <v>25</v>
      </c>
      <c r="F9" s="7">
        <v>43967</v>
      </c>
      <c r="G9" s="8">
        <v>41336</v>
      </c>
      <c r="H9" s="9">
        <v>0</v>
      </c>
      <c r="I9" s="1" t="s">
        <v>29</v>
      </c>
      <c r="J9" s="1" t="s">
        <v>49</v>
      </c>
      <c r="K9" s="10">
        <v>44336</v>
      </c>
    </row>
    <row r="10" spans="1:11" x14ac:dyDescent="0.25">
      <c r="A10" s="6" t="s">
        <v>47</v>
      </c>
      <c r="B10" s="1" t="s">
        <v>50</v>
      </c>
      <c r="C10" s="1" t="s">
        <v>32</v>
      </c>
      <c r="D10" s="1" t="s">
        <v>33</v>
      </c>
      <c r="E10" s="1">
        <v>29</v>
      </c>
      <c r="F10" s="7">
        <v>43490</v>
      </c>
      <c r="G10" s="8">
        <v>113527</v>
      </c>
      <c r="H10" s="9">
        <v>0.06</v>
      </c>
      <c r="I10" s="1" t="s">
        <v>29</v>
      </c>
      <c r="J10" s="1" t="s">
        <v>51</v>
      </c>
      <c r="K10" s="10" t="s">
        <v>36</v>
      </c>
    </row>
    <row r="11" spans="1:11" x14ac:dyDescent="0.25">
      <c r="A11" s="6" t="s">
        <v>42</v>
      </c>
      <c r="B11" s="1" t="s">
        <v>38</v>
      </c>
      <c r="C11" s="1" t="s">
        <v>39</v>
      </c>
      <c r="D11" s="1" t="s">
        <v>28</v>
      </c>
      <c r="E11" s="1">
        <v>34</v>
      </c>
      <c r="F11" s="7">
        <v>43264</v>
      </c>
      <c r="G11" s="8">
        <v>77203</v>
      </c>
      <c r="H11" s="9">
        <v>0</v>
      </c>
      <c r="I11" s="1" t="s">
        <v>29</v>
      </c>
      <c r="J11" s="1" t="s">
        <v>40</v>
      </c>
      <c r="K11" s="10" t="s">
        <v>36</v>
      </c>
    </row>
    <row r="12" spans="1:11" x14ac:dyDescent="0.25">
      <c r="A12" s="6" t="s">
        <v>25</v>
      </c>
      <c r="B12" s="1" t="s">
        <v>52</v>
      </c>
      <c r="C12" s="1" t="s">
        <v>32</v>
      </c>
      <c r="D12" s="1" t="s">
        <v>28</v>
      </c>
      <c r="E12" s="1">
        <v>36</v>
      </c>
      <c r="F12" s="7">
        <v>39855</v>
      </c>
      <c r="G12" s="8">
        <v>157333</v>
      </c>
      <c r="H12" s="9">
        <v>0.15</v>
      </c>
      <c r="I12" s="1" t="s">
        <v>29</v>
      </c>
      <c r="J12" s="1" t="s">
        <v>49</v>
      </c>
      <c r="K12" s="10" t="s">
        <v>36</v>
      </c>
    </row>
    <row r="13" spans="1:11" x14ac:dyDescent="0.25">
      <c r="A13" s="6" t="s">
        <v>53</v>
      </c>
      <c r="B13" s="1" t="s">
        <v>54</v>
      </c>
      <c r="C13" s="1" t="s">
        <v>39</v>
      </c>
      <c r="D13" s="1" t="s">
        <v>28</v>
      </c>
      <c r="E13" s="1">
        <v>27</v>
      </c>
      <c r="F13" s="7">
        <v>44490</v>
      </c>
      <c r="G13" s="8">
        <v>109851</v>
      </c>
      <c r="H13" s="9">
        <v>0</v>
      </c>
      <c r="I13" s="1" t="s">
        <v>29</v>
      </c>
      <c r="J13" s="1" t="s">
        <v>30</v>
      </c>
      <c r="K13" s="10" t="s">
        <v>36</v>
      </c>
    </row>
    <row r="14" spans="1:11" x14ac:dyDescent="0.25">
      <c r="A14" s="6" t="s">
        <v>47</v>
      </c>
      <c r="B14" s="1" t="s">
        <v>52</v>
      </c>
      <c r="C14" s="1" t="s">
        <v>32</v>
      </c>
      <c r="D14" s="1" t="s">
        <v>33</v>
      </c>
      <c r="E14" s="1">
        <v>59</v>
      </c>
      <c r="F14" s="7">
        <v>36233</v>
      </c>
      <c r="G14" s="8">
        <v>105086</v>
      </c>
      <c r="H14" s="9">
        <v>0.09</v>
      </c>
      <c r="I14" s="1" t="s">
        <v>29</v>
      </c>
      <c r="J14" s="1" t="s">
        <v>51</v>
      </c>
      <c r="K14" s="10" t="s">
        <v>36</v>
      </c>
    </row>
    <row r="15" spans="1:11" x14ac:dyDescent="0.25">
      <c r="A15" s="6" t="s">
        <v>25</v>
      </c>
      <c r="B15" s="1" t="s">
        <v>38</v>
      </c>
      <c r="C15" s="1" t="s">
        <v>27</v>
      </c>
      <c r="D15" s="1" t="s">
        <v>28</v>
      </c>
      <c r="E15" s="1">
        <v>51</v>
      </c>
      <c r="F15" s="7">
        <v>44357</v>
      </c>
      <c r="G15" s="8">
        <v>146742</v>
      </c>
      <c r="H15" s="9">
        <v>0.1</v>
      </c>
      <c r="I15" s="1" t="s">
        <v>34</v>
      </c>
      <c r="J15" s="1" t="s">
        <v>55</v>
      </c>
      <c r="K15" s="10" t="s">
        <v>36</v>
      </c>
    </row>
    <row r="16" spans="1:11" x14ac:dyDescent="0.25">
      <c r="A16" s="6" t="s">
        <v>42</v>
      </c>
      <c r="B16" s="1" t="s">
        <v>50</v>
      </c>
      <c r="C16" s="1" t="s">
        <v>39</v>
      </c>
      <c r="D16" s="1" t="s">
        <v>33</v>
      </c>
      <c r="E16" s="1">
        <v>31</v>
      </c>
      <c r="F16" s="7">
        <v>43043</v>
      </c>
      <c r="G16" s="8">
        <v>97078</v>
      </c>
      <c r="H16" s="9">
        <v>0</v>
      </c>
      <c r="I16" s="1" t="s">
        <v>29</v>
      </c>
      <c r="J16" s="1" t="s">
        <v>51</v>
      </c>
      <c r="K16" s="10">
        <v>43899</v>
      </c>
    </row>
    <row r="17" spans="1:11" x14ac:dyDescent="0.25">
      <c r="A17" s="6" t="s">
        <v>56</v>
      </c>
      <c r="B17" s="1" t="s">
        <v>57</v>
      </c>
      <c r="C17" s="1" t="s">
        <v>27</v>
      </c>
      <c r="D17" s="1" t="s">
        <v>28</v>
      </c>
      <c r="E17" s="1">
        <v>41</v>
      </c>
      <c r="F17" s="7">
        <v>41346</v>
      </c>
      <c r="G17" s="8">
        <v>249270</v>
      </c>
      <c r="H17" s="9">
        <v>0.3</v>
      </c>
      <c r="I17" s="1" t="s">
        <v>29</v>
      </c>
      <c r="J17" s="1" t="s">
        <v>30</v>
      </c>
      <c r="K17" s="10" t="s">
        <v>36</v>
      </c>
    </row>
    <row r="18" spans="1:11" x14ac:dyDescent="0.25">
      <c r="A18" s="6" t="s">
        <v>37</v>
      </c>
      <c r="B18" s="1" t="s">
        <v>38</v>
      </c>
      <c r="C18" s="1" t="s">
        <v>27</v>
      </c>
      <c r="D18" s="1" t="s">
        <v>28</v>
      </c>
      <c r="E18" s="1">
        <v>65</v>
      </c>
      <c r="F18" s="7">
        <v>37319</v>
      </c>
      <c r="G18" s="8">
        <v>175837</v>
      </c>
      <c r="H18" s="9">
        <v>0.2</v>
      </c>
      <c r="I18" s="1" t="s">
        <v>29</v>
      </c>
      <c r="J18" s="1" t="s">
        <v>43</v>
      </c>
      <c r="K18" s="10" t="s">
        <v>36</v>
      </c>
    </row>
    <row r="19" spans="1:11" x14ac:dyDescent="0.25">
      <c r="A19" s="6" t="s">
        <v>25</v>
      </c>
      <c r="B19" s="1" t="s">
        <v>57</v>
      </c>
      <c r="C19" s="1" t="s">
        <v>39</v>
      </c>
      <c r="D19" s="1" t="s">
        <v>28</v>
      </c>
      <c r="E19" s="1">
        <v>64</v>
      </c>
      <c r="F19" s="7">
        <v>37956</v>
      </c>
      <c r="G19" s="8">
        <v>154828</v>
      </c>
      <c r="H19" s="9">
        <v>0.13</v>
      </c>
      <c r="I19" s="1" t="s">
        <v>29</v>
      </c>
      <c r="J19" s="1" t="s">
        <v>30</v>
      </c>
      <c r="K19" s="10" t="s">
        <v>36</v>
      </c>
    </row>
    <row r="20" spans="1:11" x14ac:dyDescent="0.25">
      <c r="A20" s="6" t="s">
        <v>37</v>
      </c>
      <c r="B20" s="1" t="s">
        <v>26</v>
      </c>
      <c r="C20" s="1" t="s">
        <v>46</v>
      </c>
      <c r="D20" s="1" t="s">
        <v>33</v>
      </c>
      <c r="E20" s="1">
        <v>64</v>
      </c>
      <c r="F20" s="7">
        <v>41581</v>
      </c>
      <c r="G20" s="8">
        <v>186503</v>
      </c>
      <c r="H20" s="9">
        <v>0.24</v>
      </c>
      <c r="I20" s="1" t="s">
        <v>29</v>
      </c>
      <c r="J20" s="1" t="s">
        <v>58</v>
      </c>
      <c r="K20" s="10" t="s">
        <v>36</v>
      </c>
    </row>
    <row r="21" spans="1:11" x14ac:dyDescent="0.25">
      <c r="A21" s="6" t="s">
        <v>37</v>
      </c>
      <c r="B21" s="1" t="s">
        <v>45</v>
      </c>
      <c r="C21" s="1" t="s">
        <v>27</v>
      </c>
      <c r="D21" s="1" t="s">
        <v>33</v>
      </c>
      <c r="E21" s="1">
        <v>45</v>
      </c>
      <c r="F21" s="7">
        <v>37446</v>
      </c>
      <c r="G21" s="8">
        <v>166331</v>
      </c>
      <c r="H21" s="9">
        <v>0.18</v>
      </c>
      <c r="I21" s="1" t="s">
        <v>34</v>
      </c>
      <c r="J21" s="1" t="s">
        <v>35</v>
      </c>
      <c r="K21" s="10" t="s">
        <v>36</v>
      </c>
    </row>
    <row r="22" spans="1:11" x14ac:dyDescent="0.25">
      <c r="A22" s="6" t="s">
        <v>25</v>
      </c>
      <c r="B22" s="1" t="s">
        <v>26</v>
      </c>
      <c r="C22" s="1" t="s">
        <v>32</v>
      </c>
      <c r="D22" s="1" t="s">
        <v>33</v>
      </c>
      <c r="E22" s="1">
        <v>56</v>
      </c>
      <c r="F22" s="7">
        <v>40917</v>
      </c>
      <c r="G22" s="8">
        <v>146140</v>
      </c>
      <c r="H22" s="9">
        <v>0.1</v>
      </c>
      <c r="I22" s="1" t="s">
        <v>59</v>
      </c>
      <c r="J22" s="1" t="s">
        <v>60</v>
      </c>
      <c r="K22" s="10" t="s">
        <v>36</v>
      </c>
    </row>
    <row r="23" spans="1:11" x14ac:dyDescent="0.25">
      <c r="A23" s="6" t="s">
        <v>37</v>
      </c>
      <c r="B23" s="1" t="s">
        <v>45</v>
      </c>
      <c r="C23" s="1" t="s">
        <v>32</v>
      </c>
      <c r="D23" s="1" t="s">
        <v>28</v>
      </c>
      <c r="E23" s="1">
        <v>36</v>
      </c>
      <c r="F23" s="7">
        <v>44288</v>
      </c>
      <c r="G23" s="8">
        <v>151703</v>
      </c>
      <c r="H23" s="9">
        <v>0.21</v>
      </c>
      <c r="I23" s="1" t="s">
        <v>29</v>
      </c>
      <c r="J23" s="1" t="s">
        <v>49</v>
      </c>
      <c r="K23" s="10" t="s">
        <v>36</v>
      </c>
    </row>
    <row r="24" spans="1:11" x14ac:dyDescent="0.25">
      <c r="A24" s="6" t="s">
        <v>37</v>
      </c>
      <c r="B24" s="1" t="s">
        <v>26</v>
      </c>
      <c r="C24" s="1" t="s">
        <v>27</v>
      </c>
      <c r="D24" s="1" t="s">
        <v>33</v>
      </c>
      <c r="E24" s="1">
        <v>59</v>
      </c>
      <c r="F24" s="7">
        <v>37400</v>
      </c>
      <c r="G24" s="8">
        <v>172787</v>
      </c>
      <c r="H24" s="9">
        <v>0.28000000000000003</v>
      </c>
      <c r="I24" s="1" t="s">
        <v>59</v>
      </c>
      <c r="J24" s="1" t="s">
        <v>61</v>
      </c>
      <c r="K24" s="10" t="s">
        <v>36</v>
      </c>
    </row>
    <row r="25" spans="1:11" x14ac:dyDescent="0.25">
      <c r="A25" s="6" t="s">
        <v>48</v>
      </c>
      <c r="B25" s="1" t="s">
        <v>45</v>
      </c>
      <c r="C25" s="1" t="s">
        <v>39</v>
      </c>
      <c r="D25" s="1" t="s">
        <v>33</v>
      </c>
      <c r="E25" s="1">
        <v>37</v>
      </c>
      <c r="F25" s="7">
        <v>43713</v>
      </c>
      <c r="G25" s="8">
        <v>49998</v>
      </c>
      <c r="H25" s="9">
        <v>0</v>
      </c>
      <c r="I25" s="1" t="s">
        <v>29</v>
      </c>
      <c r="J25" s="1" t="s">
        <v>30</v>
      </c>
      <c r="K25" s="10" t="s">
        <v>36</v>
      </c>
    </row>
    <row r="26" spans="1:11" x14ac:dyDescent="0.25">
      <c r="A26" s="6" t="s">
        <v>56</v>
      </c>
      <c r="B26" s="1" t="s">
        <v>45</v>
      </c>
      <c r="C26" s="1" t="s">
        <v>39</v>
      </c>
      <c r="D26" s="1" t="s">
        <v>33</v>
      </c>
      <c r="E26" s="1">
        <v>44</v>
      </c>
      <c r="F26" s="7">
        <v>41700</v>
      </c>
      <c r="G26" s="8">
        <v>207172</v>
      </c>
      <c r="H26" s="9">
        <v>0.31</v>
      </c>
      <c r="I26" s="1" t="s">
        <v>34</v>
      </c>
      <c r="J26" s="1" t="s">
        <v>35</v>
      </c>
      <c r="K26" s="10" t="s">
        <v>36</v>
      </c>
    </row>
    <row r="27" spans="1:11" x14ac:dyDescent="0.25">
      <c r="A27" s="6" t="s">
        <v>37</v>
      </c>
      <c r="B27" s="1" t="s">
        <v>52</v>
      </c>
      <c r="C27" s="1" t="s">
        <v>39</v>
      </c>
      <c r="D27" s="1" t="s">
        <v>33</v>
      </c>
      <c r="E27" s="1">
        <v>41</v>
      </c>
      <c r="F27" s="7">
        <v>42111</v>
      </c>
      <c r="G27" s="8">
        <v>152239</v>
      </c>
      <c r="H27" s="9">
        <v>0.23</v>
      </c>
      <c r="I27" s="1" t="s">
        <v>29</v>
      </c>
      <c r="J27" s="1" t="s">
        <v>58</v>
      </c>
      <c r="K27" s="10" t="s">
        <v>36</v>
      </c>
    </row>
    <row r="28" spans="1:11" x14ac:dyDescent="0.25">
      <c r="A28" s="6" t="s">
        <v>62</v>
      </c>
      <c r="B28" s="1" t="s">
        <v>54</v>
      </c>
      <c r="C28" s="1" t="s">
        <v>46</v>
      </c>
      <c r="D28" s="1" t="s">
        <v>28</v>
      </c>
      <c r="E28" s="1">
        <v>56</v>
      </c>
      <c r="F28" s="7">
        <v>38388</v>
      </c>
      <c r="G28" s="8">
        <v>98581</v>
      </c>
      <c r="H28" s="9">
        <v>0</v>
      </c>
      <c r="I28" s="1" t="s">
        <v>59</v>
      </c>
      <c r="J28" s="1" t="s">
        <v>61</v>
      </c>
      <c r="K28" s="10" t="s">
        <v>36</v>
      </c>
    </row>
    <row r="29" spans="1:11" x14ac:dyDescent="0.25">
      <c r="A29" s="6" t="s">
        <v>56</v>
      </c>
      <c r="B29" s="1" t="s">
        <v>54</v>
      </c>
      <c r="C29" s="1" t="s">
        <v>39</v>
      </c>
      <c r="D29" s="1" t="s">
        <v>33</v>
      </c>
      <c r="E29" s="1">
        <v>43</v>
      </c>
      <c r="F29" s="7">
        <v>38145</v>
      </c>
      <c r="G29" s="8">
        <v>246231</v>
      </c>
      <c r="H29" s="9">
        <v>0.31</v>
      </c>
      <c r="I29" s="1" t="s">
        <v>29</v>
      </c>
      <c r="J29" s="1" t="s">
        <v>30</v>
      </c>
      <c r="K29" s="10" t="s">
        <v>36</v>
      </c>
    </row>
    <row r="30" spans="1:11" x14ac:dyDescent="0.25">
      <c r="A30" s="6" t="s">
        <v>63</v>
      </c>
      <c r="B30" s="1" t="s">
        <v>54</v>
      </c>
      <c r="C30" s="1" t="s">
        <v>39</v>
      </c>
      <c r="D30" s="1" t="s">
        <v>33</v>
      </c>
      <c r="E30" s="1">
        <v>64</v>
      </c>
      <c r="F30" s="7">
        <v>35403</v>
      </c>
      <c r="G30" s="8">
        <v>99354</v>
      </c>
      <c r="H30" s="9">
        <v>0.12</v>
      </c>
      <c r="I30" s="1" t="s">
        <v>34</v>
      </c>
      <c r="J30" s="1" t="s">
        <v>64</v>
      </c>
      <c r="K30" s="10" t="s">
        <v>36</v>
      </c>
    </row>
    <row r="31" spans="1:11" x14ac:dyDescent="0.25">
      <c r="A31" s="6" t="s">
        <v>56</v>
      </c>
      <c r="B31" s="1" t="s">
        <v>26</v>
      </c>
      <c r="C31" s="1" t="s">
        <v>46</v>
      </c>
      <c r="D31" s="1" t="s">
        <v>33</v>
      </c>
      <c r="E31" s="1">
        <v>63</v>
      </c>
      <c r="F31" s="7">
        <v>41040</v>
      </c>
      <c r="G31" s="8">
        <v>231141</v>
      </c>
      <c r="H31" s="9">
        <v>0.34</v>
      </c>
      <c r="I31" s="1" t="s">
        <v>34</v>
      </c>
      <c r="J31" s="1" t="s">
        <v>64</v>
      </c>
      <c r="K31" s="10" t="s">
        <v>36</v>
      </c>
    </row>
    <row r="32" spans="1:11" x14ac:dyDescent="0.25">
      <c r="A32" s="6" t="s">
        <v>65</v>
      </c>
      <c r="B32" s="1" t="s">
        <v>26</v>
      </c>
      <c r="C32" s="1" t="s">
        <v>27</v>
      </c>
      <c r="D32" s="1" t="s">
        <v>33</v>
      </c>
      <c r="E32" s="1">
        <v>28</v>
      </c>
      <c r="F32" s="7">
        <v>42911</v>
      </c>
      <c r="G32" s="8">
        <v>54775</v>
      </c>
      <c r="H32" s="9">
        <v>0</v>
      </c>
      <c r="I32" s="1" t="s">
        <v>29</v>
      </c>
      <c r="J32" s="1" t="s">
        <v>58</v>
      </c>
      <c r="K32" s="10" t="s">
        <v>36</v>
      </c>
    </row>
    <row r="33" spans="1:11" x14ac:dyDescent="0.25">
      <c r="A33" s="6" t="s">
        <v>48</v>
      </c>
      <c r="B33" s="1" t="s">
        <v>38</v>
      </c>
      <c r="C33" s="1" t="s">
        <v>32</v>
      </c>
      <c r="D33" s="1" t="s">
        <v>33</v>
      </c>
      <c r="E33" s="1">
        <v>65</v>
      </c>
      <c r="F33" s="7">
        <v>38123</v>
      </c>
      <c r="G33" s="8">
        <v>55499</v>
      </c>
      <c r="H33" s="9">
        <v>0</v>
      </c>
      <c r="I33" s="1" t="s">
        <v>59</v>
      </c>
      <c r="J33" s="1" t="s">
        <v>60</v>
      </c>
      <c r="K33" s="10" t="s">
        <v>36</v>
      </c>
    </row>
    <row r="34" spans="1:11" x14ac:dyDescent="0.25">
      <c r="A34" s="6" t="s">
        <v>66</v>
      </c>
      <c r="B34" s="1" t="s">
        <v>45</v>
      </c>
      <c r="C34" s="1" t="s">
        <v>27</v>
      </c>
      <c r="D34" s="1" t="s">
        <v>33</v>
      </c>
      <c r="E34" s="1">
        <v>61</v>
      </c>
      <c r="F34" s="7">
        <v>39640</v>
      </c>
      <c r="G34" s="8">
        <v>66521</v>
      </c>
      <c r="H34" s="9">
        <v>0</v>
      </c>
      <c r="I34" s="1" t="s">
        <v>29</v>
      </c>
      <c r="J34" s="1" t="s">
        <v>30</v>
      </c>
      <c r="K34" s="10" t="s">
        <v>36</v>
      </c>
    </row>
    <row r="35" spans="1:11" x14ac:dyDescent="0.25">
      <c r="A35" s="6" t="s">
        <v>44</v>
      </c>
      <c r="B35" s="1" t="s">
        <v>45</v>
      </c>
      <c r="C35" s="1" t="s">
        <v>39</v>
      </c>
      <c r="D35" s="1" t="s">
        <v>33</v>
      </c>
      <c r="E35" s="1">
        <v>30</v>
      </c>
      <c r="F35" s="7">
        <v>42642</v>
      </c>
      <c r="G35" s="8">
        <v>59100</v>
      </c>
      <c r="H35" s="9">
        <v>0</v>
      </c>
      <c r="I35" s="1" t="s">
        <v>34</v>
      </c>
      <c r="J35" s="1" t="s">
        <v>35</v>
      </c>
      <c r="K35" s="10" t="s">
        <v>36</v>
      </c>
    </row>
    <row r="36" spans="1:11" x14ac:dyDescent="0.25">
      <c r="A36" s="6" t="s">
        <v>48</v>
      </c>
      <c r="B36" s="1" t="s">
        <v>38</v>
      </c>
      <c r="C36" s="1" t="s">
        <v>27</v>
      </c>
      <c r="D36" s="1" t="s">
        <v>28</v>
      </c>
      <c r="E36" s="1">
        <v>27</v>
      </c>
      <c r="F36" s="7">
        <v>43226</v>
      </c>
      <c r="G36" s="8">
        <v>49011</v>
      </c>
      <c r="H36" s="9">
        <v>0</v>
      </c>
      <c r="I36" s="1" t="s">
        <v>29</v>
      </c>
      <c r="J36" s="1" t="s">
        <v>40</v>
      </c>
      <c r="K36" s="10" t="s">
        <v>36</v>
      </c>
    </row>
    <row r="37" spans="1:11" x14ac:dyDescent="0.25">
      <c r="A37" s="6" t="s">
        <v>67</v>
      </c>
      <c r="B37" s="1" t="s">
        <v>26</v>
      </c>
      <c r="C37" s="1" t="s">
        <v>32</v>
      </c>
      <c r="D37" s="1" t="s">
        <v>28</v>
      </c>
      <c r="E37" s="1">
        <v>32</v>
      </c>
      <c r="F37" s="7">
        <v>41681</v>
      </c>
      <c r="G37" s="8">
        <v>99575</v>
      </c>
      <c r="H37" s="9">
        <v>0</v>
      </c>
      <c r="I37" s="1" t="s">
        <v>29</v>
      </c>
      <c r="J37" s="1" t="s">
        <v>51</v>
      </c>
      <c r="K37" s="10" t="s">
        <v>36</v>
      </c>
    </row>
    <row r="38" spans="1:11" x14ac:dyDescent="0.25">
      <c r="A38" s="6" t="s">
        <v>53</v>
      </c>
      <c r="B38" s="1" t="s">
        <v>54</v>
      </c>
      <c r="C38" s="1" t="s">
        <v>32</v>
      </c>
      <c r="D38" s="1" t="s">
        <v>28</v>
      </c>
      <c r="E38" s="1">
        <v>34</v>
      </c>
      <c r="F38" s="7">
        <v>43815</v>
      </c>
      <c r="G38" s="8">
        <v>99989</v>
      </c>
      <c r="H38" s="9">
        <v>0</v>
      </c>
      <c r="I38" s="1" t="s">
        <v>34</v>
      </c>
      <c r="J38" s="1" t="s">
        <v>68</v>
      </c>
      <c r="K38" s="10" t="s">
        <v>36</v>
      </c>
    </row>
    <row r="39" spans="1:11" x14ac:dyDescent="0.25">
      <c r="A39" s="6" t="s">
        <v>56</v>
      </c>
      <c r="B39" s="1" t="s">
        <v>57</v>
      </c>
      <c r="C39" s="1" t="s">
        <v>27</v>
      </c>
      <c r="D39" s="1" t="s">
        <v>33</v>
      </c>
      <c r="E39" s="1">
        <v>27</v>
      </c>
      <c r="F39" s="7">
        <v>43758</v>
      </c>
      <c r="G39" s="8">
        <v>256420</v>
      </c>
      <c r="H39" s="9">
        <v>0.3</v>
      </c>
      <c r="I39" s="1" t="s">
        <v>29</v>
      </c>
      <c r="J39" s="1" t="s">
        <v>43</v>
      </c>
      <c r="K39" s="10" t="s">
        <v>36</v>
      </c>
    </row>
    <row r="40" spans="1:11" x14ac:dyDescent="0.25">
      <c r="A40" s="6" t="s">
        <v>31</v>
      </c>
      <c r="B40" s="1" t="s">
        <v>26</v>
      </c>
      <c r="C40" s="1" t="s">
        <v>32</v>
      </c>
      <c r="D40" s="1" t="s">
        <v>28</v>
      </c>
      <c r="E40" s="1">
        <v>35</v>
      </c>
      <c r="F40" s="7">
        <v>41409</v>
      </c>
      <c r="G40" s="8">
        <v>78940</v>
      </c>
      <c r="H40" s="9">
        <v>0</v>
      </c>
      <c r="I40" s="1" t="s">
        <v>29</v>
      </c>
      <c r="J40" s="1" t="s">
        <v>49</v>
      </c>
      <c r="K40" s="10" t="s">
        <v>36</v>
      </c>
    </row>
    <row r="41" spans="1:11" x14ac:dyDescent="0.25">
      <c r="A41" s="6" t="s">
        <v>67</v>
      </c>
      <c r="B41" s="1" t="s">
        <v>26</v>
      </c>
      <c r="C41" s="1" t="s">
        <v>46</v>
      </c>
      <c r="D41" s="1" t="s">
        <v>28</v>
      </c>
      <c r="E41" s="1">
        <v>57</v>
      </c>
      <c r="F41" s="7">
        <v>34337</v>
      </c>
      <c r="G41" s="8">
        <v>82872</v>
      </c>
      <c r="H41" s="9">
        <v>0</v>
      </c>
      <c r="I41" s="1" t="s">
        <v>59</v>
      </c>
      <c r="J41" s="1" t="s">
        <v>60</v>
      </c>
      <c r="K41" s="10" t="s">
        <v>36</v>
      </c>
    </row>
    <row r="42" spans="1:11" x14ac:dyDescent="0.25">
      <c r="A42" s="6" t="s">
        <v>69</v>
      </c>
      <c r="B42" s="1" t="s">
        <v>52</v>
      </c>
      <c r="C42" s="1" t="s">
        <v>39</v>
      </c>
      <c r="D42" s="1" t="s">
        <v>33</v>
      </c>
      <c r="E42" s="1">
        <v>30</v>
      </c>
      <c r="F42" s="7">
        <v>42884</v>
      </c>
      <c r="G42" s="8">
        <v>86317</v>
      </c>
      <c r="H42" s="9">
        <v>0</v>
      </c>
      <c r="I42" s="1" t="s">
        <v>34</v>
      </c>
      <c r="J42" s="1" t="s">
        <v>68</v>
      </c>
      <c r="K42" s="10">
        <v>42932</v>
      </c>
    </row>
    <row r="43" spans="1:11" x14ac:dyDescent="0.25">
      <c r="A43" s="6" t="s">
        <v>47</v>
      </c>
      <c r="B43" s="1" t="s">
        <v>57</v>
      </c>
      <c r="C43" s="1" t="s">
        <v>39</v>
      </c>
      <c r="D43" s="1" t="s">
        <v>28</v>
      </c>
      <c r="E43" s="1">
        <v>53</v>
      </c>
      <c r="F43" s="7">
        <v>41601</v>
      </c>
      <c r="G43" s="8">
        <v>113135</v>
      </c>
      <c r="H43" s="9">
        <v>0.05</v>
      </c>
      <c r="I43" s="1" t="s">
        <v>29</v>
      </c>
      <c r="J43" s="1" t="s">
        <v>51</v>
      </c>
      <c r="K43" s="10" t="s">
        <v>36</v>
      </c>
    </row>
    <row r="44" spans="1:11" x14ac:dyDescent="0.25">
      <c r="A44" s="6" t="s">
        <v>56</v>
      </c>
      <c r="B44" s="1" t="s">
        <v>26</v>
      </c>
      <c r="C44" s="1" t="s">
        <v>39</v>
      </c>
      <c r="D44" s="1" t="s">
        <v>33</v>
      </c>
      <c r="E44" s="1">
        <v>52</v>
      </c>
      <c r="F44" s="7">
        <v>38664</v>
      </c>
      <c r="G44" s="8">
        <v>199808</v>
      </c>
      <c r="H44" s="9">
        <v>0.32</v>
      </c>
      <c r="I44" s="1" t="s">
        <v>29</v>
      </c>
      <c r="J44" s="1" t="s">
        <v>30</v>
      </c>
      <c r="K44" s="10" t="s">
        <v>36</v>
      </c>
    </row>
    <row r="45" spans="1:11" x14ac:dyDescent="0.25">
      <c r="A45" s="6" t="s">
        <v>44</v>
      </c>
      <c r="B45" s="1" t="s">
        <v>45</v>
      </c>
      <c r="C45" s="1" t="s">
        <v>39</v>
      </c>
      <c r="D45" s="1" t="s">
        <v>33</v>
      </c>
      <c r="E45" s="1">
        <v>37</v>
      </c>
      <c r="F45" s="7">
        <v>41592</v>
      </c>
      <c r="G45" s="8">
        <v>56037</v>
      </c>
      <c r="H45" s="9">
        <v>0</v>
      </c>
      <c r="I45" s="1" t="s">
        <v>34</v>
      </c>
      <c r="J45" s="1" t="s">
        <v>55</v>
      </c>
      <c r="K45" s="10" t="s">
        <v>36</v>
      </c>
    </row>
    <row r="46" spans="1:11" x14ac:dyDescent="0.25">
      <c r="A46" s="6" t="s">
        <v>25</v>
      </c>
      <c r="B46" s="1" t="s">
        <v>57</v>
      </c>
      <c r="C46" s="1" t="s">
        <v>27</v>
      </c>
      <c r="D46" s="1" t="s">
        <v>28</v>
      </c>
      <c r="E46" s="1">
        <v>29</v>
      </c>
      <c r="F46" s="7">
        <v>43609</v>
      </c>
      <c r="G46" s="8">
        <v>122350</v>
      </c>
      <c r="H46" s="9">
        <v>0.12</v>
      </c>
      <c r="I46" s="1" t="s">
        <v>29</v>
      </c>
      <c r="J46" s="1" t="s">
        <v>43</v>
      </c>
      <c r="K46" s="10" t="s">
        <v>36</v>
      </c>
    </row>
    <row r="47" spans="1:11" x14ac:dyDescent="0.25">
      <c r="A47" s="6" t="s">
        <v>67</v>
      </c>
      <c r="B47" s="1" t="s">
        <v>26</v>
      </c>
      <c r="C47" s="1" t="s">
        <v>27</v>
      </c>
      <c r="D47" s="1" t="s">
        <v>33</v>
      </c>
      <c r="E47" s="1">
        <v>40</v>
      </c>
      <c r="F47" s="7">
        <v>40486</v>
      </c>
      <c r="G47" s="8">
        <v>92952</v>
      </c>
      <c r="H47" s="9">
        <v>0</v>
      </c>
      <c r="I47" s="1" t="s">
        <v>29</v>
      </c>
      <c r="J47" s="1" t="s">
        <v>30</v>
      </c>
      <c r="K47" s="10" t="s">
        <v>36</v>
      </c>
    </row>
    <row r="48" spans="1:11" x14ac:dyDescent="0.25">
      <c r="A48" s="6" t="s">
        <v>41</v>
      </c>
      <c r="B48" s="1" t="s">
        <v>26</v>
      </c>
      <c r="C48" s="1" t="s">
        <v>46</v>
      </c>
      <c r="D48" s="1" t="s">
        <v>33</v>
      </c>
      <c r="E48" s="1">
        <v>32</v>
      </c>
      <c r="F48" s="7">
        <v>41353</v>
      </c>
      <c r="G48" s="8">
        <v>79921</v>
      </c>
      <c r="H48" s="9">
        <v>0.05</v>
      </c>
      <c r="I48" s="1" t="s">
        <v>29</v>
      </c>
      <c r="J48" s="1" t="s">
        <v>51</v>
      </c>
      <c r="K48" s="10" t="s">
        <v>36</v>
      </c>
    </row>
    <row r="49" spans="1:11" x14ac:dyDescent="0.25">
      <c r="A49" s="6" t="s">
        <v>37</v>
      </c>
      <c r="B49" s="1" t="s">
        <v>26</v>
      </c>
      <c r="C49" s="1" t="s">
        <v>27</v>
      </c>
      <c r="D49" s="1" t="s">
        <v>28</v>
      </c>
      <c r="E49" s="1">
        <v>37</v>
      </c>
      <c r="F49" s="7">
        <v>40076</v>
      </c>
      <c r="G49" s="8">
        <v>167199</v>
      </c>
      <c r="H49" s="9">
        <v>0.2</v>
      </c>
      <c r="I49" s="1" t="s">
        <v>29</v>
      </c>
      <c r="J49" s="1" t="s">
        <v>30</v>
      </c>
      <c r="K49" s="10" t="s">
        <v>36</v>
      </c>
    </row>
    <row r="50" spans="1:11" x14ac:dyDescent="0.25">
      <c r="A50" s="6" t="s">
        <v>62</v>
      </c>
      <c r="B50" s="1" t="s">
        <v>54</v>
      </c>
      <c r="C50" s="1" t="s">
        <v>27</v>
      </c>
      <c r="D50" s="1" t="s">
        <v>33</v>
      </c>
      <c r="E50" s="1">
        <v>52</v>
      </c>
      <c r="F50" s="7">
        <v>41199</v>
      </c>
      <c r="G50" s="8">
        <v>71476</v>
      </c>
      <c r="H50" s="9">
        <v>0</v>
      </c>
      <c r="I50" s="1" t="s">
        <v>29</v>
      </c>
      <c r="J50" s="1" t="s">
        <v>43</v>
      </c>
      <c r="K50" s="10" t="s">
        <v>36</v>
      </c>
    </row>
    <row r="51" spans="1:11" x14ac:dyDescent="0.25">
      <c r="A51" s="6" t="s">
        <v>37</v>
      </c>
      <c r="B51" s="1" t="s">
        <v>54</v>
      </c>
      <c r="C51" s="1" t="s">
        <v>32</v>
      </c>
      <c r="D51" s="1" t="s">
        <v>28</v>
      </c>
      <c r="E51" s="1">
        <v>45</v>
      </c>
      <c r="F51" s="7">
        <v>41941</v>
      </c>
      <c r="G51" s="8">
        <v>189420</v>
      </c>
      <c r="H51" s="9">
        <v>0.2</v>
      </c>
      <c r="I51" s="1" t="s">
        <v>29</v>
      </c>
      <c r="J51" s="1" t="s">
        <v>30</v>
      </c>
      <c r="K51" s="10" t="s">
        <v>36</v>
      </c>
    </row>
    <row r="52" spans="1:11" x14ac:dyDescent="0.25">
      <c r="A52" s="6" t="s">
        <v>70</v>
      </c>
      <c r="B52" s="1" t="s">
        <v>52</v>
      </c>
      <c r="C52" s="1" t="s">
        <v>27</v>
      </c>
      <c r="D52" s="1" t="s">
        <v>28</v>
      </c>
      <c r="E52" s="1">
        <v>64</v>
      </c>
      <c r="F52" s="7">
        <v>37184</v>
      </c>
      <c r="G52" s="8">
        <v>64057</v>
      </c>
      <c r="H52" s="9">
        <v>0</v>
      </c>
      <c r="I52" s="1" t="s">
        <v>29</v>
      </c>
      <c r="J52" s="1" t="s">
        <v>43</v>
      </c>
      <c r="K52" s="10" t="s">
        <v>36</v>
      </c>
    </row>
    <row r="53" spans="1:11" x14ac:dyDescent="0.25">
      <c r="A53" s="6" t="s">
        <v>66</v>
      </c>
      <c r="B53" s="1" t="s">
        <v>57</v>
      </c>
      <c r="C53" s="1" t="s">
        <v>32</v>
      </c>
      <c r="D53" s="1" t="s">
        <v>28</v>
      </c>
      <c r="E53" s="1">
        <v>27</v>
      </c>
      <c r="F53" s="7">
        <v>44460</v>
      </c>
      <c r="G53" s="8">
        <v>68728</v>
      </c>
      <c r="H53" s="9">
        <v>0</v>
      </c>
      <c r="I53" s="1" t="s">
        <v>29</v>
      </c>
      <c r="J53" s="1" t="s">
        <v>43</v>
      </c>
      <c r="K53" s="10" t="s">
        <v>36</v>
      </c>
    </row>
    <row r="54" spans="1:11" x14ac:dyDescent="0.25">
      <c r="A54" s="6" t="s">
        <v>25</v>
      </c>
      <c r="B54" s="1" t="s">
        <v>26</v>
      </c>
      <c r="C54" s="1" t="s">
        <v>32</v>
      </c>
      <c r="D54" s="1" t="s">
        <v>28</v>
      </c>
      <c r="E54" s="1">
        <v>25</v>
      </c>
      <c r="F54" s="7">
        <v>44379</v>
      </c>
      <c r="G54" s="8">
        <v>125633</v>
      </c>
      <c r="H54" s="9">
        <v>0.11</v>
      </c>
      <c r="I54" s="1" t="s">
        <v>34</v>
      </c>
      <c r="J54" s="1" t="s">
        <v>64</v>
      </c>
      <c r="K54" s="10" t="s">
        <v>36</v>
      </c>
    </row>
    <row r="55" spans="1:11" x14ac:dyDescent="0.25">
      <c r="A55" s="6" t="s">
        <v>66</v>
      </c>
      <c r="B55" s="1" t="s">
        <v>57</v>
      </c>
      <c r="C55" s="1" t="s">
        <v>32</v>
      </c>
      <c r="D55" s="1" t="s">
        <v>33</v>
      </c>
      <c r="E55" s="1">
        <v>35</v>
      </c>
      <c r="F55" s="7">
        <v>40678</v>
      </c>
      <c r="G55" s="8">
        <v>66889</v>
      </c>
      <c r="H55" s="9">
        <v>0</v>
      </c>
      <c r="I55" s="1" t="s">
        <v>29</v>
      </c>
      <c r="J55" s="1" t="s">
        <v>58</v>
      </c>
      <c r="K55" s="10" t="s">
        <v>36</v>
      </c>
    </row>
    <row r="56" spans="1:11" x14ac:dyDescent="0.25">
      <c r="A56" s="6" t="s">
        <v>37</v>
      </c>
      <c r="B56" s="1" t="s">
        <v>50</v>
      </c>
      <c r="C56" s="1" t="s">
        <v>27</v>
      </c>
      <c r="D56" s="1" t="s">
        <v>28</v>
      </c>
      <c r="E56" s="1">
        <v>36</v>
      </c>
      <c r="F56" s="7">
        <v>42276</v>
      </c>
      <c r="G56" s="8">
        <v>178700</v>
      </c>
      <c r="H56" s="9">
        <v>0.28999999999999998</v>
      </c>
      <c r="I56" s="1" t="s">
        <v>29</v>
      </c>
      <c r="J56" s="1" t="s">
        <v>30</v>
      </c>
      <c r="K56" s="10" t="s">
        <v>36</v>
      </c>
    </row>
    <row r="57" spans="1:11" x14ac:dyDescent="0.25">
      <c r="A57" s="6" t="s">
        <v>71</v>
      </c>
      <c r="B57" s="1" t="s">
        <v>54</v>
      </c>
      <c r="C57" s="1" t="s">
        <v>27</v>
      </c>
      <c r="D57" s="1" t="s">
        <v>28</v>
      </c>
      <c r="E57" s="1">
        <v>33</v>
      </c>
      <c r="F57" s="7">
        <v>43456</v>
      </c>
      <c r="G57" s="8">
        <v>83990</v>
      </c>
      <c r="H57" s="9">
        <v>0</v>
      </c>
      <c r="I57" s="1" t="s">
        <v>29</v>
      </c>
      <c r="J57" s="1" t="s">
        <v>40</v>
      </c>
      <c r="K57" s="10" t="s">
        <v>36</v>
      </c>
    </row>
    <row r="58" spans="1:11" x14ac:dyDescent="0.25">
      <c r="A58" s="6" t="s">
        <v>72</v>
      </c>
      <c r="B58" s="1" t="s">
        <v>54</v>
      </c>
      <c r="C58" s="1" t="s">
        <v>46</v>
      </c>
      <c r="D58" s="1" t="s">
        <v>28</v>
      </c>
      <c r="E58" s="1">
        <v>52</v>
      </c>
      <c r="F58" s="7">
        <v>38696</v>
      </c>
      <c r="G58" s="8">
        <v>102043</v>
      </c>
      <c r="H58" s="9">
        <v>0</v>
      </c>
      <c r="I58" s="1" t="s">
        <v>29</v>
      </c>
      <c r="J58" s="1" t="s">
        <v>40</v>
      </c>
      <c r="K58" s="10" t="s">
        <v>36</v>
      </c>
    </row>
    <row r="59" spans="1:11" x14ac:dyDescent="0.25">
      <c r="A59" s="6" t="s">
        <v>73</v>
      </c>
      <c r="B59" s="1" t="s">
        <v>54</v>
      </c>
      <c r="C59" s="1" t="s">
        <v>32</v>
      </c>
      <c r="D59" s="1" t="s">
        <v>28</v>
      </c>
      <c r="E59" s="1">
        <v>46</v>
      </c>
      <c r="F59" s="7">
        <v>37041</v>
      </c>
      <c r="G59" s="8">
        <v>90678</v>
      </c>
      <c r="H59" s="9">
        <v>0</v>
      </c>
      <c r="I59" s="1" t="s">
        <v>29</v>
      </c>
      <c r="J59" s="1" t="s">
        <v>58</v>
      </c>
      <c r="K59" s="10" t="s">
        <v>36</v>
      </c>
    </row>
    <row r="60" spans="1:11" x14ac:dyDescent="0.25">
      <c r="A60" s="6" t="s">
        <v>74</v>
      </c>
      <c r="B60" s="1" t="s">
        <v>52</v>
      </c>
      <c r="C60" s="1" t="s">
        <v>32</v>
      </c>
      <c r="D60" s="1" t="s">
        <v>28</v>
      </c>
      <c r="E60" s="1">
        <v>46</v>
      </c>
      <c r="F60" s="7">
        <v>39681</v>
      </c>
      <c r="G60" s="8">
        <v>59067</v>
      </c>
      <c r="H60" s="9">
        <v>0</v>
      </c>
      <c r="I60" s="1" t="s">
        <v>29</v>
      </c>
      <c r="J60" s="1" t="s">
        <v>49</v>
      </c>
      <c r="K60" s="10" t="s">
        <v>36</v>
      </c>
    </row>
    <row r="61" spans="1:11" x14ac:dyDescent="0.25">
      <c r="A61" s="6" t="s">
        <v>25</v>
      </c>
      <c r="B61" s="1" t="s">
        <v>57</v>
      </c>
      <c r="C61" s="1" t="s">
        <v>27</v>
      </c>
      <c r="D61" s="1" t="s">
        <v>33</v>
      </c>
      <c r="E61" s="1">
        <v>45</v>
      </c>
      <c r="F61" s="7">
        <v>44266</v>
      </c>
      <c r="G61" s="8">
        <v>135062</v>
      </c>
      <c r="H61" s="9">
        <v>0.15</v>
      </c>
      <c r="I61" s="1" t="s">
        <v>34</v>
      </c>
      <c r="J61" s="1" t="s">
        <v>68</v>
      </c>
      <c r="K61" s="10" t="s">
        <v>36</v>
      </c>
    </row>
    <row r="62" spans="1:11" x14ac:dyDescent="0.25">
      <c r="A62" s="6" t="s">
        <v>25</v>
      </c>
      <c r="B62" s="1" t="s">
        <v>26</v>
      </c>
      <c r="C62" s="1" t="s">
        <v>46</v>
      </c>
      <c r="D62" s="1" t="s">
        <v>28</v>
      </c>
      <c r="E62" s="1">
        <v>55</v>
      </c>
      <c r="F62" s="7">
        <v>38945</v>
      </c>
      <c r="G62" s="8">
        <v>159044</v>
      </c>
      <c r="H62" s="9">
        <v>0.1</v>
      </c>
      <c r="I62" s="1" t="s">
        <v>59</v>
      </c>
      <c r="J62" s="1" t="s">
        <v>60</v>
      </c>
      <c r="K62" s="10" t="s">
        <v>36</v>
      </c>
    </row>
    <row r="63" spans="1:11" x14ac:dyDescent="0.25">
      <c r="A63" s="6" t="s">
        <v>42</v>
      </c>
      <c r="B63" s="1" t="s">
        <v>50</v>
      </c>
      <c r="C63" s="1" t="s">
        <v>32</v>
      </c>
      <c r="D63" s="1" t="s">
        <v>28</v>
      </c>
      <c r="E63" s="1">
        <v>44</v>
      </c>
      <c r="F63" s="7">
        <v>43467</v>
      </c>
      <c r="G63" s="8">
        <v>74691</v>
      </c>
      <c r="H63" s="9">
        <v>0</v>
      </c>
      <c r="I63" s="1" t="s">
        <v>59</v>
      </c>
      <c r="J63" s="1" t="s">
        <v>60</v>
      </c>
      <c r="K63" s="10">
        <v>44020</v>
      </c>
    </row>
    <row r="64" spans="1:11" x14ac:dyDescent="0.25">
      <c r="A64" s="6" t="s">
        <v>63</v>
      </c>
      <c r="B64" s="1" t="s">
        <v>54</v>
      </c>
      <c r="C64" s="1" t="s">
        <v>46</v>
      </c>
      <c r="D64" s="1" t="s">
        <v>28</v>
      </c>
      <c r="E64" s="1">
        <v>44</v>
      </c>
      <c r="F64" s="7">
        <v>39800</v>
      </c>
      <c r="G64" s="8">
        <v>92753</v>
      </c>
      <c r="H64" s="9">
        <v>0.13</v>
      </c>
      <c r="I64" s="1" t="s">
        <v>29</v>
      </c>
      <c r="J64" s="1" t="s">
        <v>51</v>
      </c>
      <c r="K64" s="10">
        <v>44371</v>
      </c>
    </row>
    <row r="65" spans="1:11" x14ac:dyDescent="0.25">
      <c r="A65" s="6" t="s">
        <v>56</v>
      </c>
      <c r="B65" s="1" t="s">
        <v>52</v>
      </c>
      <c r="C65" s="1" t="s">
        <v>39</v>
      </c>
      <c r="D65" s="1" t="s">
        <v>33</v>
      </c>
      <c r="E65" s="1">
        <v>45</v>
      </c>
      <c r="F65" s="7">
        <v>41493</v>
      </c>
      <c r="G65" s="8">
        <v>236946</v>
      </c>
      <c r="H65" s="9">
        <v>0.37</v>
      </c>
      <c r="I65" s="1" t="s">
        <v>29</v>
      </c>
      <c r="J65" s="1" t="s">
        <v>30</v>
      </c>
      <c r="K65" s="10" t="s">
        <v>36</v>
      </c>
    </row>
    <row r="66" spans="1:11" x14ac:dyDescent="0.25">
      <c r="A66" s="6" t="s">
        <v>48</v>
      </c>
      <c r="B66" s="1" t="s">
        <v>38</v>
      </c>
      <c r="C66" s="1" t="s">
        <v>46</v>
      </c>
      <c r="D66" s="1" t="s">
        <v>28</v>
      </c>
      <c r="E66" s="1">
        <v>36</v>
      </c>
      <c r="F66" s="7">
        <v>44435</v>
      </c>
      <c r="G66" s="8">
        <v>48906</v>
      </c>
      <c r="H66" s="9">
        <v>0</v>
      </c>
      <c r="I66" s="1" t="s">
        <v>29</v>
      </c>
      <c r="J66" s="1" t="s">
        <v>49</v>
      </c>
      <c r="K66" s="10" t="s">
        <v>36</v>
      </c>
    </row>
    <row r="67" spans="1:11" x14ac:dyDescent="0.25">
      <c r="A67" s="6" t="s">
        <v>42</v>
      </c>
      <c r="B67" s="1" t="s">
        <v>45</v>
      </c>
      <c r="C67" s="1" t="s">
        <v>46</v>
      </c>
      <c r="D67" s="1" t="s">
        <v>28</v>
      </c>
      <c r="E67" s="1">
        <v>38</v>
      </c>
      <c r="F67" s="7">
        <v>39474</v>
      </c>
      <c r="G67" s="8">
        <v>80024</v>
      </c>
      <c r="H67" s="9">
        <v>0</v>
      </c>
      <c r="I67" s="1" t="s">
        <v>29</v>
      </c>
      <c r="J67" s="1" t="s">
        <v>58</v>
      </c>
      <c r="K67" s="10" t="s">
        <v>36</v>
      </c>
    </row>
    <row r="68" spans="1:11" x14ac:dyDescent="0.25">
      <c r="A68" s="6" t="s">
        <v>70</v>
      </c>
      <c r="B68" s="1" t="s">
        <v>52</v>
      </c>
      <c r="C68" s="1" t="s">
        <v>39</v>
      </c>
      <c r="D68" s="1" t="s">
        <v>28</v>
      </c>
      <c r="E68" s="1">
        <v>41</v>
      </c>
      <c r="F68" s="7">
        <v>40109</v>
      </c>
      <c r="G68" s="8">
        <v>54415</v>
      </c>
      <c r="H68" s="9">
        <v>0</v>
      </c>
      <c r="I68" s="1" t="s">
        <v>29</v>
      </c>
      <c r="J68" s="1" t="s">
        <v>30</v>
      </c>
      <c r="K68" s="10">
        <v>41661</v>
      </c>
    </row>
    <row r="69" spans="1:11" x14ac:dyDescent="0.25">
      <c r="A69" s="6" t="s">
        <v>47</v>
      </c>
      <c r="B69" s="1" t="s">
        <v>57</v>
      </c>
      <c r="C69" s="1" t="s">
        <v>27</v>
      </c>
      <c r="D69" s="1" t="s">
        <v>28</v>
      </c>
      <c r="E69" s="1">
        <v>30</v>
      </c>
      <c r="F69" s="7">
        <v>42484</v>
      </c>
      <c r="G69" s="8">
        <v>120341</v>
      </c>
      <c r="H69" s="9">
        <v>7.0000000000000007E-2</v>
      </c>
      <c r="I69" s="1" t="s">
        <v>29</v>
      </c>
      <c r="J69" s="1" t="s">
        <v>30</v>
      </c>
      <c r="K69" s="10" t="s">
        <v>36</v>
      </c>
    </row>
    <row r="70" spans="1:11" x14ac:dyDescent="0.25">
      <c r="A70" s="6" t="s">
        <v>56</v>
      </c>
      <c r="B70" s="1" t="s">
        <v>26</v>
      </c>
      <c r="C70" s="1" t="s">
        <v>39</v>
      </c>
      <c r="D70" s="1" t="s">
        <v>28</v>
      </c>
      <c r="E70" s="1">
        <v>43</v>
      </c>
      <c r="F70" s="7">
        <v>40029</v>
      </c>
      <c r="G70" s="8">
        <v>208415</v>
      </c>
      <c r="H70" s="9">
        <v>0.35</v>
      </c>
      <c r="I70" s="1" t="s">
        <v>29</v>
      </c>
      <c r="J70" s="1" t="s">
        <v>30</v>
      </c>
      <c r="K70" s="10" t="s">
        <v>36</v>
      </c>
    </row>
    <row r="71" spans="1:11" x14ac:dyDescent="0.25">
      <c r="A71" s="6" t="s">
        <v>75</v>
      </c>
      <c r="B71" s="1" t="s">
        <v>26</v>
      </c>
      <c r="C71" s="1" t="s">
        <v>39</v>
      </c>
      <c r="D71" s="1" t="s">
        <v>28</v>
      </c>
      <c r="E71" s="1">
        <v>32</v>
      </c>
      <c r="F71" s="7">
        <v>43835</v>
      </c>
      <c r="G71" s="8">
        <v>78844</v>
      </c>
      <c r="H71" s="9">
        <v>0</v>
      </c>
      <c r="I71" s="1" t="s">
        <v>29</v>
      </c>
      <c r="J71" s="1" t="s">
        <v>30</v>
      </c>
      <c r="K71" s="10" t="s">
        <v>36</v>
      </c>
    </row>
    <row r="72" spans="1:11" x14ac:dyDescent="0.25">
      <c r="A72" s="6" t="s">
        <v>71</v>
      </c>
      <c r="B72" s="1" t="s">
        <v>54</v>
      </c>
      <c r="C72" s="1" t="s">
        <v>32</v>
      </c>
      <c r="D72" s="1" t="s">
        <v>33</v>
      </c>
      <c r="E72" s="1">
        <v>58</v>
      </c>
      <c r="F72" s="7">
        <v>37399</v>
      </c>
      <c r="G72" s="8">
        <v>76354</v>
      </c>
      <c r="H72" s="9">
        <v>0</v>
      </c>
      <c r="I72" s="1" t="s">
        <v>29</v>
      </c>
      <c r="J72" s="1" t="s">
        <v>43</v>
      </c>
      <c r="K72" s="10">
        <v>44465</v>
      </c>
    </row>
    <row r="73" spans="1:11" x14ac:dyDescent="0.25">
      <c r="A73" s="6" t="s">
        <v>37</v>
      </c>
      <c r="B73" s="1" t="s">
        <v>38</v>
      </c>
      <c r="C73" s="1" t="s">
        <v>39</v>
      </c>
      <c r="D73" s="1" t="s">
        <v>28</v>
      </c>
      <c r="E73" s="1">
        <v>37</v>
      </c>
      <c r="F73" s="7">
        <v>43493</v>
      </c>
      <c r="G73" s="8">
        <v>165927</v>
      </c>
      <c r="H73" s="9">
        <v>0.2</v>
      </c>
      <c r="I73" s="1" t="s">
        <v>29</v>
      </c>
      <c r="J73" s="1" t="s">
        <v>43</v>
      </c>
      <c r="K73" s="10" t="s">
        <v>36</v>
      </c>
    </row>
    <row r="74" spans="1:11" x14ac:dyDescent="0.25">
      <c r="A74" s="6" t="s">
        <v>47</v>
      </c>
      <c r="B74" s="1" t="s">
        <v>50</v>
      </c>
      <c r="C74" s="1" t="s">
        <v>39</v>
      </c>
      <c r="D74" s="1" t="s">
        <v>28</v>
      </c>
      <c r="E74" s="1">
        <v>38</v>
      </c>
      <c r="F74" s="7">
        <v>44516</v>
      </c>
      <c r="G74" s="8">
        <v>109812</v>
      </c>
      <c r="H74" s="9">
        <v>0.09</v>
      </c>
      <c r="I74" s="1" t="s">
        <v>59</v>
      </c>
      <c r="J74" s="1" t="s">
        <v>60</v>
      </c>
      <c r="K74" s="10" t="s">
        <v>36</v>
      </c>
    </row>
    <row r="75" spans="1:11" x14ac:dyDescent="0.25">
      <c r="A75" s="6" t="s">
        <v>53</v>
      </c>
      <c r="B75" s="1" t="s">
        <v>54</v>
      </c>
      <c r="C75" s="1" t="s">
        <v>46</v>
      </c>
      <c r="D75" s="1" t="s">
        <v>33</v>
      </c>
      <c r="E75" s="1">
        <v>55</v>
      </c>
      <c r="F75" s="7">
        <v>36041</v>
      </c>
      <c r="G75" s="8">
        <v>86299</v>
      </c>
      <c r="H75" s="9">
        <v>0</v>
      </c>
      <c r="I75" s="1" t="s">
        <v>29</v>
      </c>
      <c r="J75" s="1" t="s">
        <v>30</v>
      </c>
      <c r="K75" s="10" t="s">
        <v>36</v>
      </c>
    </row>
    <row r="76" spans="1:11" x14ac:dyDescent="0.25">
      <c r="A76" s="6" t="s">
        <v>56</v>
      </c>
      <c r="B76" s="1" t="s">
        <v>57</v>
      </c>
      <c r="C76" s="1" t="s">
        <v>27</v>
      </c>
      <c r="D76" s="1" t="s">
        <v>33</v>
      </c>
      <c r="E76" s="1">
        <v>57</v>
      </c>
      <c r="F76" s="7">
        <v>37828</v>
      </c>
      <c r="G76" s="8">
        <v>206624</v>
      </c>
      <c r="H76" s="9">
        <v>0.4</v>
      </c>
      <c r="I76" s="1" t="s">
        <v>59</v>
      </c>
      <c r="J76" s="1" t="s">
        <v>76</v>
      </c>
      <c r="K76" s="10" t="s">
        <v>36</v>
      </c>
    </row>
    <row r="77" spans="1:11" x14ac:dyDescent="0.25">
      <c r="A77" s="6" t="s">
        <v>65</v>
      </c>
      <c r="B77" s="1" t="s">
        <v>26</v>
      </c>
      <c r="C77" s="1" t="s">
        <v>32</v>
      </c>
      <c r="D77" s="1" t="s">
        <v>33</v>
      </c>
      <c r="E77" s="1">
        <v>36</v>
      </c>
      <c r="F77" s="7">
        <v>40535</v>
      </c>
      <c r="G77" s="8">
        <v>53215</v>
      </c>
      <c r="H77" s="9">
        <v>0</v>
      </c>
      <c r="I77" s="1" t="s">
        <v>59</v>
      </c>
      <c r="J77" s="1" t="s">
        <v>76</v>
      </c>
      <c r="K77" s="10">
        <v>41725</v>
      </c>
    </row>
    <row r="78" spans="1:11" x14ac:dyDescent="0.25">
      <c r="A78" s="6" t="s">
        <v>77</v>
      </c>
      <c r="B78" s="1" t="s">
        <v>54</v>
      </c>
      <c r="C78" s="1" t="s">
        <v>27</v>
      </c>
      <c r="D78" s="1" t="s">
        <v>28</v>
      </c>
      <c r="E78" s="1">
        <v>30</v>
      </c>
      <c r="F78" s="7">
        <v>42877</v>
      </c>
      <c r="G78" s="8">
        <v>86858</v>
      </c>
      <c r="H78" s="9">
        <v>0</v>
      </c>
      <c r="I78" s="1" t="s">
        <v>34</v>
      </c>
      <c r="J78" s="1" t="s">
        <v>35</v>
      </c>
      <c r="K78" s="10">
        <v>43016</v>
      </c>
    </row>
    <row r="79" spans="1:11" x14ac:dyDescent="0.25">
      <c r="A79" s="6" t="s">
        <v>41</v>
      </c>
      <c r="B79" s="1" t="s">
        <v>26</v>
      </c>
      <c r="C79" s="1" t="s">
        <v>32</v>
      </c>
      <c r="D79" s="1" t="s">
        <v>33</v>
      </c>
      <c r="E79" s="1">
        <v>40</v>
      </c>
      <c r="F79" s="7">
        <v>39265</v>
      </c>
      <c r="G79" s="8">
        <v>93971</v>
      </c>
      <c r="H79" s="9">
        <v>0.08</v>
      </c>
      <c r="I79" s="1" t="s">
        <v>34</v>
      </c>
      <c r="J79" s="1" t="s">
        <v>35</v>
      </c>
      <c r="K79" s="10" t="s">
        <v>36</v>
      </c>
    </row>
    <row r="80" spans="1:11" x14ac:dyDescent="0.25">
      <c r="A80" s="6" t="s">
        <v>66</v>
      </c>
      <c r="B80" s="1" t="s">
        <v>38</v>
      </c>
      <c r="C80" s="1" t="s">
        <v>46</v>
      </c>
      <c r="D80" s="1" t="s">
        <v>33</v>
      </c>
      <c r="E80" s="1">
        <v>34</v>
      </c>
      <c r="F80" s="7">
        <v>42182</v>
      </c>
      <c r="G80" s="8">
        <v>57008</v>
      </c>
      <c r="H80" s="9">
        <v>0</v>
      </c>
      <c r="I80" s="1" t="s">
        <v>29</v>
      </c>
      <c r="J80" s="1" t="s">
        <v>43</v>
      </c>
      <c r="K80" s="10" t="s">
        <v>36</v>
      </c>
    </row>
    <row r="81" spans="1:11" x14ac:dyDescent="0.25">
      <c r="A81" s="6" t="s">
        <v>25</v>
      </c>
      <c r="B81" s="1" t="s">
        <v>38</v>
      </c>
      <c r="C81" s="1" t="s">
        <v>32</v>
      </c>
      <c r="D81" s="1" t="s">
        <v>33</v>
      </c>
      <c r="E81" s="1">
        <v>60</v>
      </c>
      <c r="F81" s="7">
        <v>42270</v>
      </c>
      <c r="G81" s="8">
        <v>141899</v>
      </c>
      <c r="H81" s="9">
        <v>0.15</v>
      </c>
      <c r="I81" s="1" t="s">
        <v>29</v>
      </c>
      <c r="J81" s="1" t="s">
        <v>43</v>
      </c>
      <c r="K81" s="10" t="s">
        <v>36</v>
      </c>
    </row>
    <row r="82" spans="1:11" x14ac:dyDescent="0.25">
      <c r="A82" s="6" t="s">
        <v>66</v>
      </c>
      <c r="B82" s="1" t="s">
        <v>57</v>
      </c>
      <c r="C82" s="1" t="s">
        <v>46</v>
      </c>
      <c r="D82" s="1" t="s">
        <v>33</v>
      </c>
      <c r="E82" s="1">
        <v>41</v>
      </c>
      <c r="F82" s="7">
        <v>42626</v>
      </c>
      <c r="G82" s="8">
        <v>64847</v>
      </c>
      <c r="H82" s="9">
        <v>0</v>
      </c>
      <c r="I82" s="1" t="s">
        <v>29</v>
      </c>
      <c r="J82" s="1" t="s">
        <v>49</v>
      </c>
      <c r="K82" s="10" t="s">
        <v>36</v>
      </c>
    </row>
    <row r="83" spans="1:11" x14ac:dyDescent="0.25">
      <c r="A83" s="6" t="s">
        <v>63</v>
      </c>
      <c r="B83" s="1" t="s">
        <v>54</v>
      </c>
      <c r="C83" s="1" t="s">
        <v>27</v>
      </c>
      <c r="D83" s="1" t="s">
        <v>33</v>
      </c>
      <c r="E83" s="1">
        <v>53</v>
      </c>
      <c r="F83" s="7">
        <v>33702</v>
      </c>
      <c r="G83" s="8">
        <v>116878</v>
      </c>
      <c r="H83" s="9">
        <v>0.11</v>
      </c>
      <c r="I83" s="1" t="s">
        <v>29</v>
      </c>
      <c r="J83" s="1" t="s">
        <v>49</v>
      </c>
      <c r="K83" s="10" t="s">
        <v>36</v>
      </c>
    </row>
    <row r="84" spans="1:11" x14ac:dyDescent="0.25">
      <c r="A84" s="6" t="s">
        <v>62</v>
      </c>
      <c r="B84" s="1" t="s">
        <v>54</v>
      </c>
      <c r="C84" s="1" t="s">
        <v>39</v>
      </c>
      <c r="D84" s="1" t="s">
        <v>33</v>
      </c>
      <c r="E84" s="1">
        <v>45</v>
      </c>
      <c r="F84" s="7">
        <v>38388</v>
      </c>
      <c r="G84" s="8">
        <v>70505</v>
      </c>
      <c r="H84" s="9">
        <v>0</v>
      </c>
      <c r="I84" s="1" t="s">
        <v>29</v>
      </c>
      <c r="J84" s="1" t="s">
        <v>51</v>
      </c>
      <c r="K84" s="10" t="s">
        <v>36</v>
      </c>
    </row>
    <row r="85" spans="1:11" x14ac:dyDescent="0.25">
      <c r="A85" s="6" t="s">
        <v>37</v>
      </c>
      <c r="B85" s="1" t="s">
        <v>54</v>
      </c>
      <c r="C85" s="1" t="s">
        <v>27</v>
      </c>
      <c r="D85" s="1" t="s">
        <v>28</v>
      </c>
      <c r="E85" s="1">
        <v>30</v>
      </c>
      <c r="F85" s="7">
        <v>42512</v>
      </c>
      <c r="G85" s="8">
        <v>189702</v>
      </c>
      <c r="H85" s="9">
        <v>0.28000000000000003</v>
      </c>
      <c r="I85" s="1" t="s">
        <v>59</v>
      </c>
      <c r="J85" s="1" t="s">
        <v>60</v>
      </c>
      <c r="K85" s="10">
        <v>44186</v>
      </c>
    </row>
    <row r="86" spans="1:11" x14ac:dyDescent="0.25">
      <c r="A86" s="6" t="s">
        <v>37</v>
      </c>
      <c r="B86" s="1" t="s">
        <v>50</v>
      </c>
      <c r="C86" s="1" t="s">
        <v>39</v>
      </c>
      <c r="D86" s="1" t="s">
        <v>33</v>
      </c>
      <c r="E86" s="1">
        <v>26</v>
      </c>
      <c r="F86" s="7">
        <v>44040</v>
      </c>
      <c r="G86" s="8">
        <v>180664</v>
      </c>
      <c r="H86" s="9">
        <v>0.27</v>
      </c>
      <c r="I86" s="1" t="s">
        <v>29</v>
      </c>
      <c r="J86" s="1" t="s">
        <v>40</v>
      </c>
      <c r="K86" s="10" t="s">
        <v>36</v>
      </c>
    </row>
    <row r="87" spans="1:11" x14ac:dyDescent="0.25">
      <c r="A87" s="6" t="s">
        <v>74</v>
      </c>
      <c r="B87" s="1" t="s">
        <v>52</v>
      </c>
      <c r="C87" s="1" t="s">
        <v>32</v>
      </c>
      <c r="D87" s="1" t="s">
        <v>28</v>
      </c>
      <c r="E87" s="1">
        <v>45</v>
      </c>
      <c r="F87" s="7">
        <v>37972</v>
      </c>
      <c r="G87" s="8">
        <v>48345</v>
      </c>
      <c r="H87" s="9">
        <v>0</v>
      </c>
      <c r="I87" s="1" t="s">
        <v>34</v>
      </c>
      <c r="J87" s="1" t="s">
        <v>68</v>
      </c>
      <c r="K87" s="10" t="s">
        <v>36</v>
      </c>
    </row>
    <row r="88" spans="1:11" x14ac:dyDescent="0.25">
      <c r="A88" s="6" t="s">
        <v>37</v>
      </c>
      <c r="B88" s="1" t="s">
        <v>52</v>
      </c>
      <c r="C88" s="1" t="s">
        <v>32</v>
      </c>
      <c r="D88" s="1" t="s">
        <v>33</v>
      </c>
      <c r="E88" s="1">
        <v>42</v>
      </c>
      <c r="F88" s="7">
        <v>41655</v>
      </c>
      <c r="G88" s="8">
        <v>152214</v>
      </c>
      <c r="H88" s="9">
        <v>0.3</v>
      </c>
      <c r="I88" s="1" t="s">
        <v>34</v>
      </c>
      <c r="J88" s="1" t="s">
        <v>64</v>
      </c>
      <c r="K88" s="10" t="s">
        <v>36</v>
      </c>
    </row>
    <row r="89" spans="1:11" x14ac:dyDescent="0.25">
      <c r="A89" s="6" t="s">
        <v>75</v>
      </c>
      <c r="B89" s="1" t="s">
        <v>26</v>
      </c>
      <c r="C89" s="1" t="s">
        <v>46</v>
      </c>
      <c r="D89" s="1" t="s">
        <v>28</v>
      </c>
      <c r="E89" s="1">
        <v>41</v>
      </c>
      <c r="F89" s="7">
        <v>39931</v>
      </c>
      <c r="G89" s="8">
        <v>69803</v>
      </c>
      <c r="H89" s="9">
        <v>0</v>
      </c>
      <c r="I89" s="1" t="s">
        <v>59</v>
      </c>
      <c r="J89" s="1" t="s">
        <v>60</v>
      </c>
      <c r="K89" s="10" t="s">
        <v>36</v>
      </c>
    </row>
    <row r="90" spans="1:11" x14ac:dyDescent="0.25">
      <c r="A90" s="6" t="s">
        <v>78</v>
      </c>
      <c r="B90" s="1" t="s">
        <v>26</v>
      </c>
      <c r="C90" s="1" t="s">
        <v>46</v>
      </c>
      <c r="D90" s="1" t="s">
        <v>28</v>
      </c>
      <c r="E90" s="1">
        <v>48</v>
      </c>
      <c r="F90" s="7">
        <v>43650</v>
      </c>
      <c r="G90" s="8">
        <v>76588</v>
      </c>
      <c r="H90" s="9">
        <v>0</v>
      </c>
      <c r="I90" s="1" t="s">
        <v>59</v>
      </c>
      <c r="J90" s="1" t="s">
        <v>61</v>
      </c>
      <c r="K90" s="10" t="s">
        <v>36</v>
      </c>
    </row>
    <row r="91" spans="1:11" x14ac:dyDescent="0.25">
      <c r="A91" s="6" t="s">
        <v>79</v>
      </c>
      <c r="B91" s="1" t="s">
        <v>26</v>
      </c>
      <c r="C91" s="1" t="s">
        <v>32</v>
      </c>
      <c r="D91" s="1" t="s">
        <v>33</v>
      </c>
      <c r="E91" s="1">
        <v>29</v>
      </c>
      <c r="F91" s="7">
        <v>43444</v>
      </c>
      <c r="G91" s="8">
        <v>84596</v>
      </c>
      <c r="H91" s="9">
        <v>0</v>
      </c>
      <c r="I91" s="1" t="s">
        <v>29</v>
      </c>
      <c r="J91" s="1" t="s">
        <v>49</v>
      </c>
      <c r="K91" s="10" t="s">
        <v>36</v>
      </c>
    </row>
    <row r="92" spans="1:11" x14ac:dyDescent="0.25">
      <c r="A92" s="6" t="s">
        <v>47</v>
      </c>
      <c r="B92" s="1" t="s">
        <v>57</v>
      </c>
      <c r="C92" s="1" t="s">
        <v>27</v>
      </c>
      <c r="D92" s="1" t="s">
        <v>33</v>
      </c>
      <c r="E92" s="1">
        <v>27</v>
      </c>
      <c r="F92" s="7">
        <v>43368</v>
      </c>
      <c r="G92" s="8">
        <v>114441</v>
      </c>
      <c r="H92" s="9">
        <v>0.1</v>
      </c>
      <c r="I92" s="1" t="s">
        <v>34</v>
      </c>
      <c r="J92" s="1" t="s">
        <v>35</v>
      </c>
      <c r="K92" s="10">
        <v>43821</v>
      </c>
    </row>
    <row r="93" spans="1:11" x14ac:dyDescent="0.25">
      <c r="A93" s="6" t="s">
        <v>25</v>
      </c>
      <c r="B93" s="1" t="s">
        <v>38</v>
      </c>
      <c r="C93" s="1" t="s">
        <v>39</v>
      </c>
      <c r="D93" s="1" t="s">
        <v>28</v>
      </c>
      <c r="E93" s="1">
        <v>33</v>
      </c>
      <c r="F93" s="7">
        <v>43211</v>
      </c>
      <c r="G93" s="8">
        <v>140402</v>
      </c>
      <c r="H93" s="9">
        <v>0.15</v>
      </c>
      <c r="I93" s="1" t="s">
        <v>34</v>
      </c>
      <c r="J93" s="1" t="s">
        <v>64</v>
      </c>
      <c r="K93" s="10" t="s">
        <v>36</v>
      </c>
    </row>
    <row r="94" spans="1:11" x14ac:dyDescent="0.25">
      <c r="A94" s="6" t="s">
        <v>66</v>
      </c>
      <c r="B94" s="1" t="s">
        <v>38</v>
      </c>
      <c r="C94" s="1" t="s">
        <v>46</v>
      </c>
      <c r="D94" s="1" t="s">
        <v>28</v>
      </c>
      <c r="E94" s="1">
        <v>26</v>
      </c>
      <c r="F94" s="7">
        <v>43578</v>
      </c>
      <c r="G94" s="8">
        <v>59817</v>
      </c>
      <c r="H94" s="9">
        <v>0</v>
      </c>
      <c r="I94" s="1" t="s">
        <v>59</v>
      </c>
      <c r="J94" s="1" t="s">
        <v>76</v>
      </c>
      <c r="K94" s="10" t="s">
        <v>36</v>
      </c>
    </row>
    <row r="95" spans="1:11" x14ac:dyDescent="0.25">
      <c r="A95" s="6" t="s">
        <v>44</v>
      </c>
      <c r="B95" s="1" t="s">
        <v>45</v>
      </c>
      <c r="C95" s="1" t="s">
        <v>32</v>
      </c>
      <c r="D95" s="1" t="s">
        <v>33</v>
      </c>
      <c r="E95" s="1">
        <v>31</v>
      </c>
      <c r="F95" s="7">
        <v>42938</v>
      </c>
      <c r="G95" s="8">
        <v>55854</v>
      </c>
      <c r="H95" s="9">
        <v>0</v>
      </c>
      <c r="I95" s="1" t="s">
        <v>29</v>
      </c>
      <c r="J95" s="1" t="s">
        <v>51</v>
      </c>
      <c r="K95" s="10" t="s">
        <v>36</v>
      </c>
    </row>
    <row r="96" spans="1:11" x14ac:dyDescent="0.25">
      <c r="A96" s="6" t="s">
        <v>69</v>
      </c>
      <c r="B96" s="1" t="s">
        <v>52</v>
      </c>
      <c r="C96" s="1" t="s">
        <v>27</v>
      </c>
      <c r="D96" s="1" t="s">
        <v>33</v>
      </c>
      <c r="E96" s="1">
        <v>53</v>
      </c>
      <c r="F96" s="7">
        <v>37576</v>
      </c>
      <c r="G96" s="8">
        <v>95998</v>
      </c>
      <c r="H96" s="9">
        <v>0</v>
      </c>
      <c r="I96" s="1" t="s">
        <v>29</v>
      </c>
      <c r="J96" s="1" t="s">
        <v>30</v>
      </c>
      <c r="K96" s="10" t="s">
        <v>36</v>
      </c>
    </row>
    <row r="97" spans="1:11" x14ac:dyDescent="0.25">
      <c r="A97" s="6" t="s">
        <v>25</v>
      </c>
      <c r="B97" s="1" t="s">
        <v>45</v>
      </c>
      <c r="C97" s="1" t="s">
        <v>32</v>
      </c>
      <c r="D97" s="1" t="s">
        <v>28</v>
      </c>
      <c r="E97" s="1">
        <v>34</v>
      </c>
      <c r="F97" s="7">
        <v>42116</v>
      </c>
      <c r="G97" s="8">
        <v>154941</v>
      </c>
      <c r="H97" s="9">
        <v>0.13</v>
      </c>
      <c r="I97" s="1" t="s">
        <v>29</v>
      </c>
      <c r="J97" s="1" t="s">
        <v>43</v>
      </c>
      <c r="K97" s="10" t="s">
        <v>36</v>
      </c>
    </row>
    <row r="98" spans="1:11" x14ac:dyDescent="0.25">
      <c r="A98" s="6" t="s">
        <v>56</v>
      </c>
      <c r="B98" s="1" t="s">
        <v>38</v>
      </c>
      <c r="C98" s="1" t="s">
        <v>39</v>
      </c>
      <c r="D98" s="1" t="s">
        <v>28</v>
      </c>
      <c r="E98" s="1">
        <v>54</v>
      </c>
      <c r="F98" s="7">
        <v>40734</v>
      </c>
      <c r="G98" s="8">
        <v>247022</v>
      </c>
      <c r="H98" s="9">
        <v>0.3</v>
      </c>
      <c r="I98" s="1" t="s">
        <v>34</v>
      </c>
      <c r="J98" s="1" t="s">
        <v>64</v>
      </c>
      <c r="K98" s="10" t="s">
        <v>36</v>
      </c>
    </row>
    <row r="99" spans="1:11" x14ac:dyDescent="0.25">
      <c r="A99" s="6" t="s">
        <v>78</v>
      </c>
      <c r="B99" s="1" t="s">
        <v>26</v>
      </c>
      <c r="C99" s="1" t="s">
        <v>32</v>
      </c>
      <c r="D99" s="1" t="s">
        <v>28</v>
      </c>
      <c r="E99" s="1">
        <v>32</v>
      </c>
      <c r="F99" s="7">
        <v>44474</v>
      </c>
      <c r="G99" s="8">
        <v>88072</v>
      </c>
      <c r="H99" s="9">
        <v>0</v>
      </c>
      <c r="I99" s="1" t="s">
        <v>59</v>
      </c>
      <c r="J99" s="1" t="s">
        <v>76</v>
      </c>
      <c r="K99" s="10" t="s">
        <v>36</v>
      </c>
    </row>
    <row r="100" spans="1:11" x14ac:dyDescent="0.25">
      <c r="A100" s="6" t="s">
        <v>41</v>
      </c>
      <c r="B100" s="1" t="s">
        <v>26</v>
      </c>
      <c r="C100" s="1" t="s">
        <v>27</v>
      </c>
      <c r="D100" s="1" t="s">
        <v>33</v>
      </c>
      <c r="E100" s="1">
        <v>28</v>
      </c>
      <c r="F100" s="7">
        <v>43977</v>
      </c>
      <c r="G100" s="8">
        <v>67925</v>
      </c>
      <c r="H100" s="9">
        <v>0.08</v>
      </c>
      <c r="I100" s="1" t="s">
        <v>34</v>
      </c>
      <c r="J100" s="1" t="s">
        <v>55</v>
      </c>
      <c r="K100" s="10" t="s">
        <v>36</v>
      </c>
    </row>
    <row r="101" spans="1:11" x14ac:dyDescent="0.25">
      <c r="A101" s="6" t="s">
        <v>56</v>
      </c>
      <c r="B101" s="1" t="s">
        <v>45</v>
      </c>
      <c r="C101" s="1" t="s">
        <v>32</v>
      </c>
      <c r="D101" s="1" t="s">
        <v>28</v>
      </c>
      <c r="E101" s="1">
        <v>31</v>
      </c>
      <c r="F101" s="7">
        <v>44063</v>
      </c>
      <c r="G101" s="8">
        <v>219693</v>
      </c>
      <c r="H101" s="9">
        <v>0.3</v>
      </c>
      <c r="I101" s="1" t="s">
        <v>29</v>
      </c>
      <c r="J101" s="1" t="s">
        <v>51</v>
      </c>
      <c r="K101" s="10" t="s">
        <v>36</v>
      </c>
    </row>
    <row r="102" spans="1:11" x14ac:dyDescent="0.25">
      <c r="A102" s="6" t="s">
        <v>77</v>
      </c>
      <c r="B102" s="1" t="s">
        <v>54</v>
      </c>
      <c r="C102" s="1" t="s">
        <v>27</v>
      </c>
      <c r="D102" s="1" t="s">
        <v>28</v>
      </c>
      <c r="E102" s="1">
        <v>45</v>
      </c>
      <c r="F102" s="7">
        <v>41386</v>
      </c>
      <c r="G102" s="8">
        <v>61773</v>
      </c>
      <c r="H102" s="9">
        <v>0</v>
      </c>
      <c r="I102" s="1" t="s">
        <v>29</v>
      </c>
      <c r="J102" s="1" t="s">
        <v>30</v>
      </c>
      <c r="K102" s="10" t="s">
        <v>36</v>
      </c>
    </row>
    <row r="103" spans="1:11" x14ac:dyDescent="0.25">
      <c r="A103" s="6" t="s">
        <v>41</v>
      </c>
      <c r="B103" s="1" t="s">
        <v>26</v>
      </c>
      <c r="C103" s="1" t="s">
        <v>39</v>
      </c>
      <c r="D103" s="1" t="s">
        <v>28</v>
      </c>
      <c r="E103" s="1">
        <v>48</v>
      </c>
      <c r="F103" s="7">
        <v>39091</v>
      </c>
      <c r="G103" s="8">
        <v>74546</v>
      </c>
      <c r="H103" s="9">
        <v>0.09</v>
      </c>
      <c r="I103" s="1" t="s">
        <v>29</v>
      </c>
      <c r="J103" s="1" t="s">
        <v>30</v>
      </c>
      <c r="K103" s="10" t="s">
        <v>36</v>
      </c>
    </row>
    <row r="104" spans="1:11" x14ac:dyDescent="0.25">
      <c r="A104" s="6" t="s">
        <v>80</v>
      </c>
      <c r="B104" s="1" t="s">
        <v>54</v>
      </c>
      <c r="C104" s="1" t="s">
        <v>39</v>
      </c>
      <c r="D104" s="1" t="s">
        <v>33</v>
      </c>
      <c r="E104" s="1">
        <v>56</v>
      </c>
      <c r="F104" s="7">
        <v>42031</v>
      </c>
      <c r="G104" s="8">
        <v>62575</v>
      </c>
      <c r="H104" s="9">
        <v>0</v>
      </c>
      <c r="I104" s="1" t="s">
        <v>29</v>
      </c>
      <c r="J104" s="1" t="s">
        <v>49</v>
      </c>
      <c r="K104" s="10" t="s">
        <v>36</v>
      </c>
    </row>
    <row r="105" spans="1:11" x14ac:dyDescent="0.25">
      <c r="A105" s="6" t="s">
        <v>37</v>
      </c>
      <c r="B105" s="1" t="s">
        <v>52</v>
      </c>
      <c r="C105" s="1" t="s">
        <v>46</v>
      </c>
      <c r="D105" s="1" t="s">
        <v>28</v>
      </c>
      <c r="E105" s="1">
        <v>27</v>
      </c>
      <c r="F105" s="7">
        <v>44250</v>
      </c>
      <c r="G105" s="8">
        <v>199041</v>
      </c>
      <c r="H105" s="9">
        <v>0.16</v>
      </c>
      <c r="I105" s="1" t="s">
        <v>34</v>
      </c>
      <c r="J105" s="1" t="s">
        <v>64</v>
      </c>
      <c r="K105" s="10" t="s">
        <v>36</v>
      </c>
    </row>
    <row r="106" spans="1:11" x14ac:dyDescent="0.25">
      <c r="A106" s="6" t="s">
        <v>66</v>
      </c>
      <c r="B106" s="1" t="s">
        <v>50</v>
      </c>
      <c r="C106" s="1" t="s">
        <v>39</v>
      </c>
      <c r="D106" s="1" t="s">
        <v>33</v>
      </c>
      <c r="E106" s="1">
        <v>55</v>
      </c>
      <c r="F106" s="7">
        <v>39177</v>
      </c>
      <c r="G106" s="8">
        <v>52310</v>
      </c>
      <c r="H106" s="9">
        <v>0</v>
      </c>
      <c r="I106" s="1" t="s">
        <v>29</v>
      </c>
      <c r="J106" s="1" t="s">
        <v>49</v>
      </c>
      <c r="K106" s="10">
        <v>43385</v>
      </c>
    </row>
    <row r="107" spans="1:11" x14ac:dyDescent="0.25">
      <c r="A107" s="6" t="s">
        <v>25</v>
      </c>
      <c r="B107" s="1" t="s">
        <v>38</v>
      </c>
      <c r="C107" s="1" t="s">
        <v>39</v>
      </c>
      <c r="D107" s="1" t="s">
        <v>33</v>
      </c>
      <c r="E107" s="1">
        <v>64</v>
      </c>
      <c r="F107" s="7">
        <v>41454</v>
      </c>
      <c r="G107" s="8">
        <v>159571</v>
      </c>
      <c r="H107" s="9">
        <v>0.1</v>
      </c>
      <c r="I107" s="1" t="s">
        <v>29</v>
      </c>
      <c r="J107" s="1" t="s">
        <v>58</v>
      </c>
      <c r="K107" s="10" t="s">
        <v>36</v>
      </c>
    </row>
    <row r="108" spans="1:11" x14ac:dyDescent="0.25">
      <c r="A108" s="6" t="s">
        <v>71</v>
      </c>
      <c r="B108" s="1" t="s">
        <v>54</v>
      </c>
      <c r="C108" s="1" t="s">
        <v>27</v>
      </c>
      <c r="D108" s="1" t="s">
        <v>28</v>
      </c>
      <c r="E108" s="1">
        <v>50</v>
      </c>
      <c r="F108" s="7">
        <v>35726</v>
      </c>
      <c r="G108" s="8">
        <v>91763</v>
      </c>
      <c r="H108" s="9">
        <v>0</v>
      </c>
      <c r="I108" s="1" t="s">
        <v>29</v>
      </c>
      <c r="J108" s="1" t="s">
        <v>51</v>
      </c>
      <c r="K108" s="10" t="s">
        <v>36</v>
      </c>
    </row>
    <row r="109" spans="1:11" x14ac:dyDescent="0.25">
      <c r="A109" s="6" t="s">
        <v>80</v>
      </c>
      <c r="B109" s="1" t="s">
        <v>54</v>
      </c>
      <c r="C109" s="1" t="s">
        <v>46</v>
      </c>
      <c r="D109" s="1" t="s">
        <v>28</v>
      </c>
      <c r="E109" s="1">
        <v>51</v>
      </c>
      <c r="F109" s="7">
        <v>35055</v>
      </c>
      <c r="G109" s="8">
        <v>96475</v>
      </c>
      <c r="H109" s="9">
        <v>0</v>
      </c>
      <c r="I109" s="1" t="s">
        <v>29</v>
      </c>
      <c r="J109" s="1" t="s">
        <v>51</v>
      </c>
      <c r="K109" s="10" t="s">
        <v>36</v>
      </c>
    </row>
    <row r="110" spans="1:11" x14ac:dyDescent="0.25">
      <c r="A110" s="6" t="s">
        <v>53</v>
      </c>
      <c r="B110" s="1" t="s">
        <v>54</v>
      </c>
      <c r="C110" s="1" t="s">
        <v>32</v>
      </c>
      <c r="D110" s="1" t="s">
        <v>33</v>
      </c>
      <c r="E110" s="1">
        <v>36</v>
      </c>
      <c r="F110" s="7">
        <v>42706</v>
      </c>
      <c r="G110" s="8">
        <v>113781</v>
      </c>
      <c r="H110" s="9">
        <v>0</v>
      </c>
      <c r="I110" s="1" t="s">
        <v>29</v>
      </c>
      <c r="J110" s="1" t="s">
        <v>58</v>
      </c>
      <c r="K110" s="10" t="s">
        <v>36</v>
      </c>
    </row>
    <row r="111" spans="1:11" x14ac:dyDescent="0.25">
      <c r="A111" s="6" t="s">
        <v>37</v>
      </c>
      <c r="B111" s="1" t="s">
        <v>38</v>
      </c>
      <c r="C111" s="1" t="s">
        <v>27</v>
      </c>
      <c r="D111" s="1" t="s">
        <v>33</v>
      </c>
      <c r="E111" s="1">
        <v>42</v>
      </c>
      <c r="F111" s="7">
        <v>37636</v>
      </c>
      <c r="G111" s="8">
        <v>166599</v>
      </c>
      <c r="H111" s="9">
        <v>0.26</v>
      </c>
      <c r="I111" s="1" t="s">
        <v>29</v>
      </c>
      <c r="J111" s="1" t="s">
        <v>30</v>
      </c>
      <c r="K111" s="10" t="s">
        <v>36</v>
      </c>
    </row>
    <row r="112" spans="1:11" x14ac:dyDescent="0.25">
      <c r="A112" s="6" t="s">
        <v>81</v>
      </c>
      <c r="B112" s="1" t="s">
        <v>45</v>
      </c>
      <c r="C112" s="1" t="s">
        <v>46</v>
      </c>
      <c r="D112" s="1" t="s">
        <v>28</v>
      </c>
      <c r="E112" s="1">
        <v>41</v>
      </c>
      <c r="F112" s="7">
        <v>38398</v>
      </c>
      <c r="G112" s="8">
        <v>95372</v>
      </c>
      <c r="H112" s="9">
        <v>0</v>
      </c>
      <c r="I112" s="1" t="s">
        <v>34</v>
      </c>
      <c r="J112" s="1" t="s">
        <v>55</v>
      </c>
      <c r="K112" s="10" t="s">
        <v>36</v>
      </c>
    </row>
    <row r="113" spans="1:11" x14ac:dyDescent="0.25">
      <c r="A113" s="6" t="s">
        <v>37</v>
      </c>
      <c r="B113" s="1" t="s">
        <v>26</v>
      </c>
      <c r="C113" s="1" t="s">
        <v>27</v>
      </c>
      <c r="D113" s="1" t="s">
        <v>28</v>
      </c>
      <c r="E113" s="1">
        <v>29</v>
      </c>
      <c r="F113" s="7">
        <v>44052</v>
      </c>
      <c r="G113" s="8">
        <v>161203</v>
      </c>
      <c r="H113" s="9">
        <v>0.15</v>
      </c>
      <c r="I113" s="1" t="s">
        <v>34</v>
      </c>
      <c r="J113" s="1" t="s">
        <v>68</v>
      </c>
      <c r="K113" s="10" t="s">
        <v>36</v>
      </c>
    </row>
    <row r="114" spans="1:11" x14ac:dyDescent="0.25">
      <c r="A114" s="6" t="s">
        <v>82</v>
      </c>
      <c r="B114" s="1" t="s">
        <v>26</v>
      </c>
      <c r="C114" s="1" t="s">
        <v>32</v>
      </c>
      <c r="D114" s="1" t="s">
        <v>28</v>
      </c>
      <c r="E114" s="1">
        <v>44</v>
      </c>
      <c r="F114" s="7">
        <v>39064</v>
      </c>
      <c r="G114" s="8">
        <v>74738</v>
      </c>
      <c r="H114" s="9">
        <v>0</v>
      </c>
      <c r="I114" s="1" t="s">
        <v>29</v>
      </c>
      <c r="J114" s="1" t="s">
        <v>49</v>
      </c>
      <c r="K114" s="10" t="s">
        <v>36</v>
      </c>
    </row>
    <row r="115" spans="1:11" x14ac:dyDescent="0.25">
      <c r="A115" s="6" t="s">
        <v>37</v>
      </c>
      <c r="B115" s="1" t="s">
        <v>45</v>
      </c>
      <c r="C115" s="1" t="s">
        <v>27</v>
      </c>
      <c r="D115" s="1" t="s">
        <v>28</v>
      </c>
      <c r="E115" s="1">
        <v>41</v>
      </c>
      <c r="F115" s="7">
        <v>43322</v>
      </c>
      <c r="G115" s="8">
        <v>171173</v>
      </c>
      <c r="H115" s="9">
        <v>0.21</v>
      </c>
      <c r="I115" s="1" t="s">
        <v>29</v>
      </c>
      <c r="J115" s="1" t="s">
        <v>58</v>
      </c>
      <c r="K115" s="10" t="s">
        <v>36</v>
      </c>
    </row>
    <row r="116" spans="1:11" x14ac:dyDescent="0.25">
      <c r="A116" s="6" t="s">
        <v>56</v>
      </c>
      <c r="B116" s="1" t="s">
        <v>45</v>
      </c>
      <c r="C116" s="1" t="s">
        <v>46</v>
      </c>
      <c r="D116" s="1" t="s">
        <v>33</v>
      </c>
      <c r="E116" s="1">
        <v>61</v>
      </c>
      <c r="F116" s="7">
        <v>43732</v>
      </c>
      <c r="G116" s="8">
        <v>201464</v>
      </c>
      <c r="H116" s="9">
        <v>0.37</v>
      </c>
      <c r="I116" s="1" t="s">
        <v>29</v>
      </c>
      <c r="J116" s="1" t="s">
        <v>40</v>
      </c>
      <c r="K116" s="10" t="s">
        <v>36</v>
      </c>
    </row>
    <row r="117" spans="1:11" x14ac:dyDescent="0.25">
      <c r="A117" s="6" t="s">
        <v>37</v>
      </c>
      <c r="B117" s="1" t="s">
        <v>52</v>
      </c>
      <c r="C117" s="1" t="s">
        <v>46</v>
      </c>
      <c r="D117" s="1" t="s">
        <v>33</v>
      </c>
      <c r="E117" s="1">
        <v>50</v>
      </c>
      <c r="F117" s="7">
        <v>35998</v>
      </c>
      <c r="G117" s="8">
        <v>174895</v>
      </c>
      <c r="H117" s="9">
        <v>0.15</v>
      </c>
      <c r="I117" s="1" t="s">
        <v>29</v>
      </c>
      <c r="J117" s="1" t="s">
        <v>40</v>
      </c>
      <c r="K117" s="10" t="s">
        <v>36</v>
      </c>
    </row>
    <row r="118" spans="1:11" x14ac:dyDescent="0.25">
      <c r="A118" s="6" t="s">
        <v>25</v>
      </c>
      <c r="B118" s="1" t="s">
        <v>26</v>
      </c>
      <c r="C118" s="1" t="s">
        <v>32</v>
      </c>
      <c r="D118" s="1" t="s">
        <v>28</v>
      </c>
      <c r="E118" s="1">
        <v>49</v>
      </c>
      <c r="F118" s="7">
        <v>38825</v>
      </c>
      <c r="G118" s="8">
        <v>134486</v>
      </c>
      <c r="H118" s="9">
        <v>0.14000000000000001</v>
      </c>
      <c r="I118" s="1" t="s">
        <v>29</v>
      </c>
      <c r="J118" s="1" t="s">
        <v>51</v>
      </c>
      <c r="K118" s="10" t="s">
        <v>36</v>
      </c>
    </row>
    <row r="119" spans="1:11" x14ac:dyDescent="0.25">
      <c r="A119" s="6" t="s">
        <v>42</v>
      </c>
      <c r="B119" s="1" t="s">
        <v>38</v>
      </c>
      <c r="C119" s="1" t="s">
        <v>32</v>
      </c>
      <c r="D119" s="1" t="s">
        <v>28</v>
      </c>
      <c r="E119" s="1">
        <v>60</v>
      </c>
      <c r="F119" s="7">
        <v>39137</v>
      </c>
      <c r="G119" s="8">
        <v>71699</v>
      </c>
      <c r="H119" s="9">
        <v>0</v>
      </c>
      <c r="I119" s="1" t="s">
        <v>59</v>
      </c>
      <c r="J119" s="1" t="s">
        <v>60</v>
      </c>
      <c r="K119" s="10" t="s">
        <v>36</v>
      </c>
    </row>
    <row r="120" spans="1:11" x14ac:dyDescent="0.25">
      <c r="A120" s="6" t="s">
        <v>42</v>
      </c>
      <c r="B120" s="1" t="s">
        <v>57</v>
      </c>
      <c r="C120" s="1" t="s">
        <v>46</v>
      </c>
      <c r="D120" s="1" t="s">
        <v>28</v>
      </c>
      <c r="E120" s="1">
        <v>42</v>
      </c>
      <c r="F120" s="7">
        <v>44198</v>
      </c>
      <c r="G120" s="8">
        <v>94430</v>
      </c>
      <c r="H120" s="9">
        <v>0</v>
      </c>
      <c r="I120" s="1" t="s">
        <v>29</v>
      </c>
      <c r="J120" s="1" t="s">
        <v>30</v>
      </c>
      <c r="K120" s="10" t="s">
        <v>36</v>
      </c>
    </row>
    <row r="121" spans="1:11" x14ac:dyDescent="0.25">
      <c r="A121" s="6" t="s">
        <v>47</v>
      </c>
      <c r="B121" s="1" t="s">
        <v>38</v>
      </c>
      <c r="C121" s="1" t="s">
        <v>46</v>
      </c>
      <c r="D121" s="1" t="s">
        <v>33</v>
      </c>
      <c r="E121" s="1">
        <v>39</v>
      </c>
      <c r="F121" s="7">
        <v>40192</v>
      </c>
      <c r="G121" s="8">
        <v>103504</v>
      </c>
      <c r="H121" s="9">
        <v>7.0000000000000007E-2</v>
      </c>
      <c r="I121" s="1" t="s">
        <v>34</v>
      </c>
      <c r="J121" s="1" t="s">
        <v>68</v>
      </c>
      <c r="K121" s="10" t="s">
        <v>36</v>
      </c>
    </row>
    <row r="122" spans="1:11" x14ac:dyDescent="0.25">
      <c r="A122" s="6" t="s">
        <v>67</v>
      </c>
      <c r="B122" s="1" t="s">
        <v>26</v>
      </c>
      <c r="C122" s="1" t="s">
        <v>32</v>
      </c>
      <c r="D122" s="1" t="s">
        <v>28</v>
      </c>
      <c r="E122" s="1">
        <v>55</v>
      </c>
      <c r="F122" s="7">
        <v>38573</v>
      </c>
      <c r="G122" s="8">
        <v>92771</v>
      </c>
      <c r="H122" s="9">
        <v>0</v>
      </c>
      <c r="I122" s="1" t="s">
        <v>29</v>
      </c>
      <c r="J122" s="1" t="s">
        <v>49</v>
      </c>
      <c r="K122" s="10" t="s">
        <v>36</v>
      </c>
    </row>
    <row r="123" spans="1:11" x14ac:dyDescent="0.25">
      <c r="A123" s="6" t="s">
        <v>66</v>
      </c>
      <c r="B123" s="1" t="s">
        <v>38</v>
      </c>
      <c r="C123" s="1" t="s">
        <v>39</v>
      </c>
      <c r="D123" s="1" t="s">
        <v>28</v>
      </c>
      <c r="E123" s="1">
        <v>39</v>
      </c>
      <c r="F123" s="7">
        <v>38813</v>
      </c>
      <c r="G123" s="8">
        <v>71531</v>
      </c>
      <c r="H123" s="9">
        <v>0</v>
      </c>
      <c r="I123" s="1" t="s">
        <v>29</v>
      </c>
      <c r="J123" s="1" t="s">
        <v>58</v>
      </c>
      <c r="K123" s="10" t="s">
        <v>36</v>
      </c>
    </row>
    <row r="124" spans="1:11" x14ac:dyDescent="0.25">
      <c r="A124" s="6" t="s">
        <v>75</v>
      </c>
      <c r="B124" s="1" t="s">
        <v>26</v>
      </c>
      <c r="C124" s="1" t="s">
        <v>39</v>
      </c>
      <c r="D124" s="1" t="s">
        <v>33</v>
      </c>
      <c r="E124" s="1">
        <v>28</v>
      </c>
      <c r="F124" s="7">
        <v>43530</v>
      </c>
      <c r="G124" s="8">
        <v>90304</v>
      </c>
      <c r="H124" s="9">
        <v>0</v>
      </c>
      <c r="I124" s="1" t="s">
        <v>29</v>
      </c>
      <c r="J124" s="1" t="s">
        <v>40</v>
      </c>
      <c r="K124" s="10" t="s">
        <v>36</v>
      </c>
    </row>
    <row r="125" spans="1:11" x14ac:dyDescent="0.25">
      <c r="A125" s="6" t="s">
        <v>47</v>
      </c>
      <c r="B125" s="1" t="s">
        <v>57</v>
      </c>
      <c r="C125" s="1" t="s">
        <v>32</v>
      </c>
      <c r="D125" s="1" t="s">
        <v>28</v>
      </c>
      <c r="E125" s="1">
        <v>65</v>
      </c>
      <c r="F125" s="7">
        <v>40793</v>
      </c>
      <c r="G125" s="8">
        <v>104903</v>
      </c>
      <c r="H125" s="9">
        <v>0.1</v>
      </c>
      <c r="I125" s="1" t="s">
        <v>29</v>
      </c>
      <c r="J125" s="1" t="s">
        <v>58</v>
      </c>
      <c r="K125" s="10" t="s">
        <v>36</v>
      </c>
    </row>
    <row r="126" spans="1:11" x14ac:dyDescent="0.25">
      <c r="A126" s="6" t="s">
        <v>48</v>
      </c>
      <c r="B126" s="1" t="s">
        <v>38</v>
      </c>
      <c r="C126" s="1" t="s">
        <v>46</v>
      </c>
      <c r="D126" s="1" t="s">
        <v>28</v>
      </c>
      <c r="E126" s="1">
        <v>52</v>
      </c>
      <c r="F126" s="7">
        <v>43515</v>
      </c>
      <c r="G126" s="8">
        <v>55859</v>
      </c>
      <c r="H126" s="9">
        <v>0</v>
      </c>
      <c r="I126" s="1" t="s">
        <v>34</v>
      </c>
      <c r="J126" s="1" t="s">
        <v>64</v>
      </c>
      <c r="K126" s="10" t="s">
        <v>36</v>
      </c>
    </row>
    <row r="127" spans="1:11" x14ac:dyDescent="0.25">
      <c r="A127" s="6" t="s">
        <v>73</v>
      </c>
      <c r="B127" s="1" t="s">
        <v>54</v>
      </c>
      <c r="C127" s="1" t="s">
        <v>46</v>
      </c>
      <c r="D127" s="1" t="s">
        <v>28</v>
      </c>
      <c r="E127" s="1">
        <v>62</v>
      </c>
      <c r="F127" s="7">
        <v>39002</v>
      </c>
      <c r="G127" s="8">
        <v>79785</v>
      </c>
      <c r="H127" s="9">
        <v>0</v>
      </c>
      <c r="I127" s="1" t="s">
        <v>29</v>
      </c>
      <c r="J127" s="1" t="s">
        <v>51</v>
      </c>
      <c r="K127" s="10" t="s">
        <v>36</v>
      </c>
    </row>
    <row r="128" spans="1:11" x14ac:dyDescent="0.25">
      <c r="A128" s="6" t="s">
        <v>42</v>
      </c>
      <c r="B128" s="1" t="s">
        <v>57</v>
      </c>
      <c r="C128" s="1" t="s">
        <v>46</v>
      </c>
      <c r="D128" s="1" t="s">
        <v>28</v>
      </c>
      <c r="E128" s="1">
        <v>39</v>
      </c>
      <c r="F128" s="7">
        <v>39391</v>
      </c>
      <c r="G128" s="8">
        <v>99017</v>
      </c>
      <c r="H128" s="9">
        <v>0</v>
      </c>
      <c r="I128" s="1" t="s">
        <v>34</v>
      </c>
      <c r="J128" s="1" t="s">
        <v>64</v>
      </c>
      <c r="K128" s="10" t="s">
        <v>36</v>
      </c>
    </row>
    <row r="129" spans="1:11" x14ac:dyDescent="0.25">
      <c r="A129" s="6" t="s">
        <v>83</v>
      </c>
      <c r="B129" s="1" t="s">
        <v>26</v>
      </c>
      <c r="C129" s="1" t="s">
        <v>32</v>
      </c>
      <c r="D129" s="1" t="s">
        <v>28</v>
      </c>
      <c r="E129" s="1">
        <v>63</v>
      </c>
      <c r="F129" s="7">
        <v>33695</v>
      </c>
      <c r="G129" s="8">
        <v>53809</v>
      </c>
      <c r="H129" s="9">
        <v>0</v>
      </c>
      <c r="I129" s="1" t="s">
        <v>29</v>
      </c>
      <c r="J129" s="1" t="s">
        <v>43</v>
      </c>
      <c r="K129" s="10" t="s">
        <v>36</v>
      </c>
    </row>
    <row r="130" spans="1:11" x14ac:dyDescent="0.25">
      <c r="A130" s="6" t="s">
        <v>71</v>
      </c>
      <c r="B130" s="1" t="s">
        <v>54</v>
      </c>
      <c r="C130" s="1" t="s">
        <v>39</v>
      </c>
      <c r="D130" s="1" t="s">
        <v>33</v>
      </c>
      <c r="E130" s="1">
        <v>27</v>
      </c>
      <c r="F130" s="7">
        <v>43937</v>
      </c>
      <c r="G130" s="8">
        <v>71864</v>
      </c>
      <c r="H130" s="9">
        <v>0</v>
      </c>
      <c r="I130" s="1" t="s">
        <v>34</v>
      </c>
      <c r="J130" s="1" t="s">
        <v>68</v>
      </c>
      <c r="K130" s="10" t="s">
        <v>36</v>
      </c>
    </row>
    <row r="131" spans="1:11" x14ac:dyDescent="0.25">
      <c r="A131" s="6" t="s">
        <v>56</v>
      </c>
      <c r="B131" s="1" t="s">
        <v>38</v>
      </c>
      <c r="C131" s="1" t="s">
        <v>46</v>
      </c>
      <c r="D131" s="1" t="s">
        <v>28</v>
      </c>
      <c r="E131" s="1">
        <v>37</v>
      </c>
      <c r="F131" s="7">
        <v>40883</v>
      </c>
      <c r="G131" s="8">
        <v>225558</v>
      </c>
      <c r="H131" s="9">
        <v>0.33</v>
      </c>
      <c r="I131" s="1" t="s">
        <v>34</v>
      </c>
      <c r="J131" s="1" t="s">
        <v>55</v>
      </c>
      <c r="K131" s="10" t="s">
        <v>36</v>
      </c>
    </row>
    <row r="132" spans="1:11" x14ac:dyDescent="0.25">
      <c r="A132" s="6" t="s">
        <v>25</v>
      </c>
      <c r="B132" s="1" t="s">
        <v>26</v>
      </c>
      <c r="C132" s="1" t="s">
        <v>32</v>
      </c>
      <c r="D132" s="1" t="s">
        <v>33</v>
      </c>
      <c r="E132" s="1">
        <v>37</v>
      </c>
      <c r="F132" s="7">
        <v>41695</v>
      </c>
      <c r="G132" s="8">
        <v>128984</v>
      </c>
      <c r="H132" s="9">
        <v>0.12</v>
      </c>
      <c r="I132" s="1" t="s">
        <v>29</v>
      </c>
      <c r="J132" s="1" t="s">
        <v>49</v>
      </c>
      <c r="K132" s="10">
        <v>44317</v>
      </c>
    </row>
    <row r="133" spans="1:11" x14ac:dyDescent="0.25">
      <c r="A133" s="6" t="s">
        <v>71</v>
      </c>
      <c r="B133" s="1" t="s">
        <v>54</v>
      </c>
      <c r="C133" s="1" t="s">
        <v>39</v>
      </c>
      <c r="D133" s="1" t="s">
        <v>33</v>
      </c>
      <c r="E133" s="1">
        <v>46</v>
      </c>
      <c r="F133" s="7">
        <v>36331</v>
      </c>
      <c r="G133" s="8">
        <v>96997</v>
      </c>
      <c r="H133" s="9">
        <v>0</v>
      </c>
      <c r="I133" s="1" t="s">
        <v>59</v>
      </c>
      <c r="J133" s="1" t="s">
        <v>76</v>
      </c>
      <c r="K133" s="10" t="s">
        <v>36</v>
      </c>
    </row>
    <row r="134" spans="1:11" x14ac:dyDescent="0.25">
      <c r="A134" s="6" t="s">
        <v>37</v>
      </c>
      <c r="B134" s="1" t="s">
        <v>52</v>
      </c>
      <c r="C134" s="1" t="s">
        <v>32</v>
      </c>
      <c r="D134" s="1" t="s">
        <v>28</v>
      </c>
      <c r="E134" s="1">
        <v>54</v>
      </c>
      <c r="F134" s="7">
        <v>43122</v>
      </c>
      <c r="G134" s="8">
        <v>176294</v>
      </c>
      <c r="H134" s="9">
        <v>0.28000000000000003</v>
      </c>
      <c r="I134" s="1" t="s">
        <v>29</v>
      </c>
      <c r="J134" s="1" t="s">
        <v>51</v>
      </c>
      <c r="K134" s="10" t="s">
        <v>36</v>
      </c>
    </row>
    <row r="135" spans="1:11" x14ac:dyDescent="0.25">
      <c r="A135" s="6" t="s">
        <v>48</v>
      </c>
      <c r="B135" s="1" t="s">
        <v>45</v>
      </c>
      <c r="C135" s="1" t="s">
        <v>27</v>
      </c>
      <c r="D135" s="1" t="s">
        <v>28</v>
      </c>
      <c r="E135" s="1">
        <v>30</v>
      </c>
      <c r="F135" s="7">
        <v>44241</v>
      </c>
      <c r="G135" s="8">
        <v>48340</v>
      </c>
      <c r="H135" s="9">
        <v>0</v>
      </c>
      <c r="I135" s="1" t="s">
        <v>34</v>
      </c>
      <c r="J135" s="1" t="s">
        <v>64</v>
      </c>
      <c r="K135" s="10" t="s">
        <v>36</v>
      </c>
    </row>
    <row r="136" spans="1:11" x14ac:dyDescent="0.25">
      <c r="A136" s="6" t="s">
        <v>56</v>
      </c>
      <c r="B136" s="1" t="s">
        <v>54</v>
      </c>
      <c r="C136" s="1" t="s">
        <v>46</v>
      </c>
      <c r="D136" s="1" t="s">
        <v>28</v>
      </c>
      <c r="E136" s="1">
        <v>28</v>
      </c>
      <c r="F136" s="7">
        <v>42922</v>
      </c>
      <c r="G136" s="8">
        <v>240488</v>
      </c>
      <c r="H136" s="9">
        <v>0.4</v>
      </c>
      <c r="I136" s="1" t="s">
        <v>59</v>
      </c>
      <c r="J136" s="1" t="s">
        <v>61</v>
      </c>
      <c r="K136" s="10" t="s">
        <v>36</v>
      </c>
    </row>
    <row r="137" spans="1:11" x14ac:dyDescent="0.25">
      <c r="A137" s="6" t="s">
        <v>67</v>
      </c>
      <c r="B137" s="1" t="s">
        <v>26</v>
      </c>
      <c r="C137" s="1" t="s">
        <v>32</v>
      </c>
      <c r="D137" s="1" t="s">
        <v>33</v>
      </c>
      <c r="E137" s="1">
        <v>40</v>
      </c>
      <c r="F137" s="7">
        <v>40565</v>
      </c>
      <c r="G137" s="8">
        <v>97339</v>
      </c>
      <c r="H137" s="9">
        <v>0</v>
      </c>
      <c r="I137" s="1" t="s">
        <v>29</v>
      </c>
      <c r="J137" s="1" t="s">
        <v>51</v>
      </c>
      <c r="K137" s="10" t="s">
        <v>36</v>
      </c>
    </row>
    <row r="138" spans="1:11" x14ac:dyDescent="0.25">
      <c r="A138" s="6" t="s">
        <v>56</v>
      </c>
      <c r="B138" s="1" t="s">
        <v>52</v>
      </c>
      <c r="C138" s="1" t="s">
        <v>32</v>
      </c>
      <c r="D138" s="1" t="s">
        <v>28</v>
      </c>
      <c r="E138" s="1">
        <v>49</v>
      </c>
      <c r="F138" s="7">
        <v>37680</v>
      </c>
      <c r="G138" s="8">
        <v>211291</v>
      </c>
      <c r="H138" s="9">
        <v>0.37</v>
      </c>
      <c r="I138" s="1" t="s">
        <v>34</v>
      </c>
      <c r="J138" s="1" t="s">
        <v>35</v>
      </c>
      <c r="K138" s="10" t="s">
        <v>36</v>
      </c>
    </row>
    <row r="139" spans="1:11" x14ac:dyDescent="0.25">
      <c r="A139" s="6" t="s">
        <v>56</v>
      </c>
      <c r="B139" s="1" t="s">
        <v>45</v>
      </c>
      <c r="C139" s="1" t="s">
        <v>27</v>
      </c>
      <c r="D139" s="1" t="s">
        <v>33</v>
      </c>
      <c r="E139" s="1">
        <v>39</v>
      </c>
      <c r="F139" s="7">
        <v>40778</v>
      </c>
      <c r="G139" s="8">
        <v>249506</v>
      </c>
      <c r="H139" s="9">
        <v>0.3</v>
      </c>
      <c r="I139" s="1" t="s">
        <v>59</v>
      </c>
      <c r="J139" s="1" t="s">
        <v>61</v>
      </c>
      <c r="K139" s="10" t="s">
        <v>36</v>
      </c>
    </row>
    <row r="140" spans="1:11" x14ac:dyDescent="0.25">
      <c r="A140" s="6" t="s">
        <v>62</v>
      </c>
      <c r="B140" s="1" t="s">
        <v>54</v>
      </c>
      <c r="C140" s="1" t="s">
        <v>39</v>
      </c>
      <c r="D140" s="1" t="s">
        <v>33</v>
      </c>
      <c r="E140" s="1">
        <v>61</v>
      </c>
      <c r="F140" s="7">
        <v>37582</v>
      </c>
      <c r="G140" s="8">
        <v>80950</v>
      </c>
      <c r="H140" s="9">
        <v>0</v>
      </c>
      <c r="I140" s="1" t="s">
        <v>34</v>
      </c>
      <c r="J140" s="1" t="s">
        <v>35</v>
      </c>
      <c r="K140" s="10" t="s">
        <v>36</v>
      </c>
    </row>
    <row r="141" spans="1:11" x14ac:dyDescent="0.25">
      <c r="A141" s="6" t="s">
        <v>72</v>
      </c>
      <c r="B141" s="1" t="s">
        <v>54</v>
      </c>
      <c r="C141" s="1" t="s">
        <v>27</v>
      </c>
      <c r="D141" s="1" t="s">
        <v>28</v>
      </c>
      <c r="E141" s="1">
        <v>46</v>
      </c>
      <c r="F141" s="7">
        <v>44206</v>
      </c>
      <c r="G141" s="8">
        <v>86538</v>
      </c>
      <c r="H141" s="9">
        <v>0</v>
      </c>
      <c r="I141" s="1" t="s">
        <v>34</v>
      </c>
      <c r="J141" s="1" t="s">
        <v>68</v>
      </c>
      <c r="K141" s="10" t="s">
        <v>36</v>
      </c>
    </row>
    <row r="142" spans="1:11" x14ac:dyDescent="0.25">
      <c r="A142" s="6" t="s">
        <v>42</v>
      </c>
      <c r="B142" s="1" t="s">
        <v>57</v>
      </c>
      <c r="C142" s="1" t="s">
        <v>39</v>
      </c>
      <c r="D142" s="1" t="s">
        <v>28</v>
      </c>
      <c r="E142" s="1">
        <v>35</v>
      </c>
      <c r="F142" s="7">
        <v>43715</v>
      </c>
      <c r="G142" s="8">
        <v>70992</v>
      </c>
      <c r="H142" s="9">
        <v>0</v>
      </c>
      <c r="I142" s="1" t="s">
        <v>29</v>
      </c>
      <c r="J142" s="1" t="s">
        <v>51</v>
      </c>
      <c r="K142" s="10" t="s">
        <v>36</v>
      </c>
    </row>
    <row r="143" spans="1:11" x14ac:dyDescent="0.25">
      <c r="A143" s="6" t="s">
        <v>56</v>
      </c>
      <c r="B143" s="1" t="s">
        <v>54</v>
      </c>
      <c r="C143" s="1" t="s">
        <v>46</v>
      </c>
      <c r="D143" s="1" t="s">
        <v>33</v>
      </c>
      <c r="E143" s="1">
        <v>33</v>
      </c>
      <c r="F143" s="7">
        <v>42173</v>
      </c>
      <c r="G143" s="8">
        <v>205314</v>
      </c>
      <c r="H143" s="9">
        <v>0.3</v>
      </c>
      <c r="I143" s="1" t="s">
        <v>29</v>
      </c>
      <c r="J143" s="1" t="s">
        <v>58</v>
      </c>
      <c r="K143" s="10" t="s">
        <v>36</v>
      </c>
    </row>
    <row r="144" spans="1:11" x14ac:dyDescent="0.25">
      <c r="A144" s="6" t="s">
        <v>56</v>
      </c>
      <c r="B144" s="1" t="s">
        <v>52</v>
      </c>
      <c r="C144" s="1" t="s">
        <v>46</v>
      </c>
      <c r="D144" s="1" t="s">
        <v>28</v>
      </c>
      <c r="E144" s="1">
        <v>61</v>
      </c>
      <c r="F144" s="7">
        <v>42804</v>
      </c>
      <c r="G144" s="8">
        <v>196951</v>
      </c>
      <c r="H144" s="9">
        <v>0.33</v>
      </c>
      <c r="I144" s="1" t="s">
        <v>34</v>
      </c>
      <c r="J144" s="1" t="s">
        <v>64</v>
      </c>
      <c r="K144" s="10" t="s">
        <v>36</v>
      </c>
    </row>
    <row r="145" spans="1:11" x14ac:dyDescent="0.25">
      <c r="A145" s="6" t="s">
        <v>79</v>
      </c>
      <c r="B145" s="1" t="s">
        <v>26</v>
      </c>
      <c r="C145" s="1" t="s">
        <v>39</v>
      </c>
      <c r="D145" s="1" t="s">
        <v>33</v>
      </c>
      <c r="E145" s="1">
        <v>45</v>
      </c>
      <c r="F145" s="7">
        <v>38613</v>
      </c>
      <c r="G145" s="8">
        <v>67686</v>
      </c>
      <c r="H145" s="9">
        <v>0</v>
      </c>
      <c r="I145" s="1" t="s">
        <v>34</v>
      </c>
      <c r="J145" s="1" t="s">
        <v>64</v>
      </c>
      <c r="K145" s="10" t="s">
        <v>36</v>
      </c>
    </row>
    <row r="146" spans="1:11" x14ac:dyDescent="0.25">
      <c r="A146" s="6" t="s">
        <v>31</v>
      </c>
      <c r="B146" s="1" t="s">
        <v>26</v>
      </c>
      <c r="C146" s="1" t="s">
        <v>27</v>
      </c>
      <c r="D146" s="1" t="s">
        <v>33</v>
      </c>
      <c r="E146" s="1">
        <v>51</v>
      </c>
      <c r="F146" s="7">
        <v>39553</v>
      </c>
      <c r="G146" s="8">
        <v>86431</v>
      </c>
      <c r="H146" s="9">
        <v>0</v>
      </c>
      <c r="I146" s="1" t="s">
        <v>29</v>
      </c>
      <c r="J146" s="1" t="s">
        <v>58</v>
      </c>
      <c r="K146" s="10" t="s">
        <v>36</v>
      </c>
    </row>
    <row r="147" spans="1:11" x14ac:dyDescent="0.25">
      <c r="A147" s="6" t="s">
        <v>47</v>
      </c>
      <c r="B147" s="1" t="s">
        <v>52</v>
      </c>
      <c r="C147" s="1" t="s">
        <v>32</v>
      </c>
      <c r="D147" s="1" t="s">
        <v>33</v>
      </c>
      <c r="E147" s="1">
        <v>55</v>
      </c>
      <c r="F147" s="7">
        <v>35019</v>
      </c>
      <c r="G147" s="8">
        <v>125936</v>
      </c>
      <c r="H147" s="9">
        <v>0.08</v>
      </c>
      <c r="I147" s="1" t="s">
        <v>34</v>
      </c>
      <c r="J147" s="1" t="s">
        <v>35</v>
      </c>
      <c r="K147" s="10" t="s">
        <v>36</v>
      </c>
    </row>
    <row r="148" spans="1:11" x14ac:dyDescent="0.25">
      <c r="A148" s="6" t="s">
        <v>25</v>
      </c>
      <c r="B148" s="1" t="s">
        <v>45</v>
      </c>
      <c r="C148" s="1" t="s">
        <v>46</v>
      </c>
      <c r="D148" s="1" t="s">
        <v>28</v>
      </c>
      <c r="E148" s="1">
        <v>46</v>
      </c>
      <c r="F148" s="7">
        <v>41473</v>
      </c>
      <c r="G148" s="8">
        <v>149712</v>
      </c>
      <c r="H148" s="9">
        <v>0.14000000000000001</v>
      </c>
      <c r="I148" s="1" t="s">
        <v>29</v>
      </c>
      <c r="J148" s="1" t="s">
        <v>58</v>
      </c>
      <c r="K148" s="10" t="s">
        <v>36</v>
      </c>
    </row>
    <row r="149" spans="1:11" x14ac:dyDescent="0.25">
      <c r="A149" s="6" t="s">
        <v>71</v>
      </c>
      <c r="B149" s="1" t="s">
        <v>54</v>
      </c>
      <c r="C149" s="1" t="s">
        <v>39</v>
      </c>
      <c r="D149" s="1" t="s">
        <v>33</v>
      </c>
      <c r="E149" s="1">
        <v>30</v>
      </c>
      <c r="F149" s="7">
        <v>44471</v>
      </c>
      <c r="G149" s="8">
        <v>88758</v>
      </c>
      <c r="H149" s="9">
        <v>0</v>
      </c>
      <c r="I149" s="1" t="s">
        <v>29</v>
      </c>
      <c r="J149" s="1" t="s">
        <v>30</v>
      </c>
      <c r="K149" s="10" t="s">
        <v>36</v>
      </c>
    </row>
    <row r="150" spans="1:11" x14ac:dyDescent="0.25">
      <c r="A150" s="6" t="s">
        <v>84</v>
      </c>
      <c r="B150" s="1" t="s">
        <v>26</v>
      </c>
      <c r="C150" s="1" t="s">
        <v>27</v>
      </c>
      <c r="D150" s="1" t="s">
        <v>33</v>
      </c>
      <c r="E150" s="1">
        <v>54</v>
      </c>
      <c r="F150" s="7">
        <v>41468</v>
      </c>
      <c r="G150" s="8">
        <v>83639</v>
      </c>
      <c r="H150" s="9">
        <v>0</v>
      </c>
      <c r="I150" s="1" t="s">
        <v>34</v>
      </c>
      <c r="J150" s="1" t="s">
        <v>64</v>
      </c>
      <c r="K150" s="10" t="s">
        <v>36</v>
      </c>
    </row>
    <row r="151" spans="1:11" x14ac:dyDescent="0.25">
      <c r="A151" s="6" t="s">
        <v>78</v>
      </c>
      <c r="B151" s="1" t="s">
        <v>26</v>
      </c>
      <c r="C151" s="1" t="s">
        <v>27</v>
      </c>
      <c r="D151" s="1" t="s">
        <v>28</v>
      </c>
      <c r="E151" s="1">
        <v>54</v>
      </c>
      <c r="F151" s="7">
        <v>35933</v>
      </c>
      <c r="G151" s="8">
        <v>68268</v>
      </c>
      <c r="H151" s="9">
        <v>0</v>
      </c>
      <c r="I151" s="1" t="s">
        <v>29</v>
      </c>
      <c r="J151" s="1" t="s">
        <v>43</v>
      </c>
      <c r="K151" s="10" t="s">
        <v>36</v>
      </c>
    </row>
    <row r="152" spans="1:11" x14ac:dyDescent="0.25">
      <c r="A152" s="6" t="s">
        <v>71</v>
      </c>
      <c r="B152" s="1" t="s">
        <v>54</v>
      </c>
      <c r="C152" s="1" t="s">
        <v>32</v>
      </c>
      <c r="D152" s="1" t="s">
        <v>33</v>
      </c>
      <c r="E152" s="1">
        <v>45</v>
      </c>
      <c r="F152" s="7">
        <v>37313</v>
      </c>
      <c r="G152" s="8">
        <v>75819</v>
      </c>
      <c r="H152" s="9">
        <v>0</v>
      </c>
      <c r="I152" s="1" t="s">
        <v>59</v>
      </c>
      <c r="J152" s="1" t="s">
        <v>76</v>
      </c>
      <c r="K152" s="10" t="s">
        <v>36</v>
      </c>
    </row>
    <row r="153" spans="1:11" x14ac:dyDescent="0.25">
      <c r="A153" s="6" t="s">
        <v>42</v>
      </c>
      <c r="B153" s="1" t="s">
        <v>45</v>
      </c>
      <c r="C153" s="1" t="s">
        <v>39</v>
      </c>
      <c r="D153" s="1" t="s">
        <v>28</v>
      </c>
      <c r="E153" s="1">
        <v>49</v>
      </c>
      <c r="F153" s="7">
        <v>35200</v>
      </c>
      <c r="G153" s="8">
        <v>86658</v>
      </c>
      <c r="H153" s="9">
        <v>0</v>
      </c>
      <c r="I153" s="1" t="s">
        <v>29</v>
      </c>
      <c r="J153" s="1" t="s">
        <v>43</v>
      </c>
      <c r="K153" s="10" t="s">
        <v>36</v>
      </c>
    </row>
    <row r="154" spans="1:11" x14ac:dyDescent="0.25">
      <c r="A154" s="6" t="s">
        <v>66</v>
      </c>
      <c r="B154" s="1" t="s">
        <v>38</v>
      </c>
      <c r="C154" s="1" t="s">
        <v>27</v>
      </c>
      <c r="D154" s="1" t="s">
        <v>33</v>
      </c>
      <c r="E154" s="1">
        <v>55</v>
      </c>
      <c r="F154" s="7">
        <v>41714</v>
      </c>
      <c r="G154" s="8">
        <v>74552</v>
      </c>
      <c r="H154" s="9">
        <v>0</v>
      </c>
      <c r="I154" s="1" t="s">
        <v>34</v>
      </c>
      <c r="J154" s="1" t="s">
        <v>68</v>
      </c>
      <c r="K154" s="10" t="s">
        <v>36</v>
      </c>
    </row>
    <row r="155" spans="1:11" x14ac:dyDescent="0.25">
      <c r="A155" s="6" t="s">
        <v>67</v>
      </c>
      <c r="B155" s="1" t="s">
        <v>26</v>
      </c>
      <c r="C155" s="1" t="s">
        <v>32</v>
      </c>
      <c r="D155" s="1" t="s">
        <v>28</v>
      </c>
      <c r="E155" s="1">
        <v>62</v>
      </c>
      <c r="F155" s="7">
        <v>39887</v>
      </c>
      <c r="G155" s="8">
        <v>82839</v>
      </c>
      <c r="H155" s="9">
        <v>0</v>
      </c>
      <c r="I155" s="1" t="s">
        <v>29</v>
      </c>
      <c r="J155" s="1" t="s">
        <v>49</v>
      </c>
      <c r="K155" s="10" t="s">
        <v>36</v>
      </c>
    </row>
    <row r="156" spans="1:11" x14ac:dyDescent="0.25">
      <c r="A156" s="6" t="s">
        <v>78</v>
      </c>
      <c r="B156" s="1" t="s">
        <v>26</v>
      </c>
      <c r="C156" s="1" t="s">
        <v>39</v>
      </c>
      <c r="D156" s="1" t="s">
        <v>28</v>
      </c>
      <c r="E156" s="1">
        <v>28</v>
      </c>
      <c r="F156" s="7">
        <v>44477</v>
      </c>
      <c r="G156" s="8">
        <v>64475</v>
      </c>
      <c r="H156" s="9">
        <v>0</v>
      </c>
      <c r="I156" s="1" t="s">
        <v>29</v>
      </c>
      <c r="J156" s="1" t="s">
        <v>43</v>
      </c>
      <c r="K156" s="10" t="s">
        <v>36</v>
      </c>
    </row>
    <row r="157" spans="1:11" x14ac:dyDescent="0.25">
      <c r="A157" s="6" t="s">
        <v>78</v>
      </c>
      <c r="B157" s="1" t="s">
        <v>26</v>
      </c>
      <c r="C157" s="1" t="s">
        <v>32</v>
      </c>
      <c r="D157" s="1" t="s">
        <v>33</v>
      </c>
      <c r="E157" s="1">
        <v>33</v>
      </c>
      <c r="F157" s="7">
        <v>44036</v>
      </c>
      <c r="G157" s="8">
        <v>69453</v>
      </c>
      <c r="H157" s="9">
        <v>0</v>
      </c>
      <c r="I157" s="1" t="s">
        <v>34</v>
      </c>
      <c r="J157" s="1" t="s">
        <v>68</v>
      </c>
      <c r="K157" s="10" t="s">
        <v>36</v>
      </c>
    </row>
    <row r="158" spans="1:11" x14ac:dyDescent="0.25">
      <c r="A158" s="6" t="s">
        <v>47</v>
      </c>
      <c r="B158" s="1" t="s">
        <v>26</v>
      </c>
      <c r="C158" s="1" t="s">
        <v>46</v>
      </c>
      <c r="D158" s="1" t="s">
        <v>33</v>
      </c>
      <c r="E158" s="1">
        <v>32</v>
      </c>
      <c r="F158" s="7">
        <v>41642</v>
      </c>
      <c r="G158" s="8">
        <v>127148</v>
      </c>
      <c r="H158" s="9">
        <v>0.1</v>
      </c>
      <c r="I158" s="1" t="s">
        <v>29</v>
      </c>
      <c r="J158" s="1" t="s">
        <v>49</v>
      </c>
      <c r="K158" s="10" t="s">
        <v>36</v>
      </c>
    </row>
    <row r="159" spans="1:11" x14ac:dyDescent="0.25">
      <c r="A159" s="6" t="s">
        <v>56</v>
      </c>
      <c r="B159" s="1" t="s">
        <v>38</v>
      </c>
      <c r="C159" s="1" t="s">
        <v>39</v>
      </c>
      <c r="D159" s="1" t="s">
        <v>28</v>
      </c>
      <c r="E159" s="1">
        <v>32</v>
      </c>
      <c r="F159" s="7">
        <v>43102</v>
      </c>
      <c r="G159" s="8">
        <v>190253</v>
      </c>
      <c r="H159" s="9">
        <v>0.33</v>
      </c>
      <c r="I159" s="1" t="s">
        <v>29</v>
      </c>
      <c r="J159" s="1" t="s">
        <v>51</v>
      </c>
      <c r="K159" s="10" t="s">
        <v>36</v>
      </c>
    </row>
    <row r="160" spans="1:11" x14ac:dyDescent="0.25">
      <c r="A160" s="6" t="s">
        <v>47</v>
      </c>
      <c r="B160" s="1" t="s">
        <v>50</v>
      </c>
      <c r="C160" s="1" t="s">
        <v>27</v>
      </c>
      <c r="D160" s="1" t="s">
        <v>33</v>
      </c>
      <c r="E160" s="1">
        <v>55</v>
      </c>
      <c r="F160" s="7">
        <v>36644</v>
      </c>
      <c r="G160" s="8">
        <v>115798</v>
      </c>
      <c r="H160" s="9">
        <v>0.05</v>
      </c>
      <c r="I160" s="1" t="s">
        <v>29</v>
      </c>
      <c r="J160" s="1" t="s">
        <v>49</v>
      </c>
      <c r="K160" s="10" t="s">
        <v>36</v>
      </c>
    </row>
    <row r="161" spans="1:11" x14ac:dyDescent="0.25">
      <c r="A161" s="6" t="s">
        <v>69</v>
      </c>
      <c r="B161" s="1" t="s">
        <v>52</v>
      </c>
      <c r="C161" s="1" t="s">
        <v>27</v>
      </c>
      <c r="D161" s="1" t="s">
        <v>28</v>
      </c>
      <c r="E161" s="1">
        <v>58</v>
      </c>
      <c r="F161" s="7">
        <v>34567</v>
      </c>
      <c r="G161" s="8">
        <v>93102</v>
      </c>
      <c r="H161" s="9">
        <v>0</v>
      </c>
      <c r="I161" s="1" t="s">
        <v>29</v>
      </c>
      <c r="J161" s="1" t="s">
        <v>30</v>
      </c>
      <c r="K161" s="10">
        <v>41621</v>
      </c>
    </row>
    <row r="162" spans="1:11" x14ac:dyDescent="0.25">
      <c r="A162" s="6" t="s">
        <v>63</v>
      </c>
      <c r="B162" s="1" t="s">
        <v>54</v>
      </c>
      <c r="C162" s="1" t="s">
        <v>39</v>
      </c>
      <c r="D162" s="1" t="s">
        <v>33</v>
      </c>
      <c r="E162" s="1">
        <v>34</v>
      </c>
      <c r="F162" s="7">
        <v>43055</v>
      </c>
      <c r="G162" s="8">
        <v>110054</v>
      </c>
      <c r="H162" s="9">
        <v>0.15</v>
      </c>
      <c r="I162" s="1" t="s">
        <v>29</v>
      </c>
      <c r="J162" s="1" t="s">
        <v>49</v>
      </c>
      <c r="K162" s="10" t="s">
        <v>36</v>
      </c>
    </row>
    <row r="163" spans="1:11" x14ac:dyDescent="0.25">
      <c r="A163" s="6" t="s">
        <v>62</v>
      </c>
      <c r="B163" s="1" t="s">
        <v>54</v>
      </c>
      <c r="C163" s="1" t="s">
        <v>27</v>
      </c>
      <c r="D163" s="1" t="s">
        <v>28</v>
      </c>
      <c r="E163" s="1">
        <v>27</v>
      </c>
      <c r="F163" s="7">
        <v>44224</v>
      </c>
      <c r="G163" s="8">
        <v>95786</v>
      </c>
      <c r="H163" s="9">
        <v>0</v>
      </c>
      <c r="I163" s="1" t="s">
        <v>29</v>
      </c>
      <c r="J163" s="1" t="s">
        <v>40</v>
      </c>
      <c r="K163" s="10" t="s">
        <v>36</v>
      </c>
    </row>
    <row r="164" spans="1:11" x14ac:dyDescent="0.25">
      <c r="A164" s="6" t="s">
        <v>42</v>
      </c>
      <c r="B164" s="1" t="s">
        <v>45</v>
      </c>
      <c r="C164" s="1" t="s">
        <v>39</v>
      </c>
      <c r="D164" s="1" t="s">
        <v>33</v>
      </c>
      <c r="E164" s="1">
        <v>61</v>
      </c>
      <c r="F164" s="7">
        <v>42858</v>
      </c>
      <c r="G164" s="8">
        <v>90855</v>
      </c>
      <c r="H164" s="9">
        <v>0</v>
      </c>
      <c r="I164" s="1" t="s">
        <v>59</v>
      </c>
      <c r="J164" s="1" t="s">
        <v>76</v>
      </c>
      <c r="K164" s="10" t="s">
        <v>36</v>
      </c>
    </row>
    <row r="165" spans="1:11" x14ac:dyDescent="0.25">
      <c r="A165" s="6" t="s">
        <v>67</v>
      </c>
      <c r="B165" s="1" t="s">
        <v>26</v>
      </c>
      <c r="C165" s="1" t="s">
        <v>32</v>
      </c>
      <c r="D165" s="1" t="s">
        <v>33</v>
      </c>
      <c r="E165" s="1">
        <v>47</v>
      </c>
      <c r="F165" s="7">
        <v>36233</v>
      </c>
      <c r="G165" s="8">
        <v>92897</v>
      </c>
      <c r="H165" s="9">
        <v>0</v>
      </c>
      <c r="I165" s="1" t="s">
        <v>59</v>
      </c>
      <c r="J165" s="1" t="s">
        <v>76</v>
      </c>
      <c r="K165" s="10" t="s">
        <v>36</v>
      </c>
    </row>
    <row r="166" spans="1:11" x14ac:dyDescent="0.25">
      <c r="A166" s="6" t="s">
        <v>56</v>
      </c>
      <c r="B166" s="1" t="s">
        <v>57</v>
      </c>
      <c r="C166" s="1" t="s">
        <v>39</v>
      </c>
      <c r="D166" s="1" t="s">
        <v>33</v>
      </c>
      <c r="E166" s="1">
        <v>40</v>
      </c>
      <c r="F166" s="7">
        <v>39872</v>
      </c>
      <c r="G166" s="8">
        <v>242919</v>
      </c>
      <c r="H166" s="9">
        <v>0.31</v>
      </c>
      <c r="I166" s="1" t="s">
        <v>34</v>
      </c>
      <c r="J166" s="1" t="s">
        <v>35</v>
      </c>
      <c r="K166" s="10" t="s">
        <v>36</v>
      </c>
    </row>
    <row r="167" spans="1:11" x14ac:dyDescent="0.25">
      <c r="A167" s="6" t="s">
        <v>37</v>
      </c>
      <c r="B167" s="1" t="s">
        <v>54</v>
      </c>
      <c r="C167" s="1" t="s">
        <v>39</v>
      </c>
      <c r="D167" s="1" t="s">
        <v>33</v>
      </c>
      <c r="E167" s="1">
        <v>30</v>
      </c>
      <c r="F167" s="7">
        <v>43240</v>
      </c>
      <c r="G167" s="8">
        <v>184368</v>
      </c>
      <c r="H167" s="9">
        <v>0.28999999999999998</v>
      </c>
      <c r="I167" s="1" t="s">
        <v>29</v>
      </c>
      <c r="J167" s="1" t="s">
        <v>51</v>
      </c>
      <c r="K167" s="10" t="s">
        <v>36</v>
      </c>
    </row>
    <row r="168" spans="1:11" x14ac:dyDescent="0.25">
      <c r="A168" s="6" t="s">
        <v>25</v>
      </c>
      <c r="B168" s="1" t="s">
        <v>38</v>
      </c>
      <c r="C168" s="1" t="s">
        <v>46</v>
      </c>
      <c r="D168" s="1" t="s">
        <v>33</v>
      </c>
      <c r="E168" s="1">
        <v>45</v>
      </c>
      <c r="F168" s="7">
        <v>44554</v>
      </c>
      <c r="G168" s="8">
        <v>144754</v>
      </c>
      <c r="H168" s="9">
        <v>0.15</v>
      </c>
      <c r="I168" s="1" t="s">
        <v>29</v>
      </c>
      <c r="J168" s="1" t="s">
        <v>43</v>
      </c>
      <c r="K168" s="10" t="s">
        <v>36</v>
      </c>
    </row>
    <row r="169" spans="1:11" x14ac:dyDescent="0.25">
      <c r="A169" s="6" t="s">
        <v>81</v>
      </c>
      <c r="B169" s="1" t="s">
        <v>45</v>
      </c>
      <c r="C169" s="1" t="s">
        <v>27</v>
      </c>
      <c r="D169" s="1" t="s">
        <v>28</v>
      </c>
      <c r="E169" s="1">
        <v>30</v>
      </c>
      <c r="F169" s="7">
        <v>42722</v>
      </c>
      <c r="G169" s="8">
        <v>89458</v>
      </c>
      <c r="H169" s="9">
        <v>0</v>
      </c>
      <c r="I169" s="1" t="s">
        <v>29</v>
      </c>
      <c r="J169" s="1" t="s">
        <v>51</v>
      </c>
      <c r="K169" s="10" t="s">
        <v>36</v>
      </c>
    </row>
    <row r="170" spans="1:11" x14ac:dyDescent="0.25">
      <c r="A170" s="6" t="s">
        <v>56</v>
      </c>
      <c r="B170" s="1" t="s">
        <v>50</v>
      </c>
      <c r="C170" s="1" t="s">
        <v>46</v>
      </c>
      <c r="D170" s="1" t="s">
        <v>28</v>
      </c>
      <c r="E170" s="1">
        <v>56</v>
      </c>
      <c r="F170" s="7">
        <v>41714</v>
      </c>
      <c r="G170" s="8">
        <v>190815</v>
      </c>
      <c r="H170" s="9">
        <v>0.4</v>
      </c>
      <c r="I170" s="1" t="s">
        <v>29</v>
      </c>
      <c r="J170" s="1" t="s">
        <v>51</v>
      </c>
      <c r="K170" s="10" t="s">
        <v>36</v>
      </c>
    </row>
    <row r="171" spans="1:11" x14ac:dyDescent="0.25">
      <c r="A171" s="6" t="s">
        <v>25</v>
      </c>
      <c r="B171" s="1" t="s">
        <v>45</v>
      </c>
      <c r="C171" s="1" t="s">
        <v>27</v>
      </c>
      <c r="D171" s="1" t="s">
        <v>28</v>
      </c>
      <c r="E171" s="1">
        <v>62</v>
      </c>
      <c r="F171" s="7">
        <v>36374</v>
      </c>
      <c r="G171" s="8">
        <v>137995</v>
      </c>
      <c r="H171" s="9">
        <v>0.14000000000000001</v>
      </c>
      <c r="I171" s="1" t="s">
        <v>29</v>
      </c>
      <c r="J171" s="1" t="s">
        <v>51</v>
      </c>
      <c r="K171" s="10" t="s">
        <v>36</v>
      </c>
    </row>
    <row r="172" spans="1:11" x14ac:dyDescent="0.25">
      <c r="A172" s="6" t="s">
        <v>69</v>
      </c>
      <c r="B172" s="1" t="s">
        <v>52</v>
      </c>
      <c r="C172" s="1" t="s">
        <v>32</v>
      </c>
      <c r="D172" s="1" t="s">
        <v>28</v>
      </c>
      <c r="E172" s="1">
        <v>45</v>
      </c>
      <c r="F172" s="7">
        <v>39437</v>
      </c>
      <c r="G172" s="8">
        <v>93840</v>
      </c>
      <c r="H172" s="9">
        <v>0</v>
      </c>
      <c r="I172" s="1" t="s">
        <v>59</v>
      </c>
      <c r="J172" s="1" t="s">
        <v>60</v>
      </c>
      <c r="K172" s="10" t="s">
        <v>36</v>
      </c>
    </row>
    <row r="173" spans="1:11" x14ac:dyDescent="0.25">
      <c r="A173" s="6" t="s">
        <v>31</v>
      </c>
      <c r="B173" s="1" t="s">
        <v>26</v>
      </c>
      <c r="C173" s="1" t="s">
        <v>27</v>
      </c>
      <c r="D173" s="1" t="s">
        <v>33</v>
      </c>
      <c r="E173" s="1">
        <v>46</v>
      </c>
      <c r="F173" s="7">
        <v>44495</v>
      </c>
      <c r="G173" s="8">
        <v>94790</v>
      </c>
      <c r="H173" s="9">
        <v>0</v>
      </c>
      <c r="I173" s="1" t="s">
        <v>34</v>
      </c>
      <c r="J173" s="1" t="s">
        <v>35</v>
      </c>
      <c r="K173" s="10" t="s">
        <v>36</v>
      </c>
    </row>
    <row r="174" spans="1:11" x14ac:dyDescent="0.25">
      <c r="A174" s="6" t="s">
        <v>56</v>
      </c>
      <c r="B174" s="1" t="s">
        <v>52</v>
      </c>
      <c r="C174" s="1" t="s">
        <v>27</v>
      </c>
      <c r="D174" s="1" t="s">
        <v>33</v>
      </c>
      <c r="E174" s="1">
        <v>48</v>
      </c>
      <c r="F174" s="7">
        <v>41706</v>
      </c>
      <c r="G174" s="8">
        <v>197367</v>
      </c>
      <c r="H174" s="9">
        <v>0.39</v>
      </c>
      <c r="I174" s="1" t="s">
        <v>29</v>
      </c>
      <c r="J174" s="1" t="s">
        <v>51</v>
      </c>
      <c r="K174" s="10" t="s">
        <v>36</v>
      </c>
    </row>
    <row r="175" spans="1:11" x14ac:dyDescent="0.25">
      <c r="A175" s="6" t="s">
        <v>37</v>
      </c>
      <c r="B175" s="1" t="s">
        <v>50</v>
      </c>
      <c r="C175" s="1" t="s">
        <v>32</v>
      </c>
      <c r="D175" s="1" t="s">
        <v>28</v>
      </c>
      <c r="E175" s="1">
        <v>27</v>
      </c>
      <c r="F175" s="7">
        <v>43276</v>
      </c>
      <c r="G175" s="8">
        <v>174097</v>
      </c>
      <c r="H175" s="9">
        <v>0.21</v>
      </c>
      <c r="I175" s="1" t="s">
        <v>29</v>
      </c>
      <c r="J175" s="1" t="s">
        <v>43</v>
      </c>
      <c r="K175" s="10" t="s">
        <v>36</v>
      </c>
    </row>
    <row r="176" spans="1:11" x14ac:dyDescent="0.25">
      <c r="A176" s="6" t="s">
        <v>47</v>
      </c>
      <c r="B176" s="1" t="s">
        <v>26</v>
      </c>
      <c r="C176" s="1" t="s">
        <v>39</v>
      </c>
      <c r="D176" s="1" t="s">
        <v>33</v>
      </c>
      <c r="E176" s="1">
        <v>53</v>
      </c>
      <c r="F176" s="7">
        <v>39021</v>
      </c>
      <c r="G176" s="8">
        <v>120128</v>
      </c>
      <c r="H176" s="9">
        <v>0.1</v>
      </c>
      <c r="I176" s="1" t="s">
        <v>29</v>
      </c>
      <c r="J176" s="1" t="s">
        <v>51</v>
      </c>
      <c r="K176" s="10" t="s">
        <v>36</v>
      </c>
    </row>
    <row r="177" spans="1:11" x14ac:dyDescent="0.25">
      <c r="A177" s="6" t="s">
        <v>47</v>
      </c>
      <c r="B177" s="1" t="s">
        <v>57</v>
      </c>
      <c r="C177" s="1" t="s">
        <v>32</v>
      </c>
      <c r="D177" s="1" t="s">
        <v>28</v>
      </c>
      <c r="E177" s="1">
        <v>59</v>
      </c>
      <c r="F177" s="7">
        <v>39197</v>
      </c>
      <c r="G177" s="8">
        <v>129708</v>
      </c>
      <c r="H177" s="9">
        <v>0.05</v>
      </c>
      <c r="I177" s="1" t="s">
        <v>29</v>
      </c>
      <c r="J177" s="1" t="s">
        <v>49</v>
      </c>
      <c r="K177" s="10" t="s">
        <v>36</v>
      </c>
    </row>
    <row r="178" spans="1:11" x14ac:dyDescent="0.25">
      <c r="A178" s="6" t="s">
        <v>47</v>
      </c>
      <c r="B178" s="1" t="s">
        <v>57</v>
      </c>
      <c r="C178" s="1" t="s">
        <v>27</v>
      </c>
      <c r="D178" s="1" t="s">
        <v>33</v>
      </c>
      <c r="E178" s="1">
        <v>55</v>
      </c>
      <c r="F178" s="7">
        <v>34595</v>
      </c>
      <c r="G178" s="8">
        <v>102270</v>
      </c>
      <c r="H178" s="9">
        <v>0.1</v>
      </c>
      <c r="I178" s="1" t="s">
        <v>29</v>
      </c>
      <c r="J178" s="1" t="s">
        <v>40</v>
      </c>
      <c r="K178" s="10" t="s">
        <v>36</v>
      </c>
    </row>
    <row r="179" spans="1:11" x14ac:dyDescent="0.25">
      <c r="A179" s="6" t="s">
        <v>56</v>
      </c>
      <c r="B179" s="1" t="s">
        <v>38</v>
      </c>
      <c r="C179" s="1" t="s">
        <v>39</v>
      </c>
      <c r="D179" s="1" t="s">
        <v>28</v>
      </c>
      <c r="E179" s="1">
        <v>43</v>
      </c>
      <c r="F179" s="7">
        <v>38564</v>
      </c>
      <c r="G179" s="8">
        <v>249686</v>
      </c>
      <c r="H179" s="9">
        <v>0.31</v>
      </c>
      <c r="I179" s="1" t="s">
        <v>34</v>
      </c>
      <c r="J179" s="1" t="s">
        <v>35</v>
      </c>
      <c r="K179" s="10" t="s">
        <v>36</v>
      </c>
    </row>
    <row r="180" spans="1:11" x14ac:dyDescent="0.25">
      <c r="A180" s="6" t="s">
        <v>48</v>
      </c>
      <c r="B180" s="1" t="s">
        <v>38</v>
      </c>
      <c r="C180" s="1" t="s">
        <v>32</v>
      </c>
      <c r="D180" s="1" t="s">
        <v>28</v>
      </c>
      <c r="E180" s="1">
        <v>55</v>
      </c>
      <c r="F180" s="7">
        <v>37343</v>
      </c>
      <c r="G180" s="8">
        <v>50475</v>
      </c>
      <c r="H180" s="9">
        <v>0</v>
      </c>
      <c r="I180" s="1" t="s">
        <v>29</v>
      </c>
      <c r="J180" s="1" t="s">
        <v>58</v>
      </c>
      <c r="K180" s="10" t="s">
        <v>36</v>
      </c>
    </row>
    <row r="181" spans="1:11" x14ac:dyDescent="0.25">
      <c r="A181" s="6" t="s">
        <v>47</v>
      </c>
      <c r="B181" s="1" t="s">
        <v>57</v>
      </c>
      <c r="C181" s="1" t="s">
        <v>27</v>
      </c>
      <c r="D181" s="1" t="s">
        <v>33</v>
      </c>
      <c r="E181" s="1">
        <v>51</v>
      </c>
      <c r="F181" s="7">
        <v>44014</v>
      </c>
      <c r="G181" s="8">
        <v>100099</v>
      </c>
      <c r="H181" s="9">
        <v>0.08</v>
      </c>
      <c r="I181" s="1" t="s">
        <v>29</v>
      </c>
      <c r="J181" s="1" t="s">
        <v>49</v>
      </c>
      <c r="K181" s="10" t="s">
        <v>36</v>
      </c>
    </row>
    <row r="182" spans="1:11" x14ac:dyDescent="0.25">
      <c r="A182" s="6" t="s">
        <v>65</v>
      </c>
      <c r="B182" s="1" t="s">
        <v>26</v>
      </c>
      <c r="C182" s="1" t="s">
        <v>32</v>
      </c>
      <c r="D182" s="1" t="s">
        <v>28</v>
      </c>
      <c r="E182" s="1">
        <v>54</v>
      </c>
      <c r="F182" s="7">
        <v>42731</v>
      </c>
      <c r="G182" s="8">
        <v>41673</v>
      </c>
      <c r="H182" s="9">
        <v>0</v>
      </c>
      <c r="I182" s="1" t="s">
        <v>29</v>
      </c>
      <c r="J182" s="1" t="s">
        <v>49</v>
      </c>
      <c r="K182" s="10" t="s">
        <v>36</v>
      </c>
    </row>
    <row r="183" spans="1:11" x14ac:dyDescent="0.25">
      <c r="A183" s="6" t="s">
        <v>42</v>
      </c>
      <c r="B183" s="1" t="s">
        <v>57</v>
      </c>
      <c r="C183" s="1" t="s">
        <v>39</v>
      </c>
      <c r="D183" s="1" t="s">
        <v>28</v>
      </c>
      <c r="E183" s="1">
        <v>47</v>
      </c>
      <c r="F183" s="7">
        <v>42928</v>
      </c>
      <c r="G183" s="8">
        <v>70996</v>
      </c>
      <c r="H183" s="9">
        <v>0</v>
      </c>
      <c r="I183" s="1" t="s">
        <v>34</v>
      </c>
      <c r="J183" s="1" t="s">
        <v>68</v>
      </c>
      <c r="K183" s="10" t="s">
        <v>36</v>
      </c>
    </row>
    <row r="184" spans="1:11" x14ac:dyDescent="0.25">
      <c r="A184" s="6" t="s">
        <v>48</v>
      </c>
      <c r="B184" s="1" t="s">
        <v>57</v>
      </c>
      <c r="C184" s="1" t="s">
        <v>46</v>
      </c>
      <c r="D184" s="1" t="s">
        <v>33</v>
      </c>
      <c r="E184" s="1">
        <v>55</v>
      </c>
      <c r="F184" s="7">
        <v>38328</v>
      </c>
      <c r="G184" s="8">
        <v>40752</v>
      </c>
      <c r="H184" s="9">
        <v>0</v>
      </c>
      <c r="I184" s="1" t="s">
        <v>29</v>
      </c>
      <c r="J184" s="1" t="s">
        <v>43</v>
      </c>
      <c r="K184" s="10" t="s">
        <v>36</v>
      </c>
    </row>
    <row r="185" spans="1:11" x14ac:dyDescent="0.25">
      <c r="A185" s="6" t="s">
        <v>79</v>
      </c>
      <c r="B185" s="1" t="s">
        <v>26</v>
      </c>
      <c r="C185" s="1" t="s">
        <v>32</v>
      </c>
      <c r="D185" s="1" t="s">
        <v>28</v>
      </c>
      <c r="E185" s="1">
        <v>50</v>
      </c>
      <c r="F185" s="7">
        <v>36914</v>
      </c>
      <c r="G185" s="8">
        <v>97537</v>
      </c>
      <c r="H185" s="9">
        <v>0</v>
      </c>
      <c r="I185" s="1" t="s">
        <v>34</v>
      </c>
      <c r="J185" s="1" t="s">
        <v>68</v>
      </c>
      <c r="K185" s="10" t="s">
        <v>36</v>
      </c>
    </row>
    <row r="186" spans="1:11" x14ac:dyDescent="0.25">
      <c r="A186" s="6" t="s">
        <v>85</v>
      </c>
      <c r="B186" s="1" t="s">
        <v>26</v>
      </c>
      <c r="C186" s="1" t="s">
        <v>27</v>
      </c>
      <c r="D186" s="1" t="s">
        <v>33</v>
      </c>
      <c r="E186" s="1">
        <v>31</v>
      </c>
      <c r="F186" s="7">
        <v>44086</v>
      </c>
      <c r="G186" s="8">
        <v>96567</v>
      </c>
      <c r="H186" s="9">
        <v>0</v>
      </c>
      <c r="I186" s="1" t="s">
        <v>34</v>
      </c>
      <c r="J186" s="1" t="s">
        <v>55</v>
      </c>
      <c r="K186" s="10" t="s">
        <v>36</v>
      </c>
    </row>
    <row r="187" spans="1:11" x14ac:dyDescent="0.25">
      <c r="A187" s="6" t="s">
        <v>83</v>
      </c>
      <c r="B187" s="1" t="s">
        <v>26</v>
      </c>
      <c r="C187" s="1" t="s">
        <v>39</v>
      </c>
      <c r="D187" s="1" t="s">
        <v>33</v>
      </c>
      <c r="E187" s="1">
        <v>47</v>
      </c>
      <c r="F187" s="7">
        <v>36229</v>
      </c>
      <c r="G187" s="8">
        <v>49404</v>
      </c>
      <c r="H187" s="9">
        <v>0</v>
      </c>
      <c r="I187" s="1" t="s">
        <v>34</v>
      </c>
      <c r="J187" s="1" t="s">
        <v>64</v>
      </c>
      <c r="K187" s="10" t="s">
        <v>36</v>
      </c>
    </row>
    <row r="188" spans="1:11" x14ac:dyDescent="0.25">
      <c r="A188" s="6" t="s">
        <v>85</v>
      </c>
      <c r="B188" s="1" t="s">
        <v>26</v>
      </c>
      <c r="C188" s="1" t="s">
        <v>27</v>
      </c>
      <c r="D188" s="1" t="s">
        <v>33</v>
      </c>
      <c r="E188" s="1">
        <v>29</v>
      </c>
      <c r="F188" s="7">
        <v>43753</v>
      </c>
      <c r="G188" s="8">
        <v>66819</v>
      </c>
      <c r="H188" s="9">
        <v>0</v>
      </c>
      <c r="I188" s="1" t="s">
        <v>59</v>
      </c>
      <c r="J188" s="1" t="s">
        <v>61</v>
      </c>
      <c r="K188" s="10" t="s">
        <v>36</v>
      </c>
    </row>
    <row r="189" spans="1:11" x14ac:dyDescent="0.25">
      <c r="A189" s="6" t="s">
        <v>48</v>
      </c>
      <c r="B189" s="1" t="s">
        <v>57</v>
      </c>
      <c r="C189" s="1" t="s">
        <v>39</v>
      </c>
      <c r="D189" s="1" t="s">
        <v>33</v>
      </c>
      <c r="E189" s="1">
        <v>38</v>
      </c>
      <c r="F189" s="7">
        <v>42492</v>
      </c>
      <c r="G189" s="8">
        <v>50784</v>
      </c>
      <c r="H189" s="9">
        <v>0</v>
      </c>
      <c r="I189" s="1" t="s">
        <v>59</v>
      </c>
      <c r="J189" s="1" t="s">
        <v>61</v>
      </c>
      <c r="K189" s="10" t="s">
        <v>36</v>
      </c>
    </row>
    <row r="190" spans="1:11" x14ac:dyDescent="0.25">
      <c r="A190" s="6" t="s">
        <v>25</v>
      </c>
      <c r="B190" s="1" t="s">
        <v>52</v>
      </c>
      <c r="C190" s="1" t="s">
        <v>27</v>
      </c>
      <c r="D190" s="1" t="s">
        <v>33</v>
      </c>
      <c r="E190" s="1">
        <v>29</v>
      </c>
      <c r="F190" s="7">
        <v>43594</v>
      </c>
      <c r="G190" s="8">
        <v>125828</v>
      </c>
      <c r="H190" s="9">
        <v>0.15</v>
      </c>
      <c r="I190" s="1" t="s">
        <v>59</v>
      </c>
      <c r="J190" s="1" t="s">
        <v>76</v>
      </c>
      <c r="K190" s="10" t="s">
        <v>36</v>
      </c>
    </row>
    <row r="191" spans="1:11" x14ac:dyDescent="0.25">
      <c r="A191" s="6" t="s">
        <v>69</v>
      </c>
      <c r="B191" s="1" t="s">
        <v>52</v>
      </c>
      <c r="C191" s="1" t="s">
        <v>32</v>
      </c>
      <c r="D191" s="1" t="s">
        <v>33</v>
      </c>
      <c r="E191" s="1">
        <v>33</v>
      </c>
      <c r="F191" s="7">
        <v>42951</v>
      </c>
      <c r="G191" s="8">
        <v>92610</v>
      </c>
      <c r="H191" s="9">
        <v>0</v>
      </c>
      <c r="I191" s="1" t="s">
        <v>29</v>
      </c>
      <c r="J191" s="1" t="s">
        <v>58</v>
      </c>
      <c r="K191" s="10" t="s">
        <v>36</v>
      </c>
    </row>
    <row r="192" spans="1:11" x14ac:dyDescent="0.25">
      <c r="A192" s="6" t="s">
        <v>25</v>
      </c>
      <c r="B192" s="1" t="s">
        <v>45</v>
      </c>
      <c r="C192" s="1" t="s">
        <v>39</v>
      </c>
      <c r="D192" s="1" t="s">
        <v>33</v>
      </c>
      <c r="E192" s="1">
        <v>50</v>
      </c>
      <c r="F192" s="7">
        <v>37705</v>
      </c>
      <c r="G192" s="8">
        <v>123405</v>
      </c>
      <c r="H192" s="9">
        <v>0.13</v>
      </c>
      <c r="I192" s="1" t="s">
        <v>29</v>
      </c>
      <c r="J192" s="1" t="s">
        <v>58</v>
      </c>
      <c r="K192" s="10" t="s">
        <v>36</v>
      </c>
    </row>
    <row r="193" spans="1:11" x14ac:dyDescent="0.25">
      <c r="A193" s="6" t="s">
        <v>44</v>
      </c>
      <c r="B193" s="1" t="s">
        <v>45</v>
      </c>
      <c r="C193" s="1" t="s">
        <v>32</v>
      </c>
      <c r="D193" s="1" t="s">
        <v>28</v>
      </c>
      <c r="E193" s="1">
        <v>46</v>
      </c>
      <c r="F193" s="7">
        <v>38066</v>
      </c>
      <c r="G193" s="8">
        <v>73004</v>
      </c>
      <c r="H193" s="9">
        <v>0</v>
      </c>
      <c r="I193" s="1" t="s">
        <v>34</v>
      </c>
      <c r="J193" s="1" t="s">
        <v>64</v>
      </c>
      <c r="K193" s="10" t="s">
        <v>36</v>
      </c>
    </row>
    <row r="194" spans="1:11" x14ac:dyDescent="0.25">
      <c r="A194" s="6" t="s">
        <v>63</v>
      </c>
      <c r="B194" s="1" t="s">
        <v>54</v>
      </c>
      <c r="C194" s="1" t="s">
        <v>46</v>
      </c>
      <c r="D194" s="1" t="s">
        <v>33</v>
      </c>
      <c r="E194" s="1">
        <v>57</v>
      </c>
      <c r="F194" s="7">
        <v>36275</v>
      </c>
      <c r="G194" s="8">
        <v>95061</v>
      </c>
      <c r="H194" s="9">
        <v>0.1</v>
      </c>
      <c r="I194" s="1" t="s">
        <v>34</v>
      </c>
      <c r="J194" s="1" t="s">
        <v>55</v>
      </c>
      <c r="K194" s="10" t="s">
        <v>36</v>
      </c>
    </row>
    <row r="195" spans="1:11" x14ac:dyDescent="0.25">
      <c r="A195" s="6" t="s">
        <v>37</v>
      </c>
      <c r="B195" s="1" t="s">
        <v>45</v>
      </c>
      <c r="C195" s="1" t="s">
        <v>46</v>
      </c>
      <c r="D195" s="1" t="s">
        <v>28</v>
      </c>
      <c r="E195" s="1">
        <v>49</v>
      </c>
      <c r="F195" s="7">
        <v>35887</v>
      </c>
      <c r="G195" s="8">
        <v>160832</v>
      </c>
      <c r="H195" s="9">
        <v>0.3</v>
      </c>
      <c r="I195" s="1" t="s">
        <v>29</v>
      </c>
      <c r="J195" s="1" t="s">
        <v>43</v>
      </c>
      <c r="K195" s="10" t="s">
        <v>36</v>
      </c>
    </row>
    <row r="196" spans="1:11" x14ac:dyDescent="0.25">
      <c r="A196" s="6" t="s">
        <v>86</v>
      </c>
      <c r="B196" s="1" t="s">
        <v>26</v>
      </c>
      <c r="C196" s="1" t="s">
        <v>32</v>
      </c>
      <c r="D196" s="1" t="s">
        <v>33</v>
      </c>
      <c r="E196" s="1">
        <v>54</v>
      </c>
      <c r="F196" s="7">
        <v>40540</v>
      </c>
      <c r="G196" s="8">
        <v>64417</v>
      </c>
      <c r="H196" s="9">
        <v>0</v>
      </c>
      <c r="I196" s="1" t="s">
        <v>29</v>
      </c>
      <c r="J196" s="1" t="s">
        <v>58</v>
      </c>
      <c r="K196" s="10" t="s">
        <v>36</v>
      </c>
    </row>
    <row r="197" spans="1:11" x14ac:dyDescent="0.25">
      <c r="A197" s="6" t="s">
        <v>47</v>
      </c>
      <c r="B197" s="1" t="s">
        <v>45</v>
      </c>
      <c r="C197" s="1" t="s">
        <v>46</v>
      </c>
      <c r="D197" s="1" t="s">
        <v>33</v>
      </c>
      <c r="E197" s="1">
        <v>28</v>
      </c>
      <c r="F197" s="7">
        <v>44274</v>
      </c>
      <c r="G197" s="8">
        <v>127543</v>
      </c>
      <c r="H197" s="9">
        <v>0.06</v>
      </c>
      <c r="I197" s="1" t="s">
        <v>34</v>
      </c>
      <c r="J197" s="1" t="s">
        <v>55</v>
      </c>
      <c r="K197" s="10" t="s">
        <v>36</v>
      </c>
    </row>
    <row r="198" spans="1:11" x14ac:dyDescent="0.25">
      <c r="A198" s="6" t="s">
        <v>48</v>
      </c>
      <c r="B198" s="1" t="s">
        <v>57</v>
      </c>
      <c r="C198" s="1" t="s">
        <v>32</v>
      </c>
      <c r="D198" s="1" t="s">
        <v>33</v>
      </c>
      <c r="E198" s="1">
        <v>30</v>
      </c>
      <c r="F198" s="7">
        <v>43272</v>
      </c>
      <c r="G198" s="8">
        <v>56154</v>
      </c>
      <c r="H198" s="9">
        <v>0</v>
      </c>
      <c r="I198" s="1" t="s">
        <v>59</v>
      </c>
      <c r="J198" s="1" t="s">
        <v>76</v>
      </c>
      <c r="K198" s="10" t="s">
        <v>36</v>
      </c>
    </row>
    <row r="199" spans="1:11" x14ac:dyDescent="0.25">
      <c r="A199" s="6" t="s">
        <v>56</v>
      </c>
      <c r="B199" s="1" t="s">
        <v>45</v>
      </c>
      <c r="C199" s="1" t="s">
        <v>32</v>
      </c>
      <c r="D199" s="1" t="s">
        <v>28</v>
      </c>
      <c r="E199" s="1">
        <v>36</v>
      </c>
      <c r="F199" s="7">
        <v>41692</v>
      </c>
      <c r="G199" s="8">
        <v>218530</v>
      </c>
      <c r="H199" s="9">
        <v>0.3</v>
      </c>
      <c r="I199" s="1" t="s">
        <v>34</v>
      </c>
      <c r="J199" s="1" t="s">
        <v>55</v>
      </c>
      <c r="K199" s="10" t="s">
        <v>36</v>
      </c>
    </row>
    <row r="200" spans="1:11" x14ac:dyDescent="0.25">
      <c r="A200" s="6" t="s">
        <v>86</v>
      </c>
      <c r="B200" s="1" t="s">
        <v>26</v>
      </c>
      <c r="C200" s="1" t="s">
        <v>32</v>
      </c>
      <c r="D200" s="1" t="s">
        <v>28</v>
      </c>
      <c r="E200" s="1">
        <v>36</v>
      </c>
      <c r="F200" s="7">
        <v>43818</v>
      </c>
      <c r="G200" s="8">
        <v>91954</v>
      </c>
      <c r="H200" s="9">
        <v>0</v>
      </c>
      <c r="I200" s="1" t="s">
        <v>29</v>
      </c>
      <c r="J200" s="1" t="s">
        <v>58</v>
      </c>
      <c r="K200" s="10" t="s">
        <v>36</v>
      </c>
    </row>
    <row r="201" spans="1:11" x14ac:dyDescent="0.25">
      <c r="A201" s="6" t="s">
        <v>56</v>
      </c>
      <c r="B201" s="1" t="s">
        <v>57</v>
      </c>
      <c r="C201" s="1" t="s">
        <v>46</v>
      </c>
      <c r="D201" s="1" t="s">
        <v>28</v>
      </c>
      <c r="E201" s="1">
        <v>30</v>
      </c>
      <c r="F201" s="7">
        <v>42634</v>
      </c>
      <c r="G201" s="8">
        <v>221217</v>
      </c>
      <c r="H201" s="9">
        <v>0.32</v>
      </c>
      <c r="I201" s="1" t="s">
        <v>29</v>
      </c>
      <c r="J201" s="1" t="s">
        <v>58</v>
      </c>
      <c r="K201" s="10">
        <v>43003</v>
      </c>
    </row>
    <row r="202" spans="1:11" x14ac:dyDescent="0.25">
      <c r="A202" s="6" t="s">
        <v>82</v>
      </c>
      <c r="B202" s="1" t="s">
        <v>26</v>
      </c>
      <c r="C202" s="1" t="s">
        <v>32</v>
      </c>
      <c r="D202" s="1" t="s">
        <v>33</v>
      </c>
      <c r="E202" s="1">
        <v>29</v>
      </c>
      <c r="F202" s="7">
        <v>42866</v>
      </c>
      <c r="G202" s="8">
        <v>87536</v>
      </c>
      <c r="H202" s="9">
        <v>0</v>
      </c>
      <c r="I202" s="1" t="s">
        <v>29</v>
      </c>
      <c r="J202" s="1" t="s">
        <v>30</v>
      </c>
      <c r="K202" s="10" t="s">
        <v>36</v>
      </c>
    </row>
    <row r="203" spans="1:11" x14ac:dyDescent="0.25">
      <c r="A203" s="6" t="s">
        <v>48</v>
      </c>
      <c r="B203" s="1" t="s">
        <v>45</v>
      </c>
      <c r="C203" s="1" t="s">
        <v>46</v>
      </c>
      <c r="D203" s="1" t="s">
        <v>28</v>
      </c>
      <c r="E203" s="1">
        <v>47</v>
      </c>
      <c r="F203" s="7">
        <v>42164</v>
      </c>
      <c r="G203" s="8">
        <v>41429</v>
      </c>
      <c r="H203" s="9">
        <v>0</v>
      </c>
      <c r="I203" s="1" t="s">
        <v>29</v>
      </c>
      <c r="J203" s="1" t="s">
        <v>30</v>
      </c>
      <c r="K203" s="10" t="s">
        <v>36</v>
      </c>
    </row>
    <row r="204" spans="1:11" x14ac:dyDescent="0.25">
      <c r="A204" s="6" t="s">
        <v>56</v>
      </c>
      <c r="B204" s="1" t="s">
        <v>54</v>
      </c>
      <c r="C204" s="1" t="s">
        <v>32</v>
      </c>
      <c r="D204" s="1" t="s">
        <v>33</v>
      </c>
      <c r="E204" s="1">
        <v>35</v>
      </c>
      <c r="F204" s="7">
        <v>40826</v>
      </c>
      <c r="G204" s="8">
        <v>245482</v>
      </c>
      <c r="H204" s="9">
        <v>0.39</v>
      </c>
      <c r="I204" s="1" t="s">
        <v>29</v>
      </c>
      <c r="J204" s="1" t="s">
        <v>30</v>
      </c>
      <c r="K204" s="10" t="s">
        <v>36</v>
      </c>
    </row>
    <row r="205" spans="1:11" x14ac:dyDescent="0.25">
      <c r="A205" s="6" t="s">
        <v>80</v>
      </c>
      <c r="B205" s="1" t="s">
        <v>54</v>
      </c>
      <c r="C205" s="1" t="s">
        <v>32</v>
      </c>
      <c r="D205" s="1" t="s">
        <v>28</v>
      </c>
      <c r="E205" s="1">
        <v>25</v>
      </c>
      <c r="F205" s="7">
        <v>43850</v>
      </c>
      <c r="G205" s="8">
        <v>71359</v>
      </c>
      <c r="H205" s="9">
        <v>0</v>
      </c>
      <c r="I205" s="1" t="s">
        <v>29</v>
      </c>
      <c r="J205" s="1" t="s">
        <v>43</v>
      </c>
      <c r="K205" s="10" t="s">
        <v>36</v>
      </c>
    </row>
    <row r="206" spans="1:11" x14ac:dyDescent="0.25">
      <c r="A206" s="6" t="s">
        <v>37</v>
      </c>
      <c r="B206" s="1" t="s">
        <v>54</v>
      </c>
      <c r="C206" s="1" t="s">
        <v>39</v>
      </c>
      <c r="D206" s="1" t="s">
        <v>33</v>
      </c>
      <c r="E206" s="1">
        <v>45</v>
      </c>
      <c r="F206" s="7">
        <v>41879</v>
      </c>
      <c r="G206" s="8">
        <v>183161</v>
      </c>
      <c r="H206" s="9">
        <v>0.22</v>
      </c>
      <c r="I206" s="1" t="s">
        <v>29</v>
      </c>
      <c r="J206" s="1" t="s">
        <v>49</v>
      </c>
      <c r="K206" s="10" t="s">
        <v>36</v>
      </c>
    </row>
    <row r="207" spans="1:11" x14ac:dyDescent="0.25">
      <c r="A207" s="6" t="s">
        <v>87</v>
      </c>
      <c r="B207" s="1" t="s">
        <v>26</v>
      </c>
      <c r="C207" s="1" t="s">
        <v>46</v>
      </c>
      <c r="D207" s="1" t="s">
        <v>33</v>
      </c>
      <c r="E207" s="1">
        <v>58</v>
      </c>
      <c r="F207" s="7">
        <v>34176</v>
      </c>
      <c r="G207" s="8">
        <v>69260</v>
      </c>
      <c r="H207" s="9">
        <v>0</v>
      </c>
      <c r="I207" s="1" t="s">
        <v>29</v>
      </c>
      <c r="J207" s="1" t="s">
        <v>43</v>
      </c>
      <c r="K207" s="10" t="s">
        <v>36</v>
      </c>
    </row>
    <row r="208" spans="1:11" x14ac:dyDescent="0.25">
      <c r="A208" s="6" t="s">
        <v>73</v>
      </c>
      <c r="B208" s="1" t="s">
        <v>54</v>
      </c>
      <c r="C208" s="1" t="s">
        <v>39</v>
      </c>
      <c r="D208" s="1" t="s">
        <v>33</v>
      </c>
      <c r="E208" s="1">
        <v>51</v>
      </c>
      <c r="F208" s="7">
        <v>36442</v>
      </c>
      <c r="G208" s="8">
        <v>95639</v>
      </c>
      <c r="H208" s="9">
        <v>0</v>
      </c>
      <c r="I208" s="1" t="s">
        <v>29</v>
      </c>
      <c r="J208" s="1" t="s">
        <v>51</v>
      </c>
      <c r="K208" s="10" t="s">
        <v>36</v>
      </c>
    </row>
    <row r="209" spans="1:11" x14ac:dyDescent="0.25">
      <c r="A209" s="6" t="s">
        <v>47</v>
      </c>
      <c r="B209" s="1" t="s">
        <v>52</v>
      </c>
      <c r="C209" s="1" t="s">
        <v>27</v>
      </c>
      <c r="D209" s="1" t="s">
        <v>33</v>
      </c>
      <c r="E209" s="1">
        <v>48</v>
      </c>
      <c r="F209" s="7">
        <v>38168</v>
      </c>
      <c r="G209" s="8">
        <v>120660</v>
      </c>
      <c r="H209" s="9">
        <v>7.0000000000000007E-2</v>
      </c>
      <c r="I209" s="1" t="s">
        <v>34</v>
      </c>
      <c r="J209" s="1" t="s">
        <v>68</v>
      </c>
      <c r="K209" s="10" t="s">
        <v>36</v>
      </c>
    </row>
    <row r="210" spans="1:11" x14ac:dyDescent="0.25">
      <c r="A210" s="6" t="s">
        <v>42</v>
      </c>
      <c r="B210" s="1" t="s">
        <v>45</v>
      </c>
      <c r="C210" s="1" t="s">
        <v>46</v>
      </c>
      <c r="D210" s="1" t="s">
        <v>33</v>
      </c>
      <c r="E210" s="1">
        <v>36</v>
      </c>
      <c r="F210" s="7">
        <v>44556</v>
      </c>
      <c r="G210" s="8">
        <v>75119</v>
      </c>
      <c r="H210" s="9">
        <v>0</v>
      </c>
      <c r="I210" s="1" t="s">
        <v>29</v>
      </c>
      <c r="J210" s="1" t="s">
        <v>40</v>
      </c>
      <c r="K210" s="10" t="s">
        <v>36</v>
      </c>
    </row>
    <row r="211" spans="1:11" x14ac:dyDescent="0.25">
      <c r="A211" s="6" t="s">
        <v>56</v>
      </c>
      <c r="B211" s="1" t="s">
        <v>50</v>
      </c>
      <c r="C211" s="1" t="s">
        <v>27</v>
      </c>
      <c r="D211" s="1" t="s">
        <v>33</v>
      </c>
      <c r="E211" s="1">
        <v>59</v>
      </c>
      <c r="F211" s="7">
        <v>40681</v>
      </c>
      <c r="G211" s="8">
        <v>192213</v>
      </c>
      <c r="H211" s="9">
        <v>0.4</v>
      </c>
      <c r="I211" s="1" t="s">
        <v>29</v>
      </c>
      <c r="J211" s="1" t="s">
        <v>40</v>
      </c>
      <c r="K211" s="10" t="s">
        <v>36</v>
      </c>
    </row>
    <row r="212" spans="1:11" x14ac:dyDescent="0.25">
      <c r="A212" s="6" t="s">
        <v>44</v>
      </c>
      <c r="B212" s="1" t="s">
        <v>45</v>
      </c>
      <c r="C212" s="1" t="s">
        <v>39</v>
      </c>
      <c r="D212" s="1" t="s">
        <v>28</v>
      </c>
      <c r="E212" s="1">
        <v>45</v>
      </c>
      <c r="F212" s="7">
        <v>41769</v>
      </c>
      <c r="G212" s="8">
        <v>65047</v>
      </c>
      <c r="H212" s="9">
        <v>0</v>
      </c>
      <c r="I212" s="1" t="s">
        <v>59</v>
      </c>
      <c r="J212" s="1" t="s">
        <v>76</v>
      </c>
      <c r="K212" s="10" t="s">
        <v>36</v>
      </c>
    </row>
    <row r="213" spans="1:11" x14ac:dyDescent="0.25">
      <c r="A213" s="6" t="s">
        <v>25</v>
      </c>
      <c r="B213" s="1" t="s">
        <v>45</v>
      </c>
      <c r="C213" s="1" t="s">
        <v>32</v>
      </c>
      <c r="D213" s="1" t="s">
        <v>33</v>
      </c>
      <c r="E213" s="1">
        <v>29</v>
      </c>
      <c r="F213" s="7">
        <v>42810</v>
      </c>
      <c r="G213" s="8">
        <v>151413</v>
      </c>
      <c r="H213" s="9">
        <v>0.15</v>
      </c>
      <c r="I213" s="1" t="s">
        <v>29</v>
      </c>
      <c r="J213" s="1" t="s">
        <v>30</v>
      </c>
      <c r="K213" s="10" t="s">
        <v>36</v>
      </c>
    </row>
    <row r="214" spans="1:11" x14ac:dyDescent="0.25">
      <c r="A214" s="6" t="s">
        <v>42</v>
      </c>
      <c r="B214" s="1" t="s">
        <v>50</v>
      </c>
      <c r="C214" s="1" t="s">
        <v>39</v>
      </c>
      <c r="D214" s="1" t="s">
        <v>33</v>
      </c>
      <c r="E214" s="1">
        <v>62</v>
      </c>
      <c r="F214" s="7">
        <v>37733</v>
      </c>
      <c r="G214" s="8">
        <v>76906</v>
      </c>
      <c r="H214" s="9">
        <v>0</v>
      </c>
      <c r="I214" s="1" t="s">
        <v>29</v>
      </c>
      <c r="J214" s="1" t="s">
        <v>30</v>
      </c>
      <c r="K214" s="10" t="s">
        <v>36</v>
      </c>
    </row>
    <row r="215" spans="1:11" x14ac:dyDescent="0.25">
      <c r="A215" s="6" t="s">
        <v>47</v>
      </c>
      <c r="B215" s="1" t="s">
        <v>26</v>
      </c>
      <c r="C215" s="1" t="s">
        <v>46</v>
      </c>
      <c r="D215" s="1" t="s">
        <v>33</v>
      </c>
      <c r="E215" s="1">
        <v>51</v>
      </c>
      <c r="F215" s="7">
        <v>34388</v>
      </c>
      <c r="G215" s="8">
        <v>122802</v>
      </c>
      <c r="H215" s="9">
        <v>0.05</v>
      </c>
      <c r="I215" s="1" t="s">
        <v>34</v>
      </c>
      <c r="J215" s="1" t="s">
        <v>55</v>
      </c>
      <c r="K215" s="10" t="s">
        <v>36</v>
      </c>
    </row>
    <row r="216" spans="1:11" x14ac:dyDescent="0.25">
      <c r="A216" s="6" t="s">
        <v>80</v>
      </c>
      <c r="B216" s="1" t="s">
        <v>54</v>
      </c>
      <c r="C216" s="1" t="s">
        <v>27</v>
      </c>
      <c r="D216" s="1" t="s">
        <v>33</v>
      </c>
      <c r="E216" s="1">
        <v>47</v>
      </c>
      <c r="F216" s="7">
        <v>35990</v>
      </c>
      <c r="G216" s="8">
        <v>99091</v>
      </c>
      <c r="H216" s="9">
        <v>0</v>
      </c>
      <c r="I216" s="1" t="s">
        <v>29</v>
      </c>
      <c r="J216" s="1" t="s">
        <v>51</v>
      </c>
      <c r="K216" s="10" t="s">
        <v>36</v>
      </c>
    </row>
    <row r="217" spans="1:11" x14ac:dyDescent="0.25">
      <c r="A217" s="6" t="s">
        <v>53</v>
      </c>
      <c r="B217" s="1" t="s">
        <v>54</v>
      </c>
      <c r="C217" s="1" t="s">
        <v>32</v>
      </c>
      <c r="D217" s="1" t="s">
        <v>33</v>
      </c>
      <c r="E217" s="1">
        <v>40</v>
      </c>
      <c r="F217" s="7">
        <v>39506</v>
      </c>
      <c r="G217" s="8">
        <v>113987</v>
      </c>
      <c r="H217" s="9">
        <v>0</v>
      </c>
      <c r="I217" s="1" t="s">
        <v>59</v>
      </c>
      <c r="J217" s="1" t="s">
        <v>60</v>
      </c>
      <c r="K217" s="10" t="s">
        <v>36</v>
      </c>
    </row>
    <row r="218" spans="1:11" x14ac:dyDescent="0.25">
      <c r="A218" s="6" t="s">
        <v>42</v>
      </c>
      <c r="B218" s="1" t="s">
        <v>38</v>
      </c>
      <c r="C218" s="1" t="s">
        <v>46</v>
      </c>
      <c r="D218" s="1" t="s">
        <v>28</v>
      </c>
      <c r="E218" s="1">
        <v>28</v>
      </c>
      <c r="F218" s="7">
        <v>44078</v>
      </c>
      <c r="G218" s="8">
        <v>95045</v>
      </c>
      <c r="H218" s="9">
        <v>0</v>
      </c>
      <c r="I218" s="1" t="s">
        <v>29</v>
      </c>
      <c r="J218" s="1" t="s">
        <v>40</v>
      </c>
      <c r="K218" s="10" t="s">
        <v>36</v>
      </c>
    </row>
    <row r="219" spans="1:11" x14ac:dyDescent="0.25">
      <c r="A219" s="6" t="s">
        <v>56</v>
      </c>
      <c r="B219" s="1" t="s">
        <v>57</v>
      </c>
      <c r="C219" s="1" t="s">
        <v>39</v>
      </c>
      <c r="D219" s="1" t="s">
        <v>28</v>
      </c>
      <c r="E219" s="1">
        <v>29</v>
      </c>
      <c r="F219" s="7">
        <v>42740</v>
      </c>
      <c r="G219" s="8">
        <v>190401</v>
      </c>
      <c r="H219" s="9">
        <v>0.37</v>
      </c>
      <c r="I219" s="1" t="s">
        <v>29</v>
      </c>
      <c r="J219" s="1" t="s">
        <v>58</v>
      </c>
      <c r="K219" s="10" t="s">
        <v>36</v>
      </c>
    </row>
    <row r="220" spans="1:11" x14ac:dyDescent="0.25">
      <c r="A220" s="6" t="s">
        <v>42</v>
      </c>
      <c r="B220" s="1" t="s">
        <v>38</v>
      </c>
      <c r="C220" s="1" t="s">
        <v>46</v>
      </c>
      <c r="D220" s="1" t="s">
        <v>33</v>
      </c>
      <c r="E220" s="1">
        <v>46</v>
      </c>
      <c r="F220" s="7">
        <v>41294</v>
      </c>
      <c r="G220" s="8">
        <v>86061</v>
      </c>
      <c r="H220" s="9">
        <v>0</v>
      </c>
      <c r="I220" s="1" t="s">
        <v>59</v>
      </c>
      <c r="J220" s="1" t="s">
        <v>61</v>
      </c>
      <c r="K220" s="10" t="s">
        <v>36</v>
      </c>
    </row>
    <row r="221" spans="1:11" x14ac:dyDescent="0.25">
      <c r="A221" s="6" t="s">
        <v>81</v>
      </c>
      <c r="B221" s="1" t="s">
        <v>45</v>
      </c>
      <c r="C221" s="1" t="s">
        <v>39</v>
      </c>
      <c r="D221" s="1" t="s">
        <v>33</v>
      </c>
      <c r="E221" s="1">
        <v>45</v>
      </c>
      <c r="F221" s="7">
        <v>44237</v>
      </c>
      <c r="G221" s="8">
        <v>79882</v>
      </c>
      <c r="H221" s="9">
        <v>0</v>
      </c>
      <c r="I221" s="1" t="s">
        <v>29</v>
      </c>
      <c r="J221" s="1" t="s">
        <v>43</v>
      </c>
      <c r="K221" s="10" t="s">
        <v>36</v>
      </c>
    </row>
    <row r="222" spans="1:11" x14ac:dyDescent="0.25">
      <c r="A222" s="6" t="s">
        <v>56</v>
      </c>
      <c r="B222" s="1" t="s">
        <v>54</v>
      </c>
      <c r="C222" s="1" t="s">
        <v>32</v>
      </c>
      <c r="D222" s="1" t="s">
        <v>28</v>
      </c>
      <c r="E222" s="1">
        <v>30</v>
      </c>
      <c r="F222" s="7">
        <v>43165</v>
      </c>
      <c r="G222" s="8">
        <v>255431</v>
      </c>
      <c r="H222" s="9">
        <v>0.36</v>
      </c>
      <c r="I222" s="1" t="s">
        <v>29</v>
      </c>
      <c r="J222" s="1" t="s">
        <v>58</v>
      </c>
      <c r="K222" s="10" t="s">
        <v>36</v>
      </c>
    </row>
    <row r="223" spans="1:11" x14ac:dyDescent="0.25">
      <c r="A223" s="6" t="s">
        <v>86</v>
      </c>
      <c r="B223" s="1" t="s">
        <v>26</v>
      </c>
      <c r="C223" s="1" t="s">
        <v>32</v>
      </c>
      <c r="D223" s="1" t="s">
        <v>28</v>
      </c>
      <c r="E223" s="1">
        <v>48</v>
      </c>
      <c r="F223" s="7">
        <v>37855</v>
      </c>
      <c r="G223" s="8">
        <v>82017</v>
      </c>
      <c r="H223" s="9">
        <v>0</v>
      </c>
      <c r="I223" s="1" t="s">
        <v>34</v>
      </c>
      <c r="J223" s="1" t="s">
        <v>64</v>
      </c>
      <c r="K223" s="10" t="s">
        <v>36</v>
      </c>
    </row>
    <row r="224" spans="1:11" x14ac:dyDescent="0.25">
      <c r="A224" s="6" t="s">
        <v>48</v>
      </c>
      <c r="B224" s="1" t="s">
        <v>38</v>
      </c>
      <c r="C224" s="1" t="s">
        <v>32</v>
      </c>
      <c r="D224" s="1" t="s">
        <v>28</v>
      </c>
      <c r="E224" s="1">
        <v>51</v>
      </c>
      <c r="F224" s="7">
        <v>42753</v>
      </c>
      <c r="G224" s="8">
        <v>53799</v>
      </c>
      <c r="H224" s="9">
        <v>0</v>
      </c>
      <c r="I224" s="1" t="s">
        <v>29</v>
      </c>
      <c r="J224" s="1" t="s">
        <v>58</v>
      </c>
      <c r="K224" s="10" t="s">
        <v>36</v>
      </c>
    </row>
    <row r="225" spans="1:11" x14ac:dyDescent="0.25">
      <c r="A225" s="6" t="s">
        <v>42</v>
      </c>
      <c r="B225" s="1" t="s">
        <v>45</v>
      </c>
      <c r="C225" s="1" t="s">
        <v>46</v>
      </c>
      <c r="D225" s="1" t="s">
        <v>28</v>
      </c>
      <c r="E225" s="1">
        <v>28</v>
      </c>
      <c r="F225" s="7">
        <v>44380</v>
      </c>
      <c r="G225" s="8">
        <v>82739</v>
      </c>
      <c r="H225" s="9">
        <v>0</v>
      </c>
      <c r="I225" s="1" t="s">
        <v>29</v>
      </c>
      <c r="J225" s="1" t="s">
        <v>43</v>
      </c>
      <c r="K225" s="10" t="s">
        <v>36</v>
      </c>
    </row>
    <row r="226" spans="1:11" x14ac:dyDescent="0.25">
      <c r="A226" s="6" t="s">
        <v>75</v>
      </c>
      <c r="B226" s="1" t="s">
        <v>26</v>
      </c>
      <c r="C226" s="1" t="s">
        <v>32</v>
      </c>
      <c r="D226" s="1" t="s">
        <v>28</v>
      </c>
      <c r="E226" s="1">
        <v>36</v>
      </c>
      <c r="F226" s="7">
        <v>41789</v>
      </c>
      <c r="G226" s="8">
        <v>99080</v>
      </c>
      <c r="H226" s="9">
        <v>0</v>
      </c>
      <c r="I226" s="1" t="s">
        <v>29</v>
      </c>
      <c r="J226" s="1" t="s">
        <v>40</v>
      </c>
      <c r="K226" s="10" t="s">
        <v>36</v>
      </c>
    </row>
    <row r="227" spans="1:11" x14ac:dyDescent="0.25">
      <c r="A227" s="6" t="s">
        <v>81</v>
      </c>
      <c r="B227" s="1" t="s">
        <v>45</v>
      </c>
      <c r="C227" s="1" t="s">
        <v>46</v>
      </c>
      <c r="D227" s="1" t="s">
        <v>28</v>
      </c>
      <c r="E227" s="1">
        <v>40</v>
      </c>
      <c r="F227" s="7">
        <v>40563</v>
      </c>
      <c r="G227" s="8">
        <v>96719</v>
      </c>
      <c r="H227" s="9">
        <v>0</v>
      </c>
      <c r="I227" s="1" t="s">
        <v>34</v>
      </c>
      <c r="J227" s="1" t="s">
        <v>68</v>
      </c>
      <c r="K227" s="10" t="s">
        <v>36</v>
      </c>
    </row>
    <row r="228" spans="1:11" x14ac:dyDescent="0.25">
      <c r="A228" s="6" t="s">
        <v>37</v>
      </c>
      <c r="B228" s="1" t="s">
        <v>52</v>
      </c>
      <c r="C228" s="1" t="s">
        <v>27</v>
      </c>
      <c r="D228" s="1" t="s">
        <v>28</v>
      </c>
      <c r="E228" s="1">
        <v>51</v>
      </c>
      <c r="F228" s="7">
        <v>44283</v>
      </c>
      <c r="G228" s="8">
        <v>180687</v>
      </c>
      <c r="H228" s="9">
        <v>0.19</v>
      </c>
      <c r="I228" s="1" t="s">
        <v>29</v>
      </c>
      <c r="J228" s="1" t="s">
        <v>43</v>
      </c>
      <c r="K228" s="10" t="s">
        <v>36</v>
      </c>
    </row>
    <row r="229" spans="1:11" x14ac:dyDescent="0.25">
      <c r="A229" s="6" t="s">
        <v>63</v>
      </c>
      <c r="B229" s="1" t="s">
        <v>54</v>
      </c>
      <c r="C229" s="1" t="s">
        <v>46</v>
      </c>
      <c r="D229" s="1" t="s">
        <v>33</v>
      </c>
      <c r="E229" s="1">
        <v>45</v>
      </c>
      <c r="F229" s="7">
        <v>36993</v>
      </c>
      <c r="G229" s="8">
        <v>95743</v>
      </c>
      <c r="H229" s="9">
        <v>0.15</v>
      </c>
      <c r="I229" s="1" t="s">
        <v>29</v>
      </c>
      <c r="J229" s="1" t="s">
        <v>51</v>
      </c>
      <c r="K229" s="10">
        <v>40193</v>
      </c>
    </row>
    <row r="230" spans="1:11" x14ac:dyDescent="0.25">
      <c r="A230" s="6" t="s">
        <v>80</v>
      </c>
      <c r="B230" s="1" t="s">
        <v>54</v>
      </c>
      <c r="C230" s="1" t="s">
        <v>27</v>
      </c>
      <c r="D230" s="1" t="s">
        <v>28</v>
      </c>
      <c r="E230" s="1">
        <v>44</v>
      </c>
      <c r="F230" s="7">
        <v>40060</v>
      </c>
      <c r="G230" s="8">
        <v>89695</v>
      </c>
      <c r="H230" s="9">
        <v>0</v>
      </c>
      <c r="I230" s="1" t="s">
        <v>29</v>
      </c>
      <c r="J230" s="1" t="s">
        <v>51</v>
      </c>
      <c r="K230" s="10" t="s">
        <v>36</v>
      </c>
    </row>
    <row r="231" spans="1:11" x14ac:dyDescent="0.25">
      <c r="A231" s="6" t="s">
        <v>47</v>
      </c>
      <c r="B231" s="1" t="s">
        <v>38</v>
      </c>
      <c r="C231" s="1" t="s">
        <v>32</v>
      </c>
      <c r="D231" s="1" t="s">
        <v>33</v>
      </c>
      <c r="E231" s="1">
        <v>64</v>
      </c>
      <c r="F231" s="7">
        <v>35996</v>
      </c>
      <c r="G231" s="8">
        <v>122753</v>
      </c>
      <c r="H231" s="9">
        <v>0.09</v>
      </c>
      <c r="I231" s="1" t="s">
        <v>34</v>
      </c>
      <c r="J231" s="1" t="s">
        <v>35</v>
      </c>
      <c r="K231" s="10" t="s">
        <v>36</v>
      </c>
    </row>
    <row r="232" spans="1:11" x14ac:dyDescent="0.25">
      <c r="A232" s="6" t="s">
        <v>69</v>
      </c>
      <c r="B232" s="1" t="s">
        <v>52</v>
      </c>
      <c r="C232" s="1" t="s">
        <v>27</v>
      </c>
      <c r="D232" s="1" t="s">
        <v>33</v>
      </c>
      <c r="E232" s="1">
        <v>30</v>
      </c>
      <c r="F232" s="7">
        <v>42078</v>
      </c>
      <c r="G232" s="8">
        <v>93734</v>
      </c>
      <c r="H232" s="9">
        <v>0</v>
      </c>
      <c r="I232" s="1" t="s">
        <v>29</v>
      </c>
      <c r="J232" s="1" t="s">
        <v>43</v>
      </c>
      <c r="K232" s="10" t="s">
        <v>36</v>
      </c>
    </row>
    <row r="233" spans="1:11" x14ac:dyDescent="0.25">
      <c r="A233" s="6" t="s">
        <v>48</v>
      </c>
      <c r="B233" s="1" t="s">
        <v>50</v>
      </c>
      <c r="C233" s="1" t="s">
        <v>46</v>
      </c>
      <c r="D233" s="1" t="s">
        <v>33</v>
      </c>
      <c r="E233" s="1">
        <v>28</v>
      </c>
      <c r="F233" s="7">
        <v>42867</v>
      </c>
      <c r="G233" s="8">
        <v>52069</v>
      </c>
      <c r="H233" s="9">
        <v>0</v>
      </c>
      <c r="I233" s="1" t="s">
        <v>34</v>
      </c>
      <c r="J233" s="1" t="s">
        <v>35</v>
      </c>
      <c r="K233" s="10" t="s">
        <v>36</v>
      </c>
    </row>
    <row r="234" spans="1:11" x14ac:dyDescent="0.25">
      <c r="A234" s="6" t="s">
        <v>56</v>
      </c>
      <c r="B234" s="1" t="s">
        <v>50</v>
      </c>
      <c r="C234" s="1" t="s">
        <v>46</v>
      </c>
      <c r="D234" s="1" t="s">
        <v>28</v>
      </c>
      <c r="E234" s="1">
        <v>33</v>
      </c>
      <c r="F234" s="7">
        <v>44181</v>
      </c>
      <c r="G234" s="8">
        <v>258426</v>
      </c>
      <c r="H234" s="9">
        <v>0.4</v>
      </c>
      <c r="I234" s="1" t="s">
        <v>59</v>
      </c>
      <c r="J234" s="1" t="s">
        <v>61</v>
      </c>
      <c r="K234" s="10" t="s">
        <v>36</v>
      </c>
    </row>
    <row r="235" spans="1:11" x14ac:dyDescent="0.25">
      <c r="A235" s="6" t="s">
        <v>47</v>
      </c>
      <c r="B235" s="1" t="s">
        <v>38</v>
      </c>
      <c r="C235" s="1" t="s">
        <v>39</v>
      </c>
      <c r="D235" s="1" t="s">
        <v>33</v>
      </c>
      <c r="E235" s="1">
        <v>51</v>
      </c>
      <c r="F235" s="7">
        <v>34746</v>
      </c>
      <c r="G235" s="8">
        <v>125375</v>
      </c>
      <c r="H235" s="9">
        <v>0.09</v>
      </c>
      <c r="I235" s="1" t="s">
        <v>29</v>
      </c>
      <c r="J235" s="1" t="s">
        <v>40</v>
      </c>
      <c r="K235" s="10" t="s">
        <v>36</v>
      </c>
    </row>
    <row r="236" spans="1:11" x14ac:dyDescent="0.25">
      <c r="A236" s="6" t="s">
        <v>56</v>
      </c>
      <c r="B236" s="1" t="s">
        <v>50</v>
      </c>
      <c r="C236" s="1" t="s">
        <v>32</v>
      </c>
      <c r="D236" s="1" t="s">
        <v>33</v>
      </c>
      <c r="E236" s="1">
        <v>25</v>
      </c>
      <c r="F236" s="7">
        <v>44235</v>
      </c>
      <c r="G236" s="8">
        <v>198243</v>
      </c>
      <c r="H236" s="9">
        <v>0.31</v>
      </c>
      <c r="I236" s="1" t="s">
        <v>29</v>
      </c>
      <c r="J236" s="1" t="s">
        <v>49</v>
      </c>
      <c r="K236" s="10" t="s">
        <v>36</v>
      </c>
    </row>
    <row r="237" spans="1:11" x14ac:dyDescent="0.25">
      <c r="A237" s="6" t="s">
        <v>77</v>
      </c>
      <c r="B237" s="1" t="s">
        <v>54</v>
      </c>
      <c r="C237" s="1" t="s">
        <v>27</v>
      </c>
      <c r="D237" s="1" t="s">
        <v>28</v>
      </c>
      <c r="E237" s="1">
        <v>42</v>
      </c>
      <c r="F237" s="7">
        <v>43062</v>
      </c>
      <c r="G237" s="8">
        <v>96023</v>
      </c>
      <c r="H237" s="9">
        <v>0</v>
      </c>
      <c r="I237" s="1" t="s">
        <v>29</v>
      </c>
      <c r="J237" s="1" t="s">
        <v>49</v>
      </c>
      <c r="K237" s="10" t="s">
        <v>36</v>
      </c>
    </row>
    <row r="238" spans="1:11" x14ac:dyDescent="0.25">
      <c r="A238" s="6" t="s">
        <v>42</v>
      </c>
      <c r="B238" s="1" t="s">
        <v>57</v>
      </c>
      <c r="C238" s="1" t="s">
        <v>27</v>
      </c>
      <c r="D238" s="1" t="s">
        <v>28</v>
      </c>
      <c r="E238" s="1">
        <v>34</v>
      </c>
      <c r="F238" s="7">
        <v>41085</v>
      </c>
      <c r="G238" s="8">
        <v>83066</v>
      </c>
      <c r="H238" s="9">
        <v>0</v>
      </c>
      <c r="I238" s="1" t="s">
        <v>29</v>
      </c>
      <c r="J238" s="1" t="s">
        <v>40</v>
      </c>
      <c r="K238" s="10">
        <v>41430</v>
      </c>
    </row>
    <row r="239" spans="1:11" x14ac:dyDescent="0.25">
      <c r="A239" s="6" t="s">
        <v>66</v>
      </c>
      <c r="B239" s="1" t="s">
        <v>45</v>
      </c>
      <c r="C239" s="1" t="s">
        <v>27</v>
      </c>
      <c r="D239" s="1" t="s">
        <v>28</v>
      </c>
      <c r="E239" s="1">
        <v>48</v>
      </c>
      <c r="F239" s="7">
        <v>41773</v>
      </c>
      <c r="G239" s="8">
        <v>61216</v>
      </c>
      <c r="H239" s="9">
        <v>0</v>
      </c>
      <c r="I239" s="1" t="s">
        <v>29</v>
      </c>
      <c r="J239" s="1" t="s">
        <v>30</v>
      </c>
      <c r="K239" s="10" t="s">
        <v>36</v>
      </c>
    </row>
    <row r="240" spans="1:11" x14ac:dyDescent="0.25">
      <c r="A240" s="6" t="s">
        <v>25</v>
      </c>
      <c r="B240" s="1" t="s">
        <v>50</v>
      </c>
      <c r="C240" s="1" t="s">
        <v>46</v>
      </c>
      <c r="D240" s="1" t="s">
        <v>33</v>
      </c>
      <c r="E240" s="1">
        <v>33</v>
      </c>
      <c r="F240" s="7">
        <v>41315</v>
      </c>
      <c r="G240" s="8">
        <v>144231</v>
      </c>
      <c r="H240" s="9">
        <v>0.14000000000000001</v>
      </c>
      <c r="I240" s="1" t="s">
        <v>29</v>
      </c>
      <c r="J240" s="1" t="s">
        <v>58</v>
      </c>
      <c r="K240" s="10">
        <v>44029</v>
      </c>
    </row>
    <row r="241" spans="1:11" x14ac:dyDescent="0.25">
      <c r="A241" s="6" t="s">
        <v>70</v>
      </c>
      <c r="B241" s="1" t="s">
        <v>52</v>
      </c>
      <c r="C241" s="1" t="s">
        <v>27</v>
      </c>
      <c r="D241" s="1" t="s">
        <v>33</v>
      </c>
      <c r="E241" s="1">
        <v>41</v>
      </c>
      <c r="F241" s="7">
        <v>39379</v>
      </c>
      <c r="G241" s="8">
        <v>51630</v>
      </c>
      <c r="H241" s="9">
        <v>0</v>
      </c>
      <c r="I241" s="1" t="s">
        <v>34</v>
      </c>
      <c r="J241" s="1" t="s">
        <v>64</v>
      </c>
      <c r="K241" s="10" t="s">
        <v>36</v>
      </c>
    </row>
    <row r="242" spans="1:11" x14ac:dyDescent="0.25">
      <c r="A242" s="6" t="s">
        <v>25</v>
      </c>
      <c r="B242" s="1" t="s">
        <v>45</v>
      </c>
      <c r="C242" s="1" t="s">
        <v>46</v>
      </c>
      <c r="D242" s="1" t="s">
        <v>33</v>
      </c>
      <c r="E242" s="1">
        <v>55</v>
      </c>
      <c r="F242" s="7">
        <v>41594</v>
      </c>
      <c r="G242" s="8">
        <v>124129</v>
      </c>
      <c r="H242" s="9">
        <v>0.15</v>
      </c>
      <c r="I242" s="1" t="s">
        <v>59</v>
      </c>
      <c r="J242" s="1" t="s">
        <v>76</v>
      </c>
      <c r="K242" s="10" t="s">
        <v>36</v>
      </c>
    </row>
    <row r="243" spans="1:11" x14ac:dyDescent="0.25">
      <c r="A243" s="6" t="s">
        <v>77</v>
      </c>
      <c r="B243" s="1" t="s">
        <v>54</v>
      </c>
      <c r="C243" s="1" t="s">
        <v>32</v>
      </c>
      <c r="D243" s="1" t="s">
        <v>33</v>
      </c>
      <c r="E243" s="1">
        <v>36</v>
      </c>
      <c r="F243" s="7">
        <v>39912</v>
      </c>
      <c r="G243" s="8">
        <v>60055</v>
      </c>
      <c r="H243" s="9">
        <v>0</v>
      </c>
      <c r="I243" s="1" t="s">
        <v>29</v>
      </c>
      <c r="J243" s="1" t="s">
        <v>30</v>
      </c>
      <c r="K243" s="10" t="s">
        <v>36</v>
      </c>
    </row>
    <row r="244" spans="1:11" x14ac:dyDescent="0.25">
      <c r="A244" s="6" t="s">
        <v>37</v>
      </c>
      <c r="B244" s="1" t="s">
        <v>54</v>
      </c>
      <c r="C244" s="1" t="s">
        <v>27</v>
      </c>
      <c r="D244" s="1" t="s">
        <v>33</v>
      </c>
      <c r="E244" s="1">
        <v>31</v>
      </c>
      <c r="F244" s="7">
        <v>44069</v>
      </c>
      <c r="G244" s="8">
        <v>189290</v>
      </c>
      <c r="H244" s="9">
        <v>0.22</v>
      </c>
      <c r="I244" s="1" t="s">
        <v>59</v>
      </c>
      <c r="J244" s="1" t="s">
        <v>76</v>
      </c>
      <c r="K244" s="10">
        <v>44099</v>
      </c>
    </row>
    <row r="245" spans="1:11" x14ac:dyDescent="0.25">
      <c r="A245" s="6" t="s">
        <v>56</v>
      </c>
      <c r="B245" s="1" t="s">
        <v>26</v>
      </c>
      <c r="C245" s="1" t="s">
        <v>46</v>
      </c>
      <c r="D245" s="1" t="s">
        <v>28</v>
      </c>
      <c r="E245" s="1">
        <v>53</v>
      </c>
      <c r="F245" s="7">
        <v>39568</v>
      </c>
      <c r="G245" s="8">
        <v>182202</v>
      </c>
      <c r="H245" s="9">
        <v>0.3</v>
      </c>
      <c r="I245" s="1" t="s">
        <v>29</v>
      </c>
      <c r="J245" s="1" t="s">
        <v>51</v>
      </c>
      <c r="K245" s="10" t="s">
        <v>36</v>
      </c>
    </row>
    <row r="246" spans="1:11" x14ac:dyDescent="0.25">
      <c r="A246" s="6" t="s">
        <v>47</v>
      </c>
      <c r="B246" s="1" t="s">
        <v>45</v>
      </c>
      <c r="C246" s="1" t="s">
        <v>39</v>
      </c>
      <c r="D246" s="1" t="s">
        <v>33</v>
      </c>
      <c r="E246" s="1">
        <v>43</v>
      </c>
      <c r="F246" s="7">
        <v>38748</v>
      </c>
      <c r="G246" s="8">
        <v>117518</v>
      </c>
      <c r="H246" s="9">
        <v>7.0000000000000007E-2</v>
      </c>
      <c r="I246" s="1" t="s">
        <v>29</v>
      </c>
      <c r="J246" s="1" t="s">
        <v>30</v>
      </c>
      <c r="K246" s="10" t="s">
        <v>36</v>
      </c>
    </row>
    <row r="247" spans="1:11" x14ac:dyDescent="0.25">
      <c r="A247" s="6" t="s">
        <v>25</v>
      </c>
      <c r="B247" s="1" t="s">
        <v>38</v>
      </c>
      <c r="C247" s="1" t="s">
        <v>32</v>
      </c>
      <c r="D247" s="1" t="s">
        <v>28</v>
      </c>
      <c r="E247" s="1">
        <v>37</v>
      </c>
      <c r="F247" s="7">
        <v>41329</v>
      </c>
      <c r="G247" s="8">
        <v>157474</v>
      </c>
      <c r="H247" s="9">
        <v>0.11</v>
      </c>
      <c r="I247" s="1" t="s">
        <v>59</v>
      </c>
      <c r="J247" s="1" t="s">
        <v>61</v>
      </c>
      <c r="K247" s="10" t="s">
        <v>36</v>
      </c>
    </row>
    <row r="248" spans="1:11" x14ac:dyDescent="0.25">
      <c r="A248" s="6" t="s">
        <v>47</v>
      </c>
      <c r="B248" s="1" t="s">
        <v>57</v>
      </c>
      <c r="C248" s="1" t="s">
        <v>32</v>
      </c>
      <c r="D248" s="1" t="s">
        <v>33</v>
      </c>
      <c r="E248" s="1">
        <v>38</v>
      </c>
      <c r="F248" s="7">
        <v>39544</v>
      </c>
      <c r="G248" s="8">
        <v>126856</v>
      </c>
      <c r="H248" s="9">
        <v>0.06</v>
      </c>
      <c r="I248" s="1" t="s">
        <v>29</v>
      </c>
      <c r="J248" s="1" t="s">
        <v>58</v>
      </c>
      <c r="K248" s="10" t="s">
        <v>36</v>
      </c>
    </row>
    <row r="249" spans="1:11" x14ac:dyDescent="0.25">
      <c r="A249" s="6" t="s">
        <v>25</v>
      </c>
      <c r="B249" s="1" t="s">
        <v>50</v>
      </c>
      <c r="C249" s="1" t="s">
        <v>32</v>
      </c>
      <c r="D249" s="1" t="s">
        <v>28</v>
      </c>
      <c r="E249" s="1">
        <v>49</v>
      </c>
      <c r="F249" s="7">
        <v>36983</v>
      </c>
      <c r="G249" s="8">
        <v>129124</v>
      </c>
      <c r="H249" s="9">
        <v>0.12</v>
      </c>
      <c r="I249" s="1" t="s">
        <v>34</v>
      </c>
      <c r="J249" s="1" t="s">
        <v>55</v>
      </c>
      <c r="K249" s="10" t="s">
        <v>36</v>
      </c>
    </row>
    <row r="250" spans="1:11" x14ac:dyDescent="0.25">
      <c r="A250" s="6" t="s">
        <v>37</v>
      </c>
      <c r="B250" s="1" t="s">
        <v>45</v>
      </c>
      <c r="C250" s="1" t="s">
        <v>27</v>
      </c>
      <c r="D250" s="1" t="s">
        <v>28</v>
      </c>
      <c r="E250" s="1">
        <v>45</v>
      </c>
      <c r="F250" s="7">
        <v>37316</v>
      </c>
      <c r="G250" s="8">
        <v>165181</v>
      </c>
      <c r="H250" s="9">
        <v>0.16</v>
      </c>
      <c r="I250" s="1" t="s">
        <v>29</v>
      </c>
      <c r="J250" s="1" t="s">
        <v>30</v>
      </c>
      <c r="K250" s="10" t="s">
        <v>36</v>
      </c>
    </row>
    <row r="251" spans="1:11" x14ac:dyDescent="0.25">
      <c r="A251" s="6" t="s">
        <v>56</v>
      </c>
      <c r="B251" s="1" t="s">
        <v>38</v>
      </c>
      <c r="C251" s="1" t="s">
        <v>46</v>
      </c>
      <c r="D251" s="1" t="s">
        <v>33</v>
      </c>
      <c r="E251" s="1">
        <v>50</v>
      </c>
      <c r="F251" s="7">
        <v>38004</v>
      </c>
      <c r="G251" s="8">
        <v>247939</v>
      </c>
      <c r="H251" s="9">
        <v>0.35</v>
      </c>
      <c r="I251" s="1" t="s">
        <v>59</v>
      </c>
      <c r="J251" s="1" t="s">
        <v>61</v>
      </c>
      <c r="K251" s="10" t="s">
        <v>36</v>
      </c>
    </row>
    <row r="252" spans="1:11" x14ac:dyDescent="0.25">
      <c r="A252" s="6" t="s">
        <v>37</v>
      </c>
      <c r="B252" s="1" t="s">
        <v>54</v>
      </c>
      <c r="C252" s="1" t="s">
        <v>39</v>
      </c>
      <c r="D252" s="1" t="s">
        <v>33</v>
      </c>
      <c r="E252" s="1">
        <v>64</v>
      </c>
      <c r="F252" s="7">
        <v>42972</v>
      </c>
      <c r="G252" s="8">
        <v>169509</v>
      </c>
      <c r="H252" s="9">
        <v>0.18</v>
      </c>
      <c r="I252" s="1" t="s">
        <v>59</v>
      </c>
      <c r="J252" s="1" t="s">
        <v>60</v>
      </c>
      <c r="K252" s="10" t="s">
        <v>36</v>
      </c>
    </row>
    <row r="253" spans="1:11" x14ac:dyDescent="0.25">
      <c r="A253" s="6" t="s">
        <v>25</v>
      </c>
      <c r="B253" s="1" t="s">
        <v>50</v>
      </c>
      <c r="C253" s="1" t="s">
        <v>32</v>
      </c>
      <c r="D253" s="1" t="s">
        <v>28</v>
      </c>
      <c r="E253" s="1">
        <v>55</v>
      </c>
      <c r="F253" s="7">
        <v>40552</v>
      </c>
      <c r="G253" s="8">
        <v>138521</v>
      </c>
      <c r="H253" s="9">
        <v>0.1</v>
      </c>
      <c r="I253" s="1" t="s">
        <v>29</v>
      </c>
      <c r="J253" s="1" t="s">
        <v>49</v>
      </c>
      <c r="K253" s="10" t="s">
        <v>36</v>
      </c>
    </row>
    <row r="254" spans="1:11" x14ac:dyDescent="0.25">
      <c r="A254" s="6" t="s">
        <v>63</v>
      </c>
      <c r="B254" s="1" t="s">
        <v>54</v>
      </c>
      <c r="C254" s="1" t="s">
        <v>39</v>
      </c>
      <c r="D254" s="1" t="s">
        <v>28</v>
      </c>
      <c r="E254" s="1">
        <v>45</v>
      </c>
      <c r="F254" s="7">
        <v>41712</v>
      </c>
      <c r="G254" s="8">
        <v>113873</v>
      </c>
      <c r="H254" s="9">
        <v>0.11</v>
      </c>
      <c r="I254" s="1" t="s">
        <v>59</v>
      </c>
      <c r="J254" s="1" t="s">
        <v>61</v>
      </c>
      <c r="K254" s="10" t="s">
        <v>36</v>
      </c>
    </row>
    <row r="255" spans="1:11" x14ac:dyDescent="0.25">
      <c r="A255" s="6" t="s">
        <v>67</v>
      </c>
      <c r="B255" s="1" t="s">
        <v>26</v>
      </c>
      <c r="C255" s="1" t="s">
        <v>46</v>
      </c>
      <c r="D255" s="1" t="s">
        <v>28</v>
      </c>
      <c r="E255" s="1">
        <v>39</v>
      </c>
      <c r="F255" s="7">
        <v>43229</v>
      </c>
      <c r="G255" s="8">
        <v>73317</v>
      </c>
      <c r="H255" s="9">
        <v>0</v>
      </c>
      <c r="I255" s="1" t="s">
        <v>29</v>
      </c>
      <c r="J255" s="1" t="s">
        <v>49</v>
      </c>
      <c r="K255" s="10" t="s">
        <v>36</v>
      </c>
    </row>
    <row r="256" spans="1:11" x14ac:dyDescent="0.25">
      <c r="A256" s="6" t="s">
        <v>86</v>
      </c>
      <c r="B256" s="1" t="s">
        <v>26</v>
      </c>
      <c r="C256" s="1" t="s">
        <v>39</v>
      </c>
      <c r="D256" s="1" t="s">
        <v>28</v>
      </c>
      <c r="E256" s="1">
        <v>40</v>
      </c>
      <c r="F256" s="7">
        <v>41451</v>
      </c>
      <c r="G256" s="8">
        <v>69096</v>
      </c>
      <c r="H256" s="9">
        <v>0</v>
      </c>
      <c r="I256" s="1" t="s">
        <v>29</v>
      </c>
      <c r="J256" s="1" t="s">
        <v>30</v>
      </c>
      <c r="K256" s="10" t="s">
        <v>36</v>
      </c>
    </row>
    <row r="257" spans="1:11" x14ac:dyDescent="0.25">
      <c r="A257" s="6" t="s">
        <v>69</v>
      </c>
      <c r="B257" s="1" t="s">
        <v>52</v>
      </c>
      <c r="C257" s="1" t="s">
        <v>32</v>
      </c>
      <c r="D257" s="1" t="s">
        <v>33</v>
      </c>
      <c r="E257" s="1">
        <v>48</v>
      </c>
      <c r="F257" s="7">
        <v>38454</v>
      </c>
      <c r="G257" s="8">
        <v>87158</v>
      </c>
      <c r="H257" s="9">
        <v>0</v>
      </c>
      <c r="I257" s="1" t="s">
        <v>59</v>
      </c>
      <c r="J257" s="1" t="s">
        <v>60</v>
      </c>
      <c r="K257" s="10" t="s">
        <v>36</v>
      </c>
    </row>
    <row r="258" spans="1:11" x14ac:dyDescent="0.25">
      <c r="A258" s="6" t="s">
        <v>77</v>
      </c>
      <c r="B258" s="1" t="s">
        <v>54</v>
      </c>
      <c r="C258" s="1" t="s">
        <v>46</v>
      </c>
      <c r="D258" s="1" t="s">
        <v>33</v>
      </c>
      <c r="E258" s="1">
        <v>64</v>
      </c>
      <c r="F258" s="7">
        <v>33875</v>
      </c>
      <c r="G258" s="8">
        <v>70778</v>
      </c>
      <c r="H258" s="9">
        <v>0</v>
      </c>
      <c r="I258" s="1" t="s">
        <v>29</v>
      </c>
      <c r="J258" s="1" t="s">
        <v>51</v>
      </c>
      <c r="K258" s="10" t="s">
        <v>36</v>
      </c>
    </row>
    <row r="259" spans="1:11" x14ac:dyDescent="0.25">
      <c r="A259" s="6" t="s">
        <v>37</v>
      </c>
      <c r="B259" s="1" t="s">
        <v>52</v>
      </c>
      <c r="C259" s="1" t="s">
        <v>39</v>
      </c>
      <c r="D259" s="1" t="s">
        <v>28</v>
      </c>
      <c r="E259" s="1">
        <v>65</v>
      </c>
      <c r="F259" s="7">
        <v>38130</v>
      </c>
      <c r="G259" s="8">
        <v>153938</v>
      </c>
      <c r="H259" s="9">
        <v>0.2</v>
      </c>
      <c r="I259" s="1" t="s">
        <v>29</v>
      </c>
      <c r="J259" s="1" t="s">
        <v>43</v>
      </c>
      <c r="K259" s="10" t="s">
        <v>36</v>
      </c>
    </row>
    <row r="260" spans="1:11" x14ac:dyDescent="0.25">
      <c r="A260" s="6" t="s">
        <v>83</v>
      </c>
      <c r="B260" s="1" t="s">
        <v>26</v>
      </c>
      <c r="C260" s="1" t="s">
        <v>27</v>
      </c>
      <c r="D260" s="1" t="s">
        <v>33</v>
      </c>
      <c r="E260" s="1">
        <v>43</v>
      </c>
      <c r="F260" s="7">
        <v>43224</v>
      </c>
      <c r="G260" s="8">
        <v>59888</v>
      </c>
      <c r="H260" s="9">
        <v>0</v>
      </c>
      <c r="I260" s="1" t="s">
        <v>34</v>
      </c>
      <c r="J260" s="1" t="s">
        <v>64</v>
      </c>
      <c r="K260" s="10" t="s">
        <v>36</v>
      </c>
    </row>
    <row r="261" spans="1:11" x14ac:dyDescent="0.25">
      <c r="A261" s="6" t="s">
        <v>77</v>
      </c>
      <c r="B261" s="1" t="s">
        <v>54</v>
      </c>
      <c r="C261" s="1" t="s">
        <v>46</v>
      </c>
      <c r="D261" s="1" t="s">
        <v>33</v>
      </c>
      <c r="E261" s="1">
        <v>50</v>
      </c>
      <c r="F261" s="7">
        <v>43447</v>
      </c>
      <c r="G261" s="8">
        <v>63098</v>
      </c>
      <c r="H261" s="9">
        <v>0</v>
      </c>
      <c r="I261" s="1" t="s">
        <v>29</v>
      </c>
      <c r="J261" s="1" t="s">
        <v>58</v>
      </c>
      <c r="K261" s="10" t="s">
        <v>36</v>
      </c>
    </row>
    <row r="262" spans="1:11" x14ac:dyDescent="0.25">
      <c r="A262" s="6" t="s">
        <v>56</v>
      </c>
      <c r="B262" s="1" t="s">
        <v>38</v>
      </c>
      <c r="C262" s="1" t="s">
        <v>46</v>
      </c>
      <c r="D262" s="1" t="s">
        <v>28</v>
      </c>
      <c r="E262" s="1">
        <v>27</v>
      </c>
      <c r="F262" s="7">
        <v>44545</v>
      </c>
      <c r="G262" s="8">
        <v>255369</v>
      </c>
      <c r="H262" s="9">
        <v>0.33</v>
      </c>
      <c r="I262" s="1" t="s">
        <v>59</v>
      </c>
      <c r="J262" s="1" t="s">
        <v>76</v>
      </c>
      <c r="K262" s="10" t="s">
        <v>36</v>
      </c>
    </row>
    <row r="263" spans="1:11" x14ac:dyDescent="0.25">
      <c r="A263" s="6" t="s">
        <v>25</v>
      </c>
      <c r="B263" s="1" t="s">
        <v>52</v>
      </c>
      <c r="C263" s="1" t="s">
        <v>32</v>
      </c>
      <c r="D263" s="1" t="s">
        <v>28</v>
      </c>
      <c r="E263" s="1">
        <v>55</v>
      </c>
      <c r="F263" s="7">
        <v>38301</v>
      </c>
      <c r="G263" s="8">
        <v>142318</v>
      </c>
      <c r="H263" s="9">
        <v>0.14000000000000001</v>
      </c>
      <c r="I263" s="1" t="s">
        <v>29</v>
      </c>
      <c r="J263" s="1" t="s">
        <v>40</v>
      </c>
      <c r="K263" s="10" t="s">
        <v>36</v>
      </c>
    </row>
    <row r="264" spans="1:11" x14ac:dyDescent="0.25">
      <c r="A264" s="6" t="s">
        <v>74</v>
      </c>
      <c r="B264" s="1" t="s">
        <v>52</v>
      </c>
      <c r="C264" s="1" t="s">
        <v>32</v>
      </c>
      <c r="D264" s="1" t="s">
        <v>33</v>
      </c>
      <c r="E264" s="1">
        <v>41</v>
      </c>
      <c r="F264" s="7">
        <v>38219</v>
      </c>
      <c r="G264" s="8">
        <v>49186</v>
      </c>
      <c r="H264" s="9">
        <v>0</v>
      </c>
      <c r="I264" s="1" t="s">
        <v>29</v>
      </c>
      <c r="J264" s="1" t="s">
        <v>51</v>
      </c>
      <c r="K264" s="10">
        <v>39616</v>
      </c>
    </row>
    <row r="265" spans="1:11" x14ac:dyDescent="0.25">
      <c r="A265" s="6" t="s">
        <v>56</v>
      </c>
      <c r="B265" s="1" t="s">
        <v>52</v>
      </c>
      <c r="C265" s="1" t="s">
        <v>27</v>
      </c>
      <c r="D265" s="1" t="s">
        <v>28</v>
      </c>
      <c r="E265" s="1">
        <v>34</v>
      </c>
      <c r="F265" s="7">
        <v>43673</v>
      </c>
      <c r="G265" s="8">
        <v>220937</v>
      </c>
      <c r="H265" s="9">
        <v>0.38</v>
      </c>
      <c r="I265" s="1" t="s">
        <v>29</v>
      </c>
      <c r="J265" s="1" t="s">
        <v>51</v>
      </c>
      <c r="K265" s="10" t="s">
        <v>36</v>
      </c>
    </row>
    <row r="266" spans="1:11" x14ac:dyDescent="0.25">
      <c r="A266" s="6" t="s">
        <v>37</v>
      </c>
      <c r="B266" s="1" t="s">
        <v>26</v>
      </c>
      <c r="C266" s="1" t="s">
        <v>39</v>
      </c>
      <c r="D266" s="1" t="s">
        <v>28</v>
      </c>
      <c r="E266" s="1">
        <v>47</v>
      </c>
      <c r="F266" s="7">
        <v>41208</v>
      </c>
      <c r="G266" s="8">
        <v>183156</v>
      </c>
      <c r="H266" s="9">
        <v>0.3</v>
      </c>
      <c r="I266" s="1" t="s">
        <v>29</v>
      </c>
      <c r="J266" s="1" t="s">
        <v>30</v>
      </c>
      <c r="K266" s="10" t="s">
        <v>36</v>
      </c>
    </row>
    <row r="267" spans="1:11" x14ac:dyDescent="0.25">
      <c r="A267" s="6" t="s">
        <v>56</v>
      </c>
      <c r="B267" s="1" t="s">
        <v>26</v>
      </c>
      <c r="C267" s="1" t="s">
        <v>39</v>
      </c>
      <c r="D267" s="1" t="s">
        <v>28</v>
      </c>
      <c r="E267" s="1">
        <v>32</v>
      </c>
      <c r="F267" s="7">
        <v>44034</v>
      </c>
      <c r="G267" s="8">
        <v>192749</v>
      </c>
      <c r="H267" s="9">
        <v>0.31</v>
      </c>
      <c r="I267" s="1" t="s">
        <v>29</v>
      </c>
      <c r="J267" s="1" t="s">
        <v>40</v>
      </c>
      <c r="K267" s="10" t="s">
        <v>36</v>
      </c>
    </row>
    <row r="268" spans="1:11" x14ac:dyDescent="0.25">
      <c r="A268" s="6" t="s">
        <v>25</v>
      </c>
      <c r="B268" s="1" t="s">
        <v>26</v>
      </c>
      <c r="C268" s="1" t="s">
        <v>32</v>
      </c>
      <c r="D268" s="1" t="s">
        <v>28</v>
      </c>
      <c r="E268" s="1">
        <v>39</v>
      </c>
      <c r="F268" s="7">
        <v>42819</v>
      </c>
      <c r="G268" s="8">
        <v>135325</v>
      </c>
      <c r="H268" s="9">
        <v>0.14000000000000001</v>
      </c>
      <c r="I268" s="1" t="s">
        <v>29</v>
      </c>
      <c r="J268" s="1" t="s">
        <v>43</v>
      </c>
      <c r="K268" s="10" t="s">
        <v>36</v>
      </c>
    </row>
    <row r="269" spans="1:11" x14ac:dyDescent="0.25">
      <c r="A269" s="6" t="s">
        <v>42</v>
      </c>
      <c r="B269" s="1" t="s">
        <v>45</v>
      </c>
      <c r="C269" s="1" t="s">
        <v>39</v>
      </c>
      <c r="D269" s="1" t="s">
        <v>28</v>
      </c>
      <c r="E269" s="1">
        <v>26</v>
      </c>
      <c r="F269" s="7">
        <v>43752</v>
      </c>
      <c r="G269" s="8">
        <v>79356</v>
      </c>
      <c r="H269" s="9">
        <v>0</v>
      </c>
      <c r="I269" s="1" t="s">
        <v>29</v>
      </c>
      <c r="J269" s="1" t="s">
        <v>43</v>
      </c>
      <c r="K269" s="10" t="s">
        <v>36</v>
      </c>
    </row>
    <row r="270" spans="1:11" x14ac:dyDescent="0.25">
      <c r="A270" s="6" t="s">
        <v>80</v>
      </c>
      <c r="B270" s="1" t="s">
        <v>54</v>
      </c>
      <c r="C270" s="1" t="s">
        <v>32</v>
      </c>
      <c r="D270" s="1" t="s">
        <v>33</v>
      </c>
      <c r="E270" s="1">
        <v>40</v>
      </c>
      <c r="F270" s="7">
        <v>38540</v>
      </c>
      <c r="G270" s="8">
        <v>74412</v>
      </c>
      <c r="H270" s="9">
        <v>0</v>
      </c>
      <c r="I270" s="1" t="s">
        <v>29</v>
      </c>
      <c r="J270" s="1" t="s">
        <v>30</v>
      </c>
      <c r="K270" s="10" t="s">
        <v>36</v>
      </c>
    </row>
    <row r="271" spans="1:11" x14ac:dyDescent="0.25">
      <c r="A271" s="6" t="s">
        <v>41</v>
      </c>
      <c r="B271" s="1" t="s">
        <v>26</v>
      </c>
      <c r="C271" s="1" t="s">
        <v>32</v>
      </c>
      <c r="D271" s="1" t="s">
        <v>28</v>
      </c>
      <c r="E271" s="1">
        <v>32</v>
      </c>
      <c r="F271" s="7">
        <v>43010</v>
      </c>
      <c r="G271" s="8">
        <v>61886</v>
      </c>
      <c r="H271" s="9">
        <v>0.09</v>
      </c>
      <c r="I271" s="1" t="s">
        <v>59</v>
      </c>
      <c r="J271" s="1" t="s">
        <v>61</v>
      </c>
      <c r="K271" s="10" t="s">
        <v>36</v>
      </c>
    </row>
    <row r="272" spans="1:11" x14ac:dyDescent="0.25">
      <c r="A272" s="6" t="s">
        <v>37</v>
      </c>
      <c r="B272" s="1" t="s">
        <v>50</v>
      </c>
      <c r="C272" s="1" t="s">
        <v>27</v>
      </c>
      <c r="D272" s="1" t="s">
        <v>28</v>
      </c>
      <c r="E272" s="1">
        <v>58</v>
      </c>
      <c r="F272" s="7">
        <v>37755</v>
      </c>
      <c r="G272" s="8">
        <v>173071</v>
      </c>
      <c r="H272" s="9">
        <v>0.28999999999999998</v>
      </c>
      <c r="I272" s="1" t="s">
        <v>29</v>
      </c>
      <c r="J272" s="1" t="s">
        <v>58</v>
      </c>
      <c r="K272" s="10" t="s">
        <v>36</v>
      </c>
    </row>
    <row r="273" spans="1:11" x14ac:dyDescent="0.25">
      <c r="A273" s="6" t="s">
        <v>71</v>
      </c>
      <c r="B273" s="1" t="s">
        <v>54</v>
      </c>
      <c r="C273" s="1" t="s">
        <v>27</v>
      </c>
      <c r="D273" s="1" t="s">
        <v>28</v>
      </c>
      <c r="E273" s="1">
        <v>58</v>
      </c>
      <c r="F273" s="7">
        <v>34999</v>
      </c>
      <c r="G273" s="8">
        <v>70189</v>
      </c>
      <c r="H273" s="9">
        <v>0</v>
      </c>
      <c r="I273" s="1" t="s">
        <v>29</v>
      </c>
      <c r="J273" s="1" t="s">
        <v>58</v>
      </c>
      <c r="K273" s="10" t="s">
        <v>36</v>
      </c>
    </row>
    <row r="274" spans="1:11" x14ac:dyDescent="0.25">
      <c r="A274" s="6" t="s">
        <v>56</v>
      </c>
      <c r="B274" s="1" t="s">
        <v>45</v>
      </c>
      <c r="C274" s="1" t="s">
        <v>27</v>
      </c>
      <c r="D274" s="1" t="s">
        <v>28</v>
      </c>
      <c r="E274" s="1">
        <v>42</v>
      </c>
      <c r="F274" s="7">
        <v>41528</v>
      </c>
      <c r="G274" s="8">
        <v>181452</v>
      </c>
      <c r="H274" s="9">
        <v>0.3</v>
      </c>
      <c r="I274" s="1" t="s">
        <v>29</v>
      </c>
      <c r="J274" s="1" t="s">
        <v>58</v>
      </c>
      <c r="K274" s="10" t="s">
        <v>36</v>
      </c>
    </row>
    <row r="275" spans="1:11" x14ac:dyDescent="0.25">
      <c r="A275" s="6" t="s">
        <v>70</v>
      </c>
      <c r="B275" s="1" t="s">
        <v>52</v>
      </c>
      <c r="C275" s="1" t="s">
        <v>39</v>
      </c>
      <c r="D275" s="1" t="s">
        <v>33</v>
      </c>
      <c r="E275" s="1">
        <v>26</v>
      </c>
      <c r="F275" s="7">
        <v>44267</v>
      </c>
      <c r="G275" s="8">
        <v>70369</v>
      </c>
      <c r="H275" s="9">
        <v>0</v>
      </c>
      <c r="I275" s="1" t="s">
        <v>29</v>
      </c>
      <c r="J275" s="1" t="s">
        <v>30</v>
      </c>
      <c r="K275" s="10" t="s">
        <v>36</v>
      </c>
    </row>
    <row r="276" spans="1:11" x14ac:dyDescent="0.25">
      <c r="A276" s="6" t="s">
        <v>42</v>
      </c>
      <c r="B276" s="1" t="s">
        <v>50</v>
      </c>
      <c r="C276" s="1" t="s">
        <v>32</v>
      </c>
      <c r="D276" s="1" t="s">
        <v>33</v>
      </c>
      <c r="E276" s="1">
        <v>38</v>
      </c>
      <c r="F276" s="7">
        <v>39634</v>
      </c>
      <c r="G276" s="8">
        <v>78056</v>
      </c>
      <c r="H276" s="9">
        <v>0</v>
      </c>
      <c r="I276" s="1" t="s">
        <v>59</v>
      </c>
      <c r="J276" s="1" t="s">
        <v>76</v>
      </c>
      <c r="K276" s="10" t="s">
        <v>36</v>
      </c>
    </row>
    <row r="277" spans="1:11" x14ac:dyDescent="0.25">
      <c r="A277" s="6" t="s">
        <v>37</v>
      </c>
      <c r="B277" s="1" t="s">
        <v>38</v>
      </c>
      <c r="C277" s="1" t="s">
        <v>27</v>
      </c>
      <c r="D277" s="1" t="s">
        <v>33</v>
      </c>
      <c r="E277" s="1">
        <v>64</v>
      </c>
      <c r="F277" s="7">
        <v>35187</v>
      </c>
      <c r="G277" s="8">
        <v>189933</v>
      </c>
      <c r="H277" s="9">
        <v>0.23</v>
      </c>
      <c r="I277" s="1" t="s">
        <v>29</v>
      </c>
      <c r="J277" s="1" t="s">
        <v>49</v>
      </c>
      <c r="K277" s="10" t="s">
        <v>36</v>
      </c>
    </row>
    <row r="278" spans="1:11" x14ac:dyDescent="0.25">
      <c r="A278" s="6" t="s">
        <v>72</v>
      </c>
      <c r="B278" s="1" t="s">
        <v>54</v>
      </c>
      <c r="C278" s="1" t="s">
        <v>39</v>
      </c>
      <c r="D278" s="1" t="s">
        <v>33</v>
      </c>
      <c r="E278" s="1">
        <v>38</v>
      </c>
      <c r="F278" s="7">
        <v>40360</v>
      </c>
      <c r="G278" s="8">
        <v>78237</v>
      </c>
      <c r="H278" s="9">
        <v>0</v>
      </c>
      <c r="I278" s="1" t="s">
        <v>29</v>
      </c>
      <c r="J278" s="1" t="s">
        <v>43</v>
      </c>
      <c r="K278" s="10" t="s">
        <v>36</v>
      </c>
    </row>
    <row r="279" spans="1:11" x14ac:dyDescent="0.25">
      <c r="A279" s="6" t="s">
        <v>48</v>
      </c>
      <c r="B279" s="1" t="s">
        <v>50</v>
      </c>
      <c r="C279" s="1" t="s">
        <v>27</v>
      </c>
      <c r="D279" s="1" t="s">
        <v>28</v>
      </c>
      <c r="E279" s="1">
        <v>55</v>
      </c>
      <c r="F279" s="7">
        <v>35242</v>
      </c>
      <c r="G279" s="8">
        <v>48687</v>
      </c>
      <c r="H279" s="9">
        <v>0</v>
      </c>
      <c r="I279" s="1" t="s">
        <v>59</v>
      </c>
      <c r="J279" s="1" t="s">
        <v>61</v>
      </c>
      <c r="K279" s="10" t="s">
        <v>36</v>
      </c>
    </row>
    <row r="280" spans="1:11" x14ac:dyDescent="0.25">
      <c r="A280" s="6" t="s">
        <v>25</v>
      </c>
      <c r="B280" s="1" t="s">
        <v>57</v>
      </c>
      <c r="C280" s="1" t="s">
        <v>32</v>
      </c>
      <c r="D280" s="1" t="s">
        <v>28</v>
      </c>
      <c r="E280" s="1">
        <v>45</v>
      </c>
      <c r="F280" s="7">
        <v>38218</v>
      </c>
      <c r="G280" s="8">
        <v>121065</v>
      </c>
      <c r="H280" s="9">
        <v>0.15</v>
      </c>
      <c r="I280" s="1" t="s">
        <v>59</v>
      </c>
      <c r="J280" s="1" t="s">
        <v>61</v>
      </c>
      <c r="K280" s="10" t="s">
        <v>36</v>
      </c>
    </row>
    <row r="281" spans="1:11" x14ac:dyDescent="0.25">
      <c r="A281" s="6" t="s">
        <v>42</v>
      </c>
      <c r="B281" s="1" t="s">
        <v>45</v>
      </c>
      <c r="C281" s="1" t="s">
        <v>46</v>
      </c>
      <c r="D281" s="1" t="s">
        <v>33</v>
      </c>
      <c r="E281" s="1">
        <v>43</v>
      </c>
      <c r="F281" s="7">
        <v>38093</v>
      </c>
      <c r="G281" s="8">
        <v>94246</v>
      </c>
      <c r="H281" s="9">
        <v>0</v>
      </c>
      <c r="I281" s="1" t="s">
        <v>29</v>
      </c>
      <c r="J281" s="1" t="s">
        <v>51</v>
      </c>
      <c r="K281" s="10" t="s">
        <v>36</v>
      </c>
    </row>
    <row r="282" spans="1:11" x14ac:dyDescent="0.25">
      <c r="A282" s="6" t="s">
        <v>83</v>
      </c>
      <c r="B282" s="1" t="s">
        <v>26</v>
      </c>
      <c r="C282" s="1" t="s">
        <v>32</v>
      </c>
      <c r="D282" s="1" t="s">
        <v>28</v>
      </c>
      <c r="E282" s="1">
        <v>34</v>
      </c>
      <c r="F282" s="7">
        <v>42512</v>
      </c>
      <c r="G282" s="8">
        <v>44614</v>
      </c>
      <c r="H282" s="9">
        <v>0</v>
      </c>
      <c r="I282" s="1" t="s">
        <v>29</v>
      </c>
      <c r="J282" s="1" t="s">
        <v>49</v>
      </c>
      <c r="K282" s="10" t="s">
        <v>36</v>
      </c>
    </row>
    <row r="283" spans="1:11" x14ac:dyDescent="0.25">
      <c r="A283" s="6" t="s">
        <v>56</v>
      </c>
      <c r="B283" s="1" t="s">
        <v>26</v>
      </c>
      <c r="C283" s="1" t="s">
        <v>27</v>
      </c>
      <c r="D283" s="1" t="s">
        <v>33</v>
      </c>
      <c r="E283" s="1">
        <v>40</v>
      </c>
      <c r="F283" s="7">
        <v>44143</v>
      </c>
      <c r="G283" s="8">
        <v>234469</v>
      </c>
      <c r="H283" s="9">
        <v>0.31</v>
      </c>
      <c r="I283" s="1" t="s">
        <v>34</v>
      </c>
      <c r="J283" s="1" t="s">
        <v>68</v>
      </c>
      <c r="K283" s="10" t="s">
        <v>36</v>
      </c>
    </row>
    <row r="284" spans="1:11" x14ac:dyDescent="0.25">
      <c r="A284" s="6" t="s">
        <v>72</v>
      </c>
      <c r="B284" s="1" t="s">
        <v>54</v>
      </c>
      <c r="C284" s="1" t="s">
        <v>27</v>
      </c>
      <c r="D284" s="1" t="s">
        <v>33</v>
      </c>
      <c r="E284" s="1">
        <v>52</v>
      </c>
      <c r="F284" s="7">
        <v>44022</v>
      </c>
      <c r="G284" s="8">
        <v>88272</v>
      </c>
      <c r="H284" s="9">
        <v>0</v>
      </c>
      <c r="I284" s="1" t="s">
        <v>59</v>
      </c>
      <c r="J284" s="1" t="s">
        <v>76</v>
      </c>
      <c r="K284" s="10" t="s">
        <v>36</v>
      </c>
    </row>
    <row r="285" spans="1:11" x14ac:dyDescent="0.25">
      <c r="A285" s="6" t="s">
        <v>66</v>
      </c>
      <c r="B285" s="1" t="s">
        <v>38</v>
      </c>
      <c r="C285" s="1" t="s">
        <v>46</v>
      </c>
      <c r="D285" s="1" t="s">
        <v>33</v>
      </c>
      <c r="E285" s="1">
        <v>52</v>
      </c>
      <c r="F285" s="7">
        <v>42992</v>
      </c>
      <c r="G285" s="8">
        <v>74449</v>
      </c>
      <c r="H285" s="9">
        <v>0</v>
      </c>
      <c r="I285" s="1" t="s">
        <v>34</v>
      </c>
      <c r="J285" s="1" t="s">
        <v>64</v>
      </c>
      <c r="K285" s="10" t="s">
        <v>36</v>
      </c>
    </row>
    <row r="286" spans="1:11" x14ac:dyDescent="0.25">
      <c r="A286" s="6" t="s">
        <v>56</v>
      </c>
      <c r="B286" s="1" t="s">
        <v>54</v>
      </c>
      <c r="C286" s="1" t="s">
        <v>39</v>
      </c>
      <c r="D286" s="1" t="s">
        <v>33</v>
      </c>
      <c r="E286" s="1">
        <v>47</v>
      </c>
      <c r="F286" s="7">
        <v>41071</v>
      </c>
      <c r="G286" s="8">
        <v>222941</v>
      </c>
      <c r="H286" s="9">
        <v>0.39</v>
      </c>
      <c r="I286" s="1" t="s">
        <v>34</v>
      </c>
      <c r="J286" s="1" t="s">
        <v>64</v>
      </c>
      <c r="K286" s="10" t="s">
        <v>36</v>
      </c>
    </row>
    <row r="287" spans="1:11" x14ac:dyDescent="0.25">
      <c r="A287" s="6" t="s">
        <v>48</v>
      </c>
      <c r="B287" s="1" t="s">
        <v>57</v>
      </c>
      <c r="C287" s="1" t="s">
        <v>32</v>
      </c>
      <c r="D287" s="1" t="s">
        <v>28</v>
      </c>
      <c r="E287" s="1">
        <v>65</v>
      </c>
      <c r="F287" s="7">
        <v>41543</v>
      </c>
      <c r="G287" s="8">
        <v>50341</v>
      </c>
      <c r="H287" s="9">
        <v>0</v>
      </c>
      <c r="I287" s="1" t="s">
        <v>34</v>
      </c>
      <c r="J287" s="1" t="s">
        <v>64</v>
      </c>
      <c r="K287" s="10" t="s">
        <v>36</v>
      </c>
    </row>
    <row r="288" spans="1:11" x14ac:dyDescent="0.25">
      <c r="A288" s="6" t="s">
        <v>70</v>
      </c>
      <c r="B288" s="1" t="s">
        <v>52</v>
      </c>
      <c r="C288" s="1" t="s">
        <v>46</v>
      </c>
      <c r="D288" s="1" t="s">
        <v>28</v>
      </c>
      <c r="E288" s="1">
        <v>31</v>
      </c>
      <c r="F288" s="7">
        <v>44297</v>
      </c>
      <c r="G288" s="8">
        <v>72235</v>
      </c>
      <c r="H288" s="9">
        <v>0</v>
      </c>
      <c r="I288" s="1" t="s">
        <v>59</v>
      </c>
      <c r="J288" s="1" t="s">
        <v>60</v>
      </c>
      <c r="K288" s="10" t="s">
        <v>36</v>
      </c>
    </row>
    <row r="289" spans="1:11" x14ac:dyDescent="0.25">
      <c r="A289" s="6" t="s">
        <v>42</v>
      </c>
      <c r="B289" s="1" t="s">
        <v>50</v>
      </c>
      <c r="C289" s="1" t="s">
        <v>46</v>
      </c>
      <c r="D289" s="1" t="s">
        <v>28</v>
      </c>
      <c r="E289" s="1">
        <v>41</v>
      </c>
      <c r="F289" s="7">
        <v>42533</v>
      </c>
      <c r="G289" s="8">
        <v>70165</v>
      </c>
      <c r="H289" s="9">
        <v>0</v>
      </c>
      <c r="I289" s="1" t="s">
        <v>29</v>
      </c>
      <c r="J289" s="1" t="s">
        <v>58</v>
      </c>
      <c r="K289" s="10" t="s">
        <v>36</v>
      </c>
    </row>
    <row r="290" spans="1:11" x14ac:dyDescent="0.25">
      <c r="A290" s="6" t="s">
        <v>25</v>
      </c>
      <c r="B290" s="1" t="s">
        <v>57</v>
      </c>
      <c r="C290" s="1" t="s">
        <v>39</v>
      </c>
      <c r="D290" s="1" t="s">
        <v>33</v>
      </c>
      <c r="E290" s="1">
        <v>30</v>
      </c>
      <c r="F290" s="7">
        <v>44030</v>
      </c>
      <c r="G290" s="8">
        <v>148485</v>
      </c>
      <c r="H290" s="9">
        <v>0.15</v>
      </c>
      <c r="I290" s="1" t="s">
        <v>29</v>
      </c>
      <c r="J290" s="1" t="s">
        <v>49</v>
      </c>
      <c r="K290" s="10" t="s">
        <v>36</v>
      </c>
    </row>
    <row r="291" spans="1:11" x14ac:dyDescent="0.25">
      <c r="A291" s="6" t="s">
        <v>31</v>
      </c>
      <c r="B291" s="1" t="s">
        <v>26</v>
      </c>
      <c r="C291" s="1" t="s">
        <v>32</v>
      </c>
      <c r="D291" s="1" t="s">
        <v>28</v>
      </c>
      <c r="E291" s="1">
        <v>58</v>
      </c>
      <c r="F291" s="7">
        <v>38521</v>
      </c>
      <c r="G291" s="8">
        <v>86089</v>
      </c>
      <c r="H291" s="9">
        <v>0</v>
      </c>
      <c r="I291" s="1" t="s">
        <v>29</v>
      </c>
      <c r="J291" s="1" t="s">
        <v>40</v>
      </c>
      <c r="K291" s="10" t="s">
        <v>36</v>
      </c>
    </row>
    <row r="292" spans="1:11" x14ac:dyDescent="0.25">
      <c r="A292" s="6" t="s">
        <v>63</v>
      </c>
      <c r="B292" s="1" t="s">
        <v>54</v>
      </c>
      <c r="C292" s="1" t="s">
        <v>27</v>
      </c>
      <c r="D292" s="1" t="s">
        <v>33</v>
      </c>
      <c r="E292" s="1">
        <v>54</v>
      </c>
      <c r="F292" s="7">
        <v>39382</v>
      </c>
      <c r="G292" s="8">
        <v>106313</v>
      </c>
      <c r="H292" s="9">
        <v>0.15</v>
      </c>
      <c r="I292" s="1" t="s">
        <v>29</v>
      </c>
      <c r="J292" s="1" t="s">
        <v>40</v>
      </c>
      <c r="K292" s="10" t="s">
        <v>36</v>
      </c>
    </row>
    <row r="293" spans="1:11" x14ac:dyDescent="0.25">
      <c r="A293" s="6" t="s">
        <v>48</v>
      </c>
      <c r="B293" s="1" t="s">
        <v>57</v>
      </c>
      <c r="C293" s="1" t="s">
        <v>27</v>
      </c>
      <c r="D293" s="1" t="s">
        <v>28</v>
      </c>
      <c r="E293" s="1">
        <v>40</v>
      </c>
      <c r="F293" s="7">
        <v>44251</v>
      </c>
      <c r="G293" s="8">
        <v>46833</v>
      </c>
      <c r="H293" s="9">
        <v>0</v>
      </c>
      <c r="I293" s="1" t="s">
        <v>34</v>
      </c>
      <c r="J293" s="1" t="s">
        <v>68</v>
      </c>
      <c r="K293" s="10">
        <v>44510</v>
      </c>
    </row>
    <row r="294" spans="1:11" x14ac:dyDescent="0.25">
      <c r="A294" s="6" t="s">
        <v>37</v>
      </c>
      <c r="B294" s="1" t="s">
        <v>38</v>
      </c>
      <c r="C294" s="1" t="s">
        <v>27</v>
      </c>
      <c r="D294" s="1" t="s">
        <v>28</v>
      </c>
      <c r="E294" s="1">
        <v>63</v>
      </c>
      <c r="F294" s="7">
        <v>36826</v>
      </c>
      <c r="G294" s="8">
        <v>155320</v>
      </c>
      <c r="H294" s="9">
        <v>0.17</v>
      </c>
      <c r="I294" s="1" t="s">
        <v>34</v>
      </c>
      <c r="J294" s="1" t="s">
        <v>35</v>
      </c>
      <c r="K294" s="10" t="s">
        <v>36</v>
      </c>
    </row>
    <row r="295" spans="1:11" x14ac:dyDescent="0.25">
      <c r="A295" s="6" t="s">
        <v>42</v>
      </c>
      <c r="B295" s="1" t="s">
        <v>50</v>
      </c>
      <c r="C295" s="1" t="s">
        <v>32</v>
      </c>
      <c r="D295" s="1" t="s">
        <v>33</v>
      </c>
      <c r="E295" s="1">
        <v>40</v>
      </c>
      <c r="F295" s="7">
        <v>42384</v>
      </c>
      <c r="G295" s="8">
        <v>89984</v>
      </c>
      <c r="H295" s="9">
        <v>0</v>
      </c>
      <c r="I295" s="1" t="s">
        <v>34</v>
      </c>
      <c r="J295" s="1" t="s">
        <v>68</v>
      </c>
      <c r="K295" s="10" t="s">
        <v>36</v>
      </c>
    </row>
    <row r="296" spans="1:11" x14ac:dyDescent="0.25">
      <c r="A296" s="6" t="s">
        <v>63</v>
      </c>
      <c r="B296" s="1" t="s">
        <v>54</v>
      </c>
      <c r="C296" s="1" t="s">
        <v>39</v>
      </c>
      <c r="D296" s="1" t="s">
        <v>28</v>
      </c>
      <c r="E296" s="1">
        <v>65</v>
      </c>
      <c r="F296" s="7">
        <v>38792</v>
      </c>
      <c r="G296" s="8">
        <v>83756</v>
      </c>
      <c r="H296" s="9">
        <v>0.14000000000000001</v>
      </c>
      <c r="I296" s="1" t="s">
        <v>34</v>
      </c>
      <c r="J296" s="1" t="s">
        <v>55</v>
      </c>
      <c r="K296" s="10" t="s">
        <v>36</v>
      </c>
    </row>
    <row r="297" spans="1:11" x14ac:dyDescent="0.25">
      <c r="A297" s="6" t="s">
        <v>37</v>
      </c>
      <c r="B297" s="1" t="s">
        <v>52</v>
      </c>
      <c r="C297" s="1" t="s">
        <v>46</v>
      </c>
      <c r="D297" s="1" t="s">
        <v>28</v>
      </c>
      <c r="E297" s="1">
        <v>57</v>
      </c>
      <c r="F297" s="7">
        <v>42667</v>
      </c>
      <c r="G297" s="8">
        <v>176324</v>
      </c>
      <c r="H297" s="9">
        <v>0.23</v>
      </c>
      <c r="I297" s="1" t="s">
        <v>34</v>
      </c>
      <c r="J297" s="1" t="s">
        <v>55</v>
      </c>
      <c r="K297" s="10" t="s">
        <v>36</v>
      </c>
    </row>
    <row r="298" spans="1:11" x14ac:dyDescent="0.25">
      <c r="A298" s="6" t="s">
        <v>42</v>
      </c>
      <c r="B298" s="1" t="s">
        <v>50</v>
      </c>
      <c r="C298" s="1" t="s">
        <v>39</v>
      </c>
      <c r="D298" s="1" t="s">
        <v>33</v>
      </c>
      <c r="E298" s="1">
        <v>27</v>
      </c>
      <c r="F298" s="7">
        <v>44482</v>
      </c>
      <c r="G298" s="8">
        <v>74077</v>
      </c>
      <c r="H298" s="9">
        <v>0</v>
      </c>
      <c r="I298" s="1" t="s">
        <v>29</v>
      </c>
      <c r="J298" s="1" t="s">
        <v>30</v>
      </c>
      <c r="K298" s="10" t="s">
        <v>36</v>
      </c>
    </row>
    <row r="299" spans="1:11" x14ac:dyDescent="0.25">
      <c r="A299" s="6" t="s">
        <v>47</v>
      </c>
      <c r="B299" s="1" t="s">
        <v>52</v>
      </c>
      <c r="C299" s="1" t="s">
        <v>32</v>
      </c>
      <c r="D299" s="1" t="s">
        <v>28</v>
      </c>
      <c r="E299" s="1">
        <v>31</v>
      </c>
      <c r="F299" s="7">
        <v>44214</v>
      </c>
      <c r="G299" s="8">
        <v>104162</v>
      </c>
      <c r="H299" s="9">
        <v>7.0000000000000007E-2</v>
      </c>
      <c r="I299" s="1" t="s">
        <v>29</v>
      </c>
      <c r="J299" s="1" t="s">
        <v>51</v>
      </c>
      <c r="K299" s="10" t="s">
        <v>36</v>
      </c>
    </row>
    <row r="300" spans="1:11" x14ac:dyDescent="0.25">
      <c r="A300" s="6" t="s">
        <v>85</v>
      </c>
      <c r="B300" s="1" t="s">
        <v>26</v>
      </c>
      <c r="C300" s="1" t="s">
        <v>46</v>
      </c>
      <c r="D300" s="1" t="s">
        <v>28</v>
      </c>
      <c r="E300" s="1">
        <v>45</v>
      </c>
      <c r="F300" s="7">
        <v>40418</v>
      </c>
      <c r="G300" s="8">
        <v>82162</v>
      </c>
      <c r="H300" s="9">
        <v>0</v>
      </c>
      <c r="I300" s="1" t="s">
        <v>34</v>
      </c>
      <c r="J300" s="1" t="s">
        <v>64</v>
      </c>
      <c r="K300" s="10">
        <v>44107</v>
      </c>
    </row>
    <row r="301" spans="1:11" x14ac:dyDescent="0.25">
      <c r="A301" s="6" t="s">
        <v>44</v>
      </c>
      <c r="B301" s="1" t="s">
        <v>45</v>
      </c>
      <c r="C301" s="1" t="s">
        <v>39</v>
      </c>
      <c r="D301" s="1" t="s">
        <v>28</v>
      </c>
      <c r="E301" s="1">
        <v>47</v>
      </c>
      <c r="F301" s="7">
        <v>42195</v>
      </c>
      <c r="G301" s="8">
        <v>63880</v>
      </c>
      <c r="H301" s="9">
        <v>0</v>
      </c>
      <c r="I301" s="1" t="s">
        <v>34</v>
      </c>
      <c r="J301" s="1" t="s">
        <v>35</v>
      </c>
      <c r="K301" s="10" t="s">
        <v>36</v>
      </c>
    </row>
    <row r="302" spans="1:11" x14ac:dyDescent="0.25">
      <c r="A302" s="6" t="s">
        <v>77</v>
      </c>
      <c r="B302" s="1" t="s">
        <v>54</v>
      </c>
      <c r="C302" s="1" t="s">
        <v>27</v>
      </c>
      <c r="D302" s="1" t="s">
        <v>28</v>
      </c>
      <c r="E302" s="1">
        <v>55</v>
      </c>
      <c r="F302" s="7">
        <v>41525</v>
      </c>
      <c r="G302" s="8">
        <v>73248</v>
      </c>
      <c r="H302" s="9">
        <v>0</v>
      </c>
      <c r="I302" s="1" t="s">
        <v>29</v>
      </c>
      <c r="J302" s="1" t="s">
        <v>58</v>
      </c>
      <c r="K302" s="10" t="s">
        <v>36</v>
      </c>
    </row>
    <row r="303" spans="1:11" x14ac:dyDescent="0.25">
      <c r="A303" s="6" t="s">
        <v>42</v>
      </c>
      <c r="B303" s="1" t="s">
        <v>50</v>
      </c>
      <c r="C303" s="1" t="s">
        <v>32</v>
      </c>
      <c r="D303" s="1" t="s">
        <v>33</v>
      </c>
      <c r="E303" s="1">
        <v>51</v>
      </c>
      <c r="F303" s="7">
        <v>44113</v>
      </c>
      <c r="G303" s="8">
        <v>91853</v>
      </c>
      <c r="H303" s="9">
        <v>0</v>
      </c>
      <c r="I303" s="1" t="s">
        <v>29</v>
      </c>
      <c r="J303" s="1" t="s">
        <v>40</v>
      </c>
      <c r="K303" s="10" t="s">
        <v>36</v>
      </c>
    </row>
    <row r="304" spans="1:11" x14ac:dyDescent="0.25">
      <c r="A304" s="6" t="s">
        <v>37</v>
      </c>
      <c r="B304" s="1" t="s">
        <v>38</v>
      </c>
      <c r="C304" s="1" t="s">
        <v>39</v>
      </c>
      <c r="D304" s="1" t="s">
        <v>33</v>
      </c>
      <c r="E304" s="1">
        <v>25</v>
      </c>
      <c r="F304" s="7">
        <v>43844</v>
      </c>
      <c r="G304" s="8">
        <v>168014</v>
      </c>
      <c r="H304" s="9">
        <v>0.27</v>
      </c>
      <c r="I304" s="1" t="s">
        <v>29</v>
      </c>
      <c r="J304" s="1" t="s">
        <v>40</v>
      </c>
      <c r="K304" s="10">
        <v>44404</v>
      </c>
    </row>
    <row r="305" spans="1:11" x14ac:dyDescent="0.25">
      <c r="A305" s="6" t="s">
        <v>80</v>
      </c>
      <c r="B305" s="1" t="s">
        <v>54</v>
      </c>
      <c r="C305" s="1" t="s">
        <v>46</v>
      </c>
      <c r="D305" s="1" t="s">
        <v>28</v>
      </c>
      <c r="E305" s="1">
        <v>37</v>
      </c>
      <c r="F305" s="7">
        <v>42995</v>
      </c>
      <c r="G305" s="8">
        <v>70770</v>
      </c>
      <c r="H305" s="9">
        <v>0</v>
      </c>
      <c r="I305" s="1" t="s">
        <v>29</v>
      </c>
      <c r="J305" s="1" t="s">
        <v>49</v>
      </c>
      <c r="K305" s="10" t="s">
        <v>36</v>
      </c>
    </row>
    <row r="306" spans="1:11" x14ac:dyDescent="0.25">
      <c r="A306" s="6" t="s">
        <v>70</v>
      </c>
      <c r="B306" s="1" t="s">
        <v>52</v>
      </c>
      <c r="C306" s="1" t="s">
        <v>46</v>
      </c>
      <c r="D306" s="1" t="s">
        <v>33</v>
      </c>
      <c r="E306" s="1">
        <v>62</v>
      </c>
      <c r="F306" s="7">
        <v>38271</v>
      </c>
      <c r="G306" s="8">
        <v>50825</v>
      </c>
      <c r="H306" s="9">
        <v>0</v>
      </c>
      <c r="I306" s="1" t="s">
        <v>29</v>
      </c>
      <c r="J306" s="1" t="s">
        <v>30</v>
      </c>
      <c r="K306" s="10" t="s">
        <v>36</v>
      </c>
    </row>
    <row r="307" spans="1:11" x14ac:dyDescent="0.25">
      <c r="A307" s="6" t="s">
        <v>25</v>
      </c>
      <c r="B307" s="1" t="s">
        <v>38</v>
      </c>
      <c r="C307" s="1" t="s">
        <v>27</v>
      </c>
      <c r="D307" s="1" t="s">
        <v>33</v>
      </c>
      <c r="E307" s="1">
        <v>31</v>
      </c>
      <c r="F307" s="7">
        <v>42266</v>
      </c>
      <c r="G307" s="8">
        <v>145846</v>
      </c>
      <c r="H307" s="9">
        <v>0.15</v>
      </c>
      <c r="I307" s="1" t="s">
        <v>59</v>
      </c>
      <c r="J307" s="1" t="s">
        <v>60</v>
      </c>
      <c r="K307" s="10" t="s">
        <v>36</v>
      </c>
    </row>
    <row r="308" spans="1:11" x14ac:dyDescent="0.25">
      <c r="A308" s="6" t="s">
        <v>25</v>
      </c>
      <c r="B308" s="1" t="s">
        <v>52</v>
      </c>
      <c r="C308" s="1" t="s">
        <v>27</v>
      </c>
      <c r="D308" s="1" t="s">
        <v>28</v>
      </c>
      <c r="E308" s="1">
        <v>64</v>
      </c>
      <c r="F308" s="7">
        <v>37962</v>
      </c>
      <c r="G308" s="8">
        <v>125807</v>
      </c>
      <c r="H308" s="9">
        <v>0.15</v>
      </c>
      <c r="I308" s="1" t="s">
        <v>29</v>
      </c>
      <c r="J308" s="1" t="s">
        <v>40</v>
      </c>
      <c r="K308" s="10" t="s">
        <v>36</v>
      </c>
    </row>
    <row r="309" spans="1:11" x14ac:dyDescent="0.25">
      <c r="A309" s="6" t="s">
        <v>48</v>
      </c>
      <c r="B309" s="1" t="s">
        <v>45</v>
      </c>
      <c r="C309" s="1" t="s">
        <v>39</v>
      </c>
      <c r="D309" s="1" t="s">
        <v>33</v>
      </c>
      <c r="E309" s="1">
        <v>25</v>
      </c>
      <c r="F309" s="7">
        <v>44405</v>
      </c>
      <c r="G309" s="8">
        <v>46845</v>
      </c>
      <c r="H309" s="9">
        <v>0</v>
      </c>
      <c r="I309" s="1" t="s">
        <v>29</v>
      </c>
      <c r="J309" s="1" t="s">
        <v>49</v>
      </c>
      <c r="K309" s="10" t="s">
        <v>36</v>
      </c>
    </row>
    <row r="310" spans="1:11" x14ac:dyDescent="0.25">
      <c r="A310" s="6" t="s">
        <v>25</v>
      </c>
      <c r="B310" s="1" t="s">
        <v>57</v>
      </c>
      <c r="C310" s="1" t="s">
        <v>46</v>
      </c>
      <c r="D310" s="1" t="s">
        <v>28</v>
      </c>
      <c r="E310" s="1">
        <v>59</v>
      </c>
      <c r="F310" s="7">
        <v>39689</v>
      </c>
      <c r="G310" s="8">
        <v>157969</v>
      </c>
      <c r="H310" s="9">
        <v>0.1</v>
      </c>
      <c r="I310" s="1" t="s">
        <v>34</v>
      </c>
      <c r="J310" s="1" t="s">
        <v>35</v>
      </c>
      <c r="K310" s="10" t="s">
        <v>36</v>
      </c>
    </row>
    <row r="311" spans="1:11" x14ac:dyDescent="0.25">
      <c r="A311" s="6" t="s">
        <v>84</v>
      </c>
      <c r="B311" s="1" t="s">
        <v>26</v>
      </c>
      <c r="C311" s="1" t="s">
        <v>46</v>
      </c>
      <c r="D311" s="1" t="s">
        <v>28</v>
      </c>
      <c r="E311" s="1">
        <v>40</v>
      </c>
      <c r="F311" s="7">
        <v>40522</v>
      </c>
      <c r="G311" s="8">
        <v>97807</v>
      </c>
      <c r="H311" s="9">
        <v>0</v>
      </c>
      <c r="I311" s="1" t="s">
        <v>29</v>
      </c>
      <c r="J311" s="1" t="s">
        <v>40</v>
      </c>
      <c r="K311" s="10" t="s">
        <v>36</v>
      </c>
    </row>
    <row r="312" spans="1:11" x14ac:dyDescent="0.25">
      <c r="A312" s="6" t="s">
        <v>70</v>
      </c>
      <c r="B312" s="1" t="s">
        <v>52</v>
      </c>
      <c r="C312" s="1" t="s">
        <v>32</v>
      </c>
      <c r="D312" s="1" t="s">
        <v>33</v>
      </c>
      <c r="E312" s="1">
        <v>31</v>
      </c>
      <c r="F312" s="7">
        <v>42347</v>
      </c>
      <c r="G312" s="8">
        <v>73854</v>
      </c>
      <c r="H312" s="9">
        <v>0</v>
      </c>
      <c r="I312" s="1" t="s">
        <v>29</v>
      </c>
      <c r="J312" s="1" t="s">
        <v>30</v>
      </c>
      <c r="K312" s="10" t="s">
        <v>36</v>
      </c>
    </row>
    <row r="313" spans="1:11" x14ac:dyDescent="0.25">
      <c r="A313" s="6" t="s">
        <v>25</v>
      </c>
      <c r="B313" s="1" t="s">
        <v>50</v>
      </c>
      <c r="C313" s="1" t="s">
        <v>32</v>
      </c>
      <c r="D313" s="1" t="s">
        <v>33</v>
      </c>
      <c r="E313" s="1">
        <v>45</v>
      </c>
      <c r="F313" s="7">
        <v>39063</v>
      </c>
      <c r="G313" s="8">
        <v>149537</v>
      </c>
      <c r="H313" s="9">
        <v>0.14000000000000001</v>
      </c>
      <c r="I313" s="1" t="s">
        <v>29</v>
      </c>
      <c r="J313" s="1" t="s">
        <v>30</v>
      </c>
      <c r="K313" s="10" t="s">
        <v>36</v>
      </c>
    </row>
    <row r="314" spans="1:11" x14ac:dyDescent="0.25">
      <c r="A314" s="6" t="s">
        <v>25</v>
      </c>
      <c r="B314" s="1" t="s">
        <v>45</v>
      </c>
      <c r="C314" s="1" t="s">
        <v>32</v>
      </c>
      <c r="D314" s="1" t="s">
        <v>28</v>
      </c>
      <c r="E314" s="1">
        <v>49</v>
      </c>
      <c r="F314" s="7">
        <v>41379</v>
      </c>
      <c r="G314" s="8">
        <v>128303</v>
      </c>
      <c r="H314" s="9">
        <v>0.15</v>
      </c>
      <c r="I314" s="1" t="s">
        <v>29</v>
      </c>
      <c r="J314" s="1" t="s">
        <v>43</v>
      </c>
      <c r="K314" s="10" t="s">
        <v>36</v>
      </c>
    </row>
    <row r="315" spans="1:11" x14ac:dyDescent="0.25">
      <c r="A315" s="6" t="s">
        <v>78</v>
      </c>
      <c r="B315" s="1" t="s">
        <v>26</v>
      </c>
      <c r="C315" s="1" t="s">
        <v>39</v>
      </c>
      <c r="D315" s="1" t="s">
        <v>33</v>
      </c>
      <c r="E315" s="1">
        <v>46</v>
      </c>
      <c r="F315" s="7">
        <v>38513</v>
      </c>
      <c r="G315" s="8">
        <v>67374</v>
      </c>
      <c r="H315" s="9">
        <v>0</v>
      </c>
      <c r="I315" s="1" t="s">
        <v>29</v>
      </c>
      <c r="J315" s="1" t="s">
        <v>51</v>
      </c>
      <c r="K315" s="10" t="s">
        <v>36</v>
      </c>
    </row>
    <row r="316" spans="1:11" x14ac:dyDescent="0.25">
      <c r="A316" s="6" t="s">
        <v>47</v>
      </c>
      <c r="B316" s="1" t="s">
        <v>52</v>
      </c>
      <c r="C316" s="1" t="s">
        <v>46</v>
      </c>
      <c r="D316" s="1" t="s">
        <v>33</v>
      </c>
      <c r="E316" s="1">
        <v>46</v>
      </c>
      <c r="F316" s="7">
        <v>40810</v>
      </c>
      <c r="G316" s="8">
        <v>102167</v>
      </c>
      <c r="H316" s="9">
        <v>0.06</v>
      </c>
      <c r="I316" s="1" t="s">
        <v>59</v>
      </c>
      <c r="J316" s="1" t="s">
        <v>61</v>
      </c>
      <c r="K316" s="10" t="s">
        <v>36</v>
      </c>
    </row>
    <row r="317" spans="1:11" x14ac:dyDescent="0.25">
      <c r="A317" s="6" t="s">
        <v>25</v>
      </c>
      <c r="B317" s="1" t="s">
        <v>45</v>
      </c>
      <c r="C317" s="1" t="s">
        <v>32</v>
      </c>
      <c r="D317" s="1" t="s">
        <v>33</v>
      </c>
      <c r="E317" s="1">
        <v>45</v>
      </c>
      <c r="F317" s="7">
        <v>39332</v>
      </c>
      <c r="G317" s="8">
        <v>151027</v>
      </c>
      <c r="H317" s="9">
        <v>0.1</v>
      </c>
      <c r="I317" s="1" t="s">
        <v>34</v>
      </c>
      <c r="J317" s="1" t="s">
        <v>55</v>
      </c>
      <c r="K317" s="10" t="s">
        <v>36</v>
      </c>
    </row>
    <row r="318" spans="1:11" x14ac:dyDescent="0.25">
      <c r="A318" s="6" t="s">
        <v>47</v>
      </c>
      <c r="B318" s="1" t="s">
        <v>50</v>
      </c>
      <c r="C318" s="1" t="s">
        <v>39</v>
      </c>
      <c r="D318" s="1" t="s">
        <v>33</v>
      </c>
      <c r="E318" s="1">
        <v>40</v>
      </c>
      <c r="F318" s="7">
        <v>43147</v>
      </c>
      <c r="G318" s="8">
        <v>120905</v>
      </c>
      <c r="H318" s="9">
        <v>0.05</v>
      </c>
      <c r="I318" s="1" t="s">
        <v>29</v>
      </c>
      <c r="J318" s="1" t="s">
        <v>30</v>
      </c>
      <c r="K318" s="10" t="s">
        <v>36</v>
      </c>
    </row>
    <row r="319" spans="1:11" x14ac:dyDescent="0.25">
      <c r="A319" s="6" t="s">
        <v>56</v>
      </c>
      <c r="B319" s="1" t="s">
        <v>38</v>
      </c>
      <c r="C319" s="1" t="s">
        <v>32</v>
      </c>
      <c r="D319" s="1" t="s">
        <v>28</v>
      </c>
      <c r="E319" s="1">
        <v>48</v>
      </c>
      <c r="F319" s="7">
        <v>43253</v>
      </c>
      <c r="G319" s="8">
        <v>231567</v>
      </c>
      <c r="H319" s="9">
        <v>0.36</v>
      </c>
      <c r="I319" s="1" t="s">
        <v>29</v>
      </c>
      <c r="J319" s="1" t="s">
        <v>30</v>
      </c>
      <c r="K319" s="10" t="s">
        <v>36</v>
      </c>
    </row>
    <row r="320" spans="1:11" x14ac:dyDescent="0.25">
      <c r="A320" s="6" t="s">
        <v>56</v>
      </c>
      <c r="B320" s="1" t="s">
        <v>26</v>
      </c>
      <c r="C320" s="1" t="s">
        <v>27</v>
      </c>
      <c r="D320" s="1" t="s">
        <v>33</v>
      </c>
      <c r="E320" s="1">
        <v>31</v>
      </c>
      <c r="F320" s="7">
        <v>42197</v>
      </c>
      <c r="G320" s="8">
        <v>215388</v>
      </c>
      <c r="H320" s="9">
        <v>0.33</v>
      </c>
      <c r="I320" s="1" t="s">
        <v>29</v>
      </c>
      <c r="J320" s="1" t="s">
        <v>49</v>
      </c>
      <c r="K320" s="10" t="s">
        <v>36</v>
      </c>
    </row>
    <row r="321" spans="1:11" x14ac:dyDescent="0.25">
      <c r="A321" s="6" t="s">
        <v>25</v>
      </c>
      <c r="B321" s="1" t="s">
        <v>45</v>
      </c>
      <c r="C321" s="1" t="s">
        <v>39</v>
      </c>
      <c r="D321" s="1" t="s">
        <v>28</v>
      </c>
      <c r="E321" s="1">
        <v>30</v>
      </c>
      <c r="F321" s="7">
        <v>42168</v>
      </c>
      <c r="G321" s="8">
        <v>127972</v>
      </c>
      <c r="H321" s="9">
        <v>0.11</v>
      </c>
      <c r="I321" s="1" t="s">
        <v>29</v>
      </c>
      <c r="J321" s="1" t="s">
        <v>30</v>
      </c>
      <c r="K321" s="10" t="s">
        <v>36</v>
      </c>
    </row>
    <row r="322" spans="1:11" x14ac:dyDescent="0.25">
      <c r="A322" s="6" t="s">
        <v>73</v>
      </c>
      <c r="B322" s="1" t="s">
        <v>54</v>
      </c>
      <c r="C322" s="1" t="s">
        <v>46</v>
      </c>
      <c r="D322" s="1" t="s">
        <v>28</v>
      </c>
      <c r="E322" s="1">
        <v>55</v>
      </c>
      <c r="F322" s="7">
        <v>34915</v>
      </c>
      <c r="G322" s="8">
        <v>80701</v>
      </c>
      <c r="H322" s="9">
        <v>0</v>
      </c>
      <c r="I322" s="1" t="s">
        <v>29</v>
      </c>
      <c r="J322" s="1" t="s">
        <v>40</v>
      </c>
      <c r="K322" s="10">
        <v>38456</v>
      </c>
    </row>
    <row r="323" spans="1:11" x14ac:dyDescent="0.25">
      <c r="A323" s="6" t="s">
        <v>47</v>
      </c>
      <c r="B323" s="1" t="s">
        <v>57</v>
      </c>
      <c r="C323" s="1" t="s">
        <v>46</v>
      </c>
      <c r="D323" s="1" t="s">
        <v>33</v>
      </c>
      <c r="E323" s="1">
        <v>28</v>
      </c>
      <c r="F323" s="7">
        <v>43863</v>
      </c>
      <c r="G323" s="8">
        <v>115417</v>
      </c>
      <c r="H323" s="9">
        <v>0.06</v>
      </c>
      <c r="I323" s="1" t="s">
        <v>34</v>
      </c>
      <c r="J323" s="1" t="s">
        <v>55</v>
      </c>
      <c r="K323" s="10" t="s">
        <v>36</v>
      </c>
    </row>
    <row r="324" spans="1:11" x14ac:dyDescent="0.25">
      <c r="A324" s="6" t="s">
        <v>62</v>
      </c>
      <c r="B324" s="1" t="s">
        <v>54</v>
      </c>
      <c r="C324" s="1" t="s">
        <v>46</v>
      </c>
      <c r="D324" s="1" t="s">
        <v>28</v>
      </c>
      <c r="E324" s="1">
        <v>45</v>
      </c>
      <c r="F324" s="7">
        <v>43635</v>
      </c>
      <c r="G324" s="8">
        <v>88045</v>
      </c>
      <c r="H324" s="9">
        <v>0</v>
      </c>
      <c r="I324" s="1" t="s">
        <v>29</v>
      </c>
      <c r="J324" s="1" t="s">
        <v>40</v>
      </c>
      <c r="K324" s="10" t="s">
        <v>36</v>
      </c>
    </row>
    <row r="325" spans="1:11" x14ac:dyDescent="0.25">
      <c r="A325" s="6" t="s">
        <v>41</v>
      </c>
      <c r="B325" s="1" t="s">
        <v>26</v>
      </c>
      <c r="C325" s="1" t="s">
        <v>39</v>
      </c>
      <c r="D325" s="1" t="s">
        <v>28</v>
      </c>
      <c r="E325" s="1">
        <v>45</v>
      </c>
      <c r="F325" s="7">
        <v>43185</v>
      </c>
      <c r="G325" s="8">
        <v>86478</v>
      </c>
      <c r="H325" s="9">
        <v>0.06</v>
      </c>
      <c r="I325" s="1" t="s">
        <v>29</v>
      </c>
      <c r="J325" s="1" t="s">
        <v>51</v>
      </c>
      <c r="K325" s="10" t="s">
        <v>36</v>
      </c>
    </row>
    <row r="326" spans="1:11" x14ac:dyDescent="0.25">
      <c r="A326" s="6" t="s">
        <v>56</v>
      </c>
      <c r="B326" s="1" t="s">
        <v>54</v>
      </c>
      <c r="C326" s="1" t="s">
        <v>32</v>
      </c>
      <c r="D326" s="1" t="s">
        <v>33</v>
      </c>
      <c r="E326" s="1">
        <v>63</v>
      </c>
      <c r="F326" s="7">
        <v>42387</v>
      </c>
      <c r="G326" s="8">
        <v>180994</v>
      </c>
      <c r="H326" s="9">
        <v>0.39</v>
      </c>
      <c r="I326" s="1" t="s">
        <v>29</v>
      </c>
      <c r="J326" s="1" t="s">
        <v>30</v>
      </c>
      <c r="K326" s="10" t="s">
        <v>36</v>
      </c>
    </row>
    <row r="327" spans="1:11" x14ac:dyDescent="0.25">
      <c r="A327" s="6" t="s">
        <v>66</v>
      </c>
      <c r="B327" s="1" t="s">
        <v>38</v>
      </c>
      <c r="C327" s="1" t="s">
        <v>27</v>
      </c>
      <c r="D327" s="1" t="s">
        <v>28</v>
      </c>
      <c r="E327" s="1">
        <v>55</v>
      </c>
      <c r="F327" s="7">
        <v>39418</v>
      </c>
      <c r="G327" s="8">
        <v>64494</v>
      </c>
      <c r="H327" s="9">
        <v>0</v>
      </c>
      <c r="I327" s="1" t="s">
        <v>29</v>
      </c>
      <c r="J327" s="1" t="s">
        <v>58</v>
      </c>
      <c r="K327" s="10" t="s">
        <v>36</v>
      </c>
    </row>
    <row r="328" spans="1:11" x14ac:dyDescent="0.25">
      <c r="A328" s="6" t="s">
        <v>44</v>
      </c>
      <c r="B328" s="1" t="s">
        <v>45</v>
      </c>
      <c r="C328" s="1" t="s">
        <v>32</v>
      </c>
      <c r="D328" s="1" t="s">
        <v>33</v>
      </c>
      <c r="E328" s="1">
        <v>47</v>
      </c>
      <c r="F328" s="7">
        <v>37550</v>
      </c>
      <c r="G328" s="8">
        <v>70122</v>
      </c>
      <c r="H328" s="9">
        <v>0</v>
      </c>
      <c r="I328" s="1" t="s">
        <v>29</v>
      </c>
      <c r="J328" s="1" t="s">
        <v>58</v>
      </c>
      <c r="K328" s="10" t="s">
        <v>36</v>
      </c>
    </row>
    <row r="329" spans="1:11" x14ac:dyDescent="0.25">
      <c r="A329" s="6" t="s">
        <v>37</v>
      </c>
      <c r="B329" s="1" t="s">
        <v>50</v>
      </c>
      <c r="C329" s="1" t="s">
        <v>32</v>
      </c>
      <c r="D329" s="1" t="s">
        <v>33</v>
      </c>
      <c r="E329" s="1">
        <v>29</v>
      </c>
      <c r="F329" s="7">
        <v>42785</v>
      </c>
      <c r="G329" s="8">
        <v>181854</v>
      </c>
      <c r="H329" s="9">
        <v>0.28999999999999998</v>
      </c>
      <c r="I329" s="1" t="s">
        <v>29</v>
      </c>
      <c r="J329" s="1" t="s">
        <v>30</v>
      </c>
      <c r="K329" s="10">
        <v>43945</v>
      </c>
    </row>
    <row r="330" spans="1:11" x14ac:dyDescent="0.25">
      <c r="A330" s="6" t="s">
        <v>74</v>
      </c>
      <c r="B330" s="1" t="s">
        <v>52</v>
      </c>
      <c r="C330" s="1" t="s">
        <v>39</v>
      </c>
      <c r="D330" s="1" t="s">
        <v>28</v>
      </c>
      <c r="E330" s="1">
        <v>34</v>
      </c>
      <c r="F330" s="7">
        <v>42664</v>
      </c>
      <c r="G330" s="8">
        <v>52811</v>
      </c>
      <c r="H330" s="9">
        <v>0</v>
      </c>
      <c r="I330" s="1" t="s">
        <v>29</v>
      </c>
      <c r="J330" s="1" t="s">
        <v>49</v>
      </c>
      <c r="K330" s="10" t="s">
        <v>36</v>
      </c>
    </row>
    <row r="331" spans="1:11" x14ac:dyDescent="0.25">
      <c r="A331" s="6" t="s">
        <v>83</v>
      </c>
      <c r="B331" s="1" t="s">
        <v>26</v>
      </c>
      <c r="C331" s="1" t="s">
        <v>27</v>
      </c>
      <c r="D331" s="1" t="s">
        <v>28</v>
      </c>
      <c r="E331" s="1">
        <v>28</v>
      </c>
      <c r="F331" s="7">
        <v>43763</v>
      </c>
      <c r="G331" s="8">
        <v>50111</v>
      </c>
      <c r="H331" s="9">
        <v>0</v>
      </c>
      <c r="I331" s="1" t="s">
        <v>34</v>
      </c>
      <c r="J331" s="1" t="s">
        <v>68</v>
      </c>
      <c r="K331" s="10" t="s">
        <v>36</v>
      </c>
    </row>
    <row r="332" spans="1:11" x14ac:dyDescent="0.25">
      <c r="A332" s="6" t="s">
        <v>87</v>
      </c>
      <c r="B332" s="1" t="s">
        <v>26</v>
      </c>
      <c r="C332" s="1" t="s">
        <v>32</v>
      </c>
      <c r="D332" s="1" t="s">
        <v>33</v>
      </c>
      <c r="E332" s="1">
        <v>31</v>
      </c>
      <c r="F332" s="7">
        <v>42497</v>
      </c>
      <c r="G332" s="8">
        <v>71192</v>
      </c>
      <c r="H332" s="9">
        <v>0</v>
      </c>
      <c r="I332" s="1" t="s">
        <v>29</v>
      </c>
      <c r="J332" s="1" t="s">
        <v>51</v>
      </c>
      <c r="K332" s="10" t="s">
        <v>36</v>
      </c>
    </row>
    <row r="333" spans="1:11" x14ac:dyDescent="0.25">
      <c r="A333" s="6" t="s">
        <v>37</v>
      </c>
      <c r="B333" s="1" t="s">
        <v>45</v>
      </c>
      <c r="C333" s="1" t="s">
        <v>32</v>
      </c>
      <c r="D333" s="1" t="s">
        <v>28</v>
      </c>
      <c r="E333" s="1">
        <v>50</v>
      </c>
      <c r="F333" s="7">
        <v>43452</v>
      </c>
      <c r="G333" s="8">
        <v>155351</v>
      </c>
      <c r="H333" s="9">
        <v>0.2</v>
      </c>
      <c r="I333" s="1" t="s">
        <v>29</v>
      </c>
      <c r="J333" s="1" t="s">
        <v>30</v>
      </c>
      <c r="K333" s="10" t="s">
        <v>36</v>
      </c>
    </row>
    <row r="334" spans="1:11" x14ac:dyDescent="0.25">
      <c r="A334" s="6" t="s">
        <v>37</v>
      </c>
      <c r="B334" s="1" t="s">
        <v>52</v>
      </c>
      <c r="C334" s="1" t="s">
        <v>39</v>
      </c>
      <c r="D334" s="1" t="s">
        <v>33</v>
      </c>
      <c r="E334" s="1">
        <v>39</v>
      </c>
      <c r="F334" s="7">
        <v>39049</v>
      </c>
      <c r="G334" s="8">
        <v>161690</v>
      </c>
      <c r="H334" s="9">
        <v>0.28999999999999998</v>
      </c>
      <c r="I334" s="1" t="s">
        <v>34</v>
      </c>
      <c r="J334" s="1" t="s">
        <v>64</v>
      </c>
      <c r="K334" s="10" t="s">
        <v>36</v>
      </c>
    </row>
    <row r="335" spans="1:11" x14ac:dyDescent="0.25">
      <c r="A335" s="6" t="s">
        <v>80</v>
      </c>
      <c r="B335" s="1" t="s">
        <v>54</v>
      </c>
      <c r="C335" s="1" t="s">
        <v>39</v>
      </c>
      <c r="D335" s="1" t="s">
        <v>28</v>
      </c>
      <c r="E335" s="1">
        <v>35</v>
      </c>
      <c r="F335" s="7">
        <v>42776</v>
      </c>
      <c r="G335" s="8">
        <v>60132</v>
      </c>
      <c r="H335" s="9">
        <v>0</v>
      </c>
      <c r="I335" s="1" t="s">
        <v>34</v>
      </c>
      <c r="J335" s="1" t="s">
        <v>35</v>
      </c>
      <c r="K335" s="10" t="s">
        <v>36</v>
      </c>
    </row>
    <row r="336" spans="1:11" x14ac:dyDescent="0.25">
      <c r="A336" s="6" t="s">
        <v>78</v>
      </c>
      <c r="B336" s="1" t="s">
        <v>26</v>
      </c>
      <c r="C336" s="1" t="s">
        <v>32</v>
      </c>
      <c r="D336" s="1" t="s">
        <v>33</v>
      </c>
      <c r="E336" s="1">
        <v>54</v>
      </c>
      <c r="F336" s="7">
        <v>34631</v>
      </c>
      <c r="G336" s="8">
        <v>87216</v>
      </c>
      <c r="H336" s="9">
        <v>0</v>
      </c>
      <c r="I336" s="1" t="s">
        <v>29</v>
      </c>
      <c r="J336" s="1" t="s">
        <v>49</v>
      </c>
      <c r="K336" s="10" t="s">
        <v>36</v>
      </c>
    </row>
    <row r="337" spans="1:11" x14ac:dyDescent="0.25">
      <c r="A337" s="6" t="s">
        <v>83</v>
      </c>
      <c r="B337" s="1" t="s">
        <v>26</v>
      </c>
      <c r="C337" s="1" t="s">
        <v>46</v>
      </c>
      <c r="D337" s="1" t="s">
        <v>33</v>
      </c>
      <c r="E337" s="1">
        <v>47</v>
      </c>
      <c r="F337" s="7">
        <v>43944</v>
      </c>
      <c r="G337" s="8">
        <v>50069</v>
      </c>
      <c r="H337" s="9">
        <v>0</v>
      </c>
      <c r="I337" s="1" t="s">
        <v>29</v>
      </c>
      <c r="J337" s="1" t="s">
        <v>30</v>
      </c>
      <c r="K337" s="10" t="s">
        <v>36</v>
      </c>
    </row>
    <row r="338" spans="1:11" x14ac:dyDescent="0.25">
      <c r="A338" s="6" t="s">
        <v>37</v>
      </c>
      <c r="B338" s="1" t="s">
        <v>26</v>
      </c>
      <c r="C338" s="1" t="s">
        <v>39</v>
      </c>
      <c r="D338" s="1" t="s">
        <v>28</v>
      </c>
      <c r="E338" s="1">
        <v>26</v>
      </c>
      <c r="F338" s="7">
        <v>44403</v>
      </c>
      <c r="G338" s="8">
        <v>151108</v>
      </c>
      <c r="H338" s="9">
        <v>0.22</v>
      </c>
      <c r="I338" s="1" t="s">
        <v>29</v>
      </c>
      <c r="J338" s="1" t="s">
        <v>43</v>
      </c>
      <c r="K338" s="10" t="s">
        <v>36</v>
      </c>
    </row>
    <row r="339" spans="1:11" x14ac:dyDescent="0.25">
      <c r="A339" s="6" t="s">
        <v>41</v>
      </c>
      <c r="B339" s="1" t="s">
        <v>26</v>
      </c>
      <c r="C339" s="1" t="s">
        <v>32</v>
      </c>
      <c r="D339" s="1" t="s">
        <v>28</v>
      </c>
      <c r="E339" s="1">
        <v>42</v>
      </c>
      <c r="F339" s="7">
        <v>38640</v>
      </c>
      <c r="G339" s="8">
        <v>67398</v>
      </c>
      <c r="H339" s="9">
        <v>7.0000000000000007E-2</v>
      </c>
      <c r="I339" s="1" t="s">
        <v>29</v>
      </c>
      <c r="J339" s="1" t="s">
        <v>43</v>
      </c>
      <c r="K339" s="10" t="s">
        <v>36</v>
      </c>
    </row>
    <row r="340" spans="1:11" x14ac:dyDescent="0.25">
      <c r="A340" s="6" t="s">
        <v>80</v>
      </c>
      <c r="B340" s="1" t="s">
        <v>54</v>
      </c>
      <c r="C340" s="1" t="s">
        <v>27</v>
      </c>
      <c r="D340" s="1" t="s">
        <v>28</v>
      </c>
      <c r="E340" s="1">
        <v>47</v>
      </c>
      <c r="F340" s="7">
        <v>42245</v>
      </c>
      <c r="G340" s="8">
        <v>68488</v>
      </c>
      <c r="H340" s="9">
        <v>0</v>
      </c>
      <c r="I340" s="1" t="s">
        <v>29</v>
      </c>
      <c r="J340" s="1" t="s">
        <v>30</v>
      </c>
      <c r="K340" s="10" t="s">
        <v>36</v>
      </c>
    </row>
    <row r="341" spans="1:11" x14ac:dyDescent="0.25">
      <c r="A341" s="6" t="s">
        <v>62</v>
      </c>
      <c r="B341" s="1" t="s">
        <v>54</v>
      </c>
      <c r="C341" s="1" t="s">
        <v>32</v>
      </c>
      <c r="D341" s="1" t="s">
        <v>28</v>
      </c>
      <c r="E341" s="1">
        <v>60</v>
      </c>
      <c r="F341" s="7">
        <v>35992</v>
      </c>
      <c r="G341" s="8">
        <v>92932</v>
      </c>
      <c r="H341" s="9">
        <v>0</v>
      </c>
      <c r="I341" s="1" t="s">
        <v>29</v>
      </c>
      <c r="J341" s="1" t="s">
        <v>58</v>
      </c>
      <c r="K341" s="10" t="s">
        <v>36</v>
      </c>
    </row>
    <row r="342" spans="1:11" x14ac:dyDescent="0.25">
      <c r="A342" s="6" t="s">
        <v>48</v>
      </c>
      <c r="B342" s="1" t="s">
        <v>38</v>
      </c>
      <c r="C342" s="1" t="s">
        <v>46</v>
      </c>
      <c r="D342" s="1" t="s">
        <v>28</v>
      </c>
      <c r="E342" s="1">
        <v>36</v>
      </c>
      <c r="F342" s="7">
        <v>39994</v>
      </c>
      <c r="G342" s="8">
        <v>43363</v>
      </c>
      <c r="H342" s="9">
        <v>0</v>
      </c>
      <c r="I342" s="1" t="s">
        <v>29</v>
      </c>
      <c r="J342" s="1" t="s">
        <v>51</v>
      </c>
      <c r="K342" s="10" t="s">
        <v>36</v>
      </c>
    </row>
    <row r="343" spans="1:11" x14ac:dyDescent="0.25">
      <c r="A343" s="6" t="s">
        <v>86</v>
      </c>
      <c r="B343" s="1" t="s">
        <v>26</v>
      </c>
      <c r="C343" s="1" t="s">
        <v>39</v>
      </c>
      <c r="D343" s="1" t="s">
        <v>33</v>
      </c>
      <c r="E343" s="1">
        <v>31</v>
      </c>
      <c r="F343" s="7">
        <v>42780</v>
      </c>
      <c r="G343" s="8">
        <v>95963</v>
      </c>
      <c r="H343" s="9">
        <v>0</v>
      </c>
      <c r="I343" s="1" t="s">
        <v>34</v>
      </c>
      <c r="J343" s="1" t="s">
        <v>68</v>
      </c>
      <c r="K343" s="10" t="s">
        <v>36</v>
      </c>
    </row>
    <row r="344" spans="1:11" x14ac:dyDescent="0.25">
      <c r="A344" s="6" t="s">
        <v>47</v>
      </c>
      <c r="B344" s="1" t="s">
        <v>38</v>
      </c>
      <c r="C344" s="1" t="s">
        <v>39</v>
      </c>
      <c r="D344" s="1" t="s">
        <v>28</v>
      </c>
      <c r="E344" s="1">
        <v>55</v>
      </c>
      <c r="F344" s="7">
        <v>40297</v>
      </c>
      <c r="G344" s="8">
        <v>111038</v>
      </c>
      <c r="H344" s="9">
        <v>0.05</v>
      </c>
      <c r="I344" s="1" t="s">
        <v>59</v>
      </c>
      <c r="J344" s="1" t="s">
        <v>76</v>
      </c>
      <c r="K344" s="10" t="s">
        <v>36</v>
      </c>
    </row>
    <row r="345" spans="1:11" x14ac:dyDescent="0.25">
      <c r="A345" s="6" t="s">
        <v>56</v>
      </c>
      <c r="B345" s="1" t="s">
        <v>54</v>
      </c>
      <c r="C345" s="1" t="s">
        <v>27</v>
      </c>
      <c r="D345" s="1" t="s">
        <v>28</v>
      </c>
      <c r="E345" s="1">
        <v>51</v>
      </c>
      <c r="F345" s="7">
        <v>35230</v>
      </c>
      <c r="G345" s="8">
        <v>200246</v>
      </c>
      <c r="H345" s="9">
        <v>0.34</v>
      </c>
      <c r="I345" s="1" t="s">
        <v>29</v>
      </c>
      <c r="J345" s="1" t="s">
        <v>58</v>
      </c>
      <c r="K345" s="10" t="s">
        <v>36</v>
      </c>
    </row>
    <row r="346" spans="1:11" x14ac:dyDescent="0.25">
      <c r="A346" s="6" t="s">
        <v>56</v>
      </c>
      <c r="B346" s="1" t="s">
        <v>26</v>
      </c>
      <c r="C346" s="1" t="s">
        <v>46</v>
      </c>
      <c r="D346" s="1" t="s">
        <v>28</v>
      </c>
      <c r="E346" s="1">
        <v>48</v>
      </c>
      <c r="F346" s="7">
        <v>42053</v>
      </c>
      <c r="G346" s="8">
        <v>194871</v>
      </c>
      <c r="H346" s="9">
        <v>0.35</v>
      </c>
      <c r="I346" s="1" t="s">
        <v>29</v>
      </c>
      <c r="J346" s="1" t="s">
        <v>58</v>
      </c>
      <c r="K346" s="10" t="s">
        <v>36</v>
      </c>
    </row>
    <row r="347" spans="1:11" x14ac:dyDescent="0.25">
      <c r="A347" s="6" t="s">
        <v>42</v>
      </c>
      <c r="B347" s="1" t="s">
        <v>50</v>
      </c>
      <c r="C347" s="1" t="s">
        <v>27</v>
      </c>
      <c r="D347" s="1" t="s">
        <v>33</v>
      </c>
      <c r="E347" s="1">
        <v>58</v>
      </c>
      <c r="F347" s="7">
        <v>34592</v>
      </c>
      <c r="G347" s="8">
        <v>98769</v>
      </c>
      <c r="H347" s="9">
        <v>0</v>
      </c>
      <c r="I347" s="1" t="s">
        <v>59</v>
      </c>
      <c r="J347" s="1" t="s">
        <v>61</v>
      </c>
      <c r="K347" s="10">
        <v>42646</v>
      </c>
    </row>
    <row r="348" spans="1:11" x14ac:dyDescent="0.25">
      <c r="A348" s="6" t="s">
        <v>44</v>
      </c>
      <c r="B348" s="1" t="s">
        <v>45</v>
      </c>
      <c r="C348" s="1" t="s">
        <v>27</v>
      </c>
      <c r="D348" s="1" t="s">
        <v>28</v>
      </c>
      <c r="E348" s="1">
        <v>29</v>
      </c>
      <c r="F348" s="7">
        <v>43239</v>
      </c>
      <c r="G348" s="8">
        <v>65334</v>
      </c>
      <c r="H348" s="9">
        <v>0</v>
      </c>
      <c r="I348" s="1" t="s">
        <v>59</v>
      </c>
      <c r="J348" s="1" t="s">
        <v>61</v>
      </c>
      <c r="K348" s="10" t="s">
        <v>36</v>
      </c>
    </row>
    <row r="349" spans="1:11" x14ac:dyDescent="0.25">
      <c r="A349" s="6" t="s">
        <v>31</v>
      </c>
      <c r="B349" s="1" t="s">
        <v>26</v>
      </c>
      <c r="C349" s="1" t="s">
        <v>32</v>
      </c>
      <c r="D349" s="1" t="s">
        <v>28</v>
      </c>
      <c r="E349" s="1">
        <v>25</v>
      </c>
      <c r="F349" s="7">
        <v>44327</v>
      </c>
      <c r="G349" s="8">
        <v>83934</v>
      </c>
      <c r="H349" s="9">
        <v>0</v>
      </c>
      <c r="I349" s="1" t="s">
        <v>29</v>
      </c>
      <c r="J349" s="1" t="s">
        <v>49</v>
      </c>
      <c r="K349" s="10" t="s">
        <v>36</v>
      </c>
    </row>
    <row r="350" spans="1:11" x14ac:dyDescent="0.25">
      <c r="A350" s="6" t="s">
        <v>37</v>
      </c>
      <c r="B350" s="1" t="s">
        <v>50</v>
      </c>
      <c r="C350" s="1" t="s">
        <v>27</v>
      </c>
      <c r="D350" s="1" t="s">
        <v>33</v>
      </c>
      <c r="E350" s="1">
        <v>36</v>
      </c>
      <c r="F350" s="7">
        <v>42616</v>
      </c>
      <c r="G350" s="8">
        <v>150399</v>
      </c>
      <c r="H350" s="9">
        <v>0.28000000000000003</v>
      </c>
      <c r="I350" s="1" t="s">
        <v>29</v>
      </c>
      <c r="J350" s="1" t="s">
        <v>40</v>
      </c>
      <c r="K350" s="10" t="s">
        <v>36</v>
      </c>
    </row>
    <row r="351" spans="1:11" x14ac:dyDescent="0.25">
      <c r="A351" s="6" t="s">
        <v>37</v>
      </c>
      <c r="B351" s="1" t="s">
        <v>52</v>
      </c>
      <c r="C351" s="1" t="s">
        <v>27</v>
      </c>
      <c r="D351" s="1" t="s">
        <v>33</v>
      </c>
      <c r="E351" s="1">
        <v>37</v>
      </c>
      <c r="F351" s="7">
        <v>41048</v>
      </c>
      <c r="G351" s="8">
        <v>160280</v>
      </c>
      <c r="H351" s="9">
        <v>0.19</v>
      </c>
      <c r="I351" s="1" t="s">
        <v>34</v>
      </c>
      <c r="J351" s="1" t="s">
        <v>64</v>
      </c>
      <c r="K351" s="10" t="s">
        <v>36</v>
      </c>
    </row>
    <row r="352" spans="1:11" x14ac:dyDescent="0.25">
      <c r="A352" s="6" t="s">
        <v>74</v>
      </c>
      <c r="B352" s="1" t="s">
        <v>52</v>
      </c>
      <c r="C352" s="1" t="s">
        <v>39</v>
      </c>
      <c r="D352" s="1" t="s">
        <v>33</v>
      </c>
      <c r="E352" s="1">
        <v>57</v>
      </c>
      <c r="F352" s="7">
        <v>35548</v>
      </c>
      <c r="G352" s="8">
        <v>54051</v>
      </c>
      <c r="H352" s="9">
        <v>0</v>
      </c>
      <c r="I352" s="1" t="s">
        <v>29</v>
      </c>
      <c r="J352" s="1" t="s">
        <v>49</v>
      </c>
      <c r="K352" s="10">
        <v>36079</v>
      </c>
    </row>
    <row r="353" spans="1:11" x14ac:dyDescent="0.25">
      <c r="A353" s="6" t="s">
        <v>37</v>
      </c>
      <c r="B353" s="1" t="s">
        <v>54</v>
      </c>
      <c r="C353" s="1" t="s">
        <v>27</v>
      </c>
      <c r="D353" s="1" t="s">
        <v>28</v>
      </c>
      <c r="E353" s="1">
        <v>59</v>
      </c>
      <c r="F353" s="7">
        <v>37726</v>
      </c>
      <c r="G353" s="8">
        <v>150699</v>
      </c>
      <c r="H353" s="9">
        <v>0.28999999999999998</v>
      </c>
      <c r="I353" s="1" t="s">
        <v>59</v>
      </c>
      <c r="J353" s="1" t="s">
        <v>76</v>
      </c>
      <c r="K353" s="10" t="s">
        <v>36</v>
      </c>
    </row>
    <row r="354" spans="1:11" x14ac:dyDescent="0.25">
      <c r="A354" s="6" t="s">
        <v>66</v>
      </c>
      <c r="B354" s="1" t="s">
        <v>57</v>
      </c>
      <c r="C354" s="1" t="s">
        <v>39</v>
      </c>
      <c r="D354" s="1" t="s">
        <v>33</v>
      </c>
      <c r="E354" s="1">
        <v>37</v>
      </c>
      <c r="F354" s="7">
        <v>41363</v>
      </c>
      <c r="G354" s="8">
        <v>69570</v>
      </c>
      <c r="H354" s="9">
        <v>0</v>
      </c>
      <c r="I354" s="1" t="s">
        <v>29</v>
      </c>
      <c r="J354" s="1" t="s">
        <v>49</v>
      </c>
      <c r="K354" s="10" t="s">
        <v>36</v>
      </c>
    </row>
    <row r="355" spans="1:11" x14ac:dyDescent="0.25">
      <c r="A355" s="6" t="s">
        <v>86</v>
      </c>
      <c r="B355" s="1" t="s">
        <v>26</v>
      </c>
      <c r="C355" s="1" t="s">
        <v>32</v>
      </c>
      <c r="D355" s="1" t="s">
        <v>28</v>
      </c>
      <c r="E355" s="1">
        <v>30</v>
      </c>
      <c r="F355" s="7">
        <v>43553</v>
      </c>
      <c r="G355" s="8">
        <v>86774</v>
      </c>
      <c r="H355" s="9">
        <v>0</v>
      </c>
      <c r="I355" s="1" t="s">
        <v>34</v>
      </c>
      <c r="J355" s="1" t="s">
        <v>68</v>
      </c>
      <c r="K355" s="10" t="s">
        <v>36</v>
      </c>
    </row>
    <row r="356" spans="1:11" x14ac:dyDescent="0.25">
      <c r="A356" s="6" t="s">
        <v>70</v>
      </c>
      <c r="B356" s="1" t="s">
        <v>52</v>
      </c>
      <c r="C356" s="1" t="s">
        <v>32</v>
      </c>
      <c r="D356" s="1" t="s">
        <v>33</v>
      </c>
      <c r="E356" s="1">
        <v>49</v>
      </c>
      <c r="F356" s="7">
        <v>36979</v>
      </c>
      <c r="G356" s="8">
        <v>57606</v>
      </c>
      <c r="H356" s="9">
        <v>0</v>
      </c>
      <c r="I356" s="1" t="s">
        <v>29</v>
      </c>
      <c r="J356" s="1" t="s">
        <v>49</v>
      </c>
      <c r="K356" s="10" t="s">
        <v>36</v>
      </c>
    </row>
    <row r="357" spans="1:11" x14ac:dyDescent="0.25">
      <c r="A357" s="6" t="s">
        <v>25</v>
      </c>
      <c r="B357" s="1" t="s">
        <v>38</v>
      </c>
      <c r="C357" s="1" t="s">
        <v>46</v>
      </c>
      <c r="D357" s="1" t="s">
        <v>28</v>
      </c>
      <c r="E357" s="1">
        <v>48</v>
      </c>
      <c r="F357" s="7">
        <v>37144</v>
      </c>
      <c r="G357" s="8">
        <v>125730</v>
      </c>
      <c r="H357" s="9">
        <v>0.11</v>
      </c>
      <c r="I357" s="1" t="s">
        <v>34</v>
      </c>
      <c r="J357" s="1" t="s">
        <v>35</v>
      </c>
      <c r="K357" s="10" t="s">
        <v>36</v>
      </c>
    </row>
    <row r="358" spans="1:11" x14ac:dyDescent="0.25">
      <c r="A358" s="6" t="s">
        <v>82</v>
      </c>
      <c r="B358" s="1" t="s">
        <v>26</v>
      </c>
      <c r="C358" s="1" t="s">
        <v>27</v>
      </c>
      <c r="D358" s="1" t="s">
        <v>28</v>
      </c>
      <c r="E358" s="1">
        <v>51</v>
      </c>
      <c r="F358" s="7">
        <v>40964</v>
      </c>
      <c r="G358" s="8">
        <v>64170</v>
      </c>
      <c r="H358" s="9">
        <v>0</v>
      </c>
      <c r="I358" s="1" t="s">
        <v>29</v>
      </c>
      <c r="J358" s="1" t="s">
        <v>58</v>
      </c>
      <c r="K358" s="10" t="s">
        <v>36</v>
      </c>
    </row>
    <row r="359" spans="1:11" x14ac:dyDescent="0.25">
      <c r="A359" s="6" t="s">
        <v>69</v>
      </c>
      <c r="B359" s="1" t="s">
        <v>52</v>
      </c>
      <c r="C359" s="1" t="s">
        <v>39</v>
      </c>
      <c r="D359" s="1" t="s">
        <v>33</v>
      </c>
      <c r="E359" s="1">
        <v>56</v>
      </c>
      <c r="F359" s="7">
        <v>35816</v>
      </c>
      <c r="G359" s="8">
        <v>72303</v>
      </c>
      <c r="H359" s="9">
        <v>0</v>
      </c>
      <c r="I359" s="1" t="s">
        <v>29</v>
      </c>
      <c r="J359" s="1" t="s">
        <v>43</v>
      </c>
      <c r="K359" s="10" t="s">
        <v>36</v>
      </c>
    </row>
    <row r="360" spans="1:11" x14ac:dyDescent="0.25">
      <c r="A360" s="6" t="s">
        <v>47</v>
      </c>
      <c r="B360" s="1" t="s">
        <v>45</v>
      </c>
      <c r="C360" s="1" t="s">
        <v>27</v>
      </c>
      <c r="D360" s="1" t="s">
        <v>33</v>
      </c>
      <c r="E360" s="1">
        <v>36</v>
      </c>
      <c r="F360" s="7">
        <v>41116</v>
      </c>
      <c r="G360" s="8">
        <v>105891</v>
      </c>
      <c r="H360" s="9">
        <v>7.0000000000000007E-2</v>
      </c>
      <c r="I360" s="1" t="s">
        <v>29</v>
      </c>
      <c r="J360" s="1" t="s">
        <v>30</v>
      </c>
      <c r="K360" s="10" t="s">
        <v>36</v>
      </c>
    </row>
    <row r="361" spans="1:11" x14ac:dyDescent="0.25">
      <c r="A361" s="6" t="s">
        <v>56</v>
      </c>
      <c r="B361" s="1" t="s">
        <v>57</v>
      </c>
      <c r="C361" s="1" t="s">
        <v>39</v>
      </c>
      <c r="D361" s="1" t="s">
        <v>33</v>
      </c>
      <c r="E361" s="1">
        <v>38</v>
      </c>
      <c r="F361" s="7">
        <v>44433</v>
      </c>
      <c r="G361" s="8">
        <v>255230</v>
      </c>
      <c r="H361" s="9">
        <v>0.36</v>
      </c>
      <c r="I361" s="1" t="s">
        <v>29</v>
      </c>
      <c r="J361" s="1" t="s">
        <v>51</v>
      </c>
      <c r="K361" s="10" t="s">
        <v>36</v>
      </c>
    </row>
    <row r="362" spans="1:11" x14ac:dyDescent="0.25">
      <c r="A362" s="6" t="s">
        <v>66</v>
      </c>
      <c r="B362" s="1" t="s">
        <v>45</v>
      </c>
      <c r="C362" s="1" t="s">
        <v>32</v>
      </c>
      <c r="D362" s="1" t="s">
        <v>28</v>
      </c>
      <c r="E362" s="1">
        <v>56</v>
      </c>
      <c r="F362" s="7">
        <v>33770</v>
      </c>
      <c r="G362" s="8">
        <v>59591</v>
      </c>
      <c r="H362" s="9">
        <v>0</v>
      </c>
      <c r="I362" s="1" t="s">
        <v>59</v>
      </c>
      <c r="J362" s="1" t="s">
        <v>76</v>
      </c>
      <c r="K362" s="10" t="s">
        <v>36</v>
      </c>
    </row>
    <row r="363" spans="1:11" x14ac:dyDescent="0.25">
      <c r="A363" s="6" t="s">
        <v>56</v>
      </c>
      <c r="B363" s="1" t="s">
        <v>52</v>
      </c>
      <c r="C363" s="1" t="s">
        <v>32</v>
      </c>
      <c r="D363" s="1" t="s">
        <v>28</v>
      </c>
      <c r="E363" s="1">
        <v>52</v>
      </c>
      <c r="F363" s="7">
        <v>41113</v>
      </c>
      <c r="G363" s="8">
        <v>187048</v>
      </c>
      <c r="H363" s="9">
        <v>0.32</v>
      </c>
      <c r="I363" s="1" t="s">
        <v>34</v>
      </c>
      <c r="J363" s="1" t="s">
        <v>68</v>
      </c>
      <c r="K363" s="10" t="s">
        <v>36</v>
      </c>
    </row>
    <row r="364" spans="1:11" x14ac:dyDescent="0.25">
      <c r="A364" s="6" t="s">
        <v>66</v>
      </c>
      <c r="B364" s="1" t="s">
        <v>38</v>
      </c>
      <c r="C364" s="1" t="s">
        <v>39</v>
      </c>
      <c r="D364" s="1" t="s">
        <v>28</v>
      </c>
      <c r="E364" s="1">
        <v>53</v>
      </c>
      <c r="F364" s="7">
        <v>37296</v>
      </c>
      <c r="G364" s="8">
        <v>58605</v>
      </c>
      <c r="H364" s="9">
        <v>0</v>
      </c>
      <c r="I364" s="1" t="s">
        <v>29</v>
      </c>
      <c r="J364" s="1" t="s">
        <v>43</v>
      </c>
      <c r="K364" s="10" t="s">
        <v>36</v>
      </c>
    </row>
    <row r="365" spans="1:11" x14ac:dyDescent="0.25">
      <c r="A365" s="6" t="s">
        <v>37</v>
      </c>
      <c r="B365" s="1" t="s">
        <v>54</v>
      </c>
      <c r="C365" s="1" t="s">
        <v>46</v>
      </c>
      <c r="D365" s="1" t="s">
        <v>28</v>
      </c>
      <c r="E365" s="1">
        <v>60</v>
      </c>
      <c r="F365" s="7">
        <v>42739</v>
      </c>
      <c r="G365" s="8">
        <v>178502</v>
      </c>
      <c r="H365" s="9">
        <v>0.2</v>
      </c>
      <c r="I365" s="1" t="s">
        <v>29</v>
      </c>
      <c r="J365" s="1" t="s">
        <v>51</v>
      </c>
      <c r="K365" s="10" t="s">
        <v>36</v>
      </c>
    </row>
    <row r="366" spans="1:11" x14ac:dyDescent="0.25">
      <c r="A366" s="6" t="s">
        <v>47</v>
      </c>
      <c r="B366" s="1" t="s">
        <v>50</v>
      </c>
      <c r="C366" s="1" t="s">
        <v>39</v>
      </c>
      <c r="D366" s="1" t="s">
        <v>33</v>
      </c>
      <c r="E366" s="1">
        <v>63</v>
      </c>
      <c r="F366" s="7">
        <v>42214</v>
      </c>
      <c r="G366" s="8">
        <v>103724</v>
      </c>
      <c r="H366" s="9">
        <v>0.05</v>
      </c>
      <c r="I366" s="1" t="s">
        <v>34</v>
      </c>
      <c r="J366" s="1" t="s">
        <v>55</v>
      </c>
      <c r="K366" s="10" t="s">
        <v>36</v>
      </c>
    </row>
    <row r="367" spans="1:11" x14ac:dyDescent="0.25">
      <c r="A367" s="6" t="s">
        <v>37</v>
      </c>
      <c r="B367" s="1" t="s">
        <v>54</v>
      </c>
      <c r="C367" s="1" t="s">
        <v>27</v>
      </c>
      <c r="D367" s="1" t="s">
        <v>28</v>
      </c>
      <c r="E367" s="1">
        <v>37</v>
      </c>
      <c r="F367" s="7">
        <v>39528</v>
      </c>
      <c r="G367" s="8">
        <v>156277</v>
      </c>
      <c r="H367" s="9">
        <v>0.22</v>
      </c>
      <c r="I367" s="1" t="s">
        <v>59</v>
      </c>
      <c r="J367" s="1" t="s">
        <v>60</v>
      </c>
      <c r="K367" s="10" t="s">
        <v>36</v>
      </c>
    </row>
    <row r="368" spans="1:11" x14ac:dyDescent="0.25">
      <c r="A368" s="6" t="s">
        <v>71</v>
      </c>
      <c r="B368" s="1" t="s">
        <v>54</v>
      </c>
      <c r="C368" s="1" t="s">
        <v>27</v>
      </c>
      <c r="D368" s="1" t="s">
        <v>28</v>
      </c>
      <c r="E368" s="1">
        <v>30</v>
      </c>
      <c r="F368" s="7">
        <v>43086</v>
      </c>
      <c r="G368" s="8">
        <v>87744</v>
      </c>
      <c r="H368" s="9">
        <v>0</v>
      </c>
      <c r="I368" s="1" t="s">
        <v>59</v>
      </c>
      <c r="J368" s="1" t="s">
        <v>76</v>
      </c>
      <c r="K368" s="10" t="s">
        <v>36</v>
      </c>
    </row>
    <row r="369" spans="1:11" x14ac:dyDescent="0.25">
      <c r="A369" s="6" t="s">
        <v>66</v>
      </c>
      <c r="B369" s="1" t="s">
        <v>38</v>
      </c>
      <c r="C369" s="1" t="s">
        <v>32</v>
      </c>
      <c r="D369" s="1" t="s">
        <v>33</v>
      </c>
      <c r="E369" s="1">
        <v>30</v>
      </c>
      <c r="F369" s="7">
        <v>43542</v>
      </c>
      <c r="G369" s="8">
        <v>54714</v>
      </c>
      <c r="H369" s="9">
        <v>0</v>
      </c>
      <c r="I369" s="1" t="s">
        <v>29</v>
      </c>
      <c r="J369" s="1" t="s">
        <v>58</v>
      </c>
      <c r="K369" s="10" t="s">
        <v>36</v>
      </c>
    </row>
    <row r="370" spans="1:11" x14ac:dyDescent="0.25">
      <c r="A370" s="6" t="s">
        <v>67</v>
      </c>
      <c r="B370" s="1" t="s">
        <v>26</v>
      </c>
      <c r="C370" s="1" t="s">
        <v>46</v>
      </c>
      <c r="D370" s="1" t="s">
        <v>28</v>
      </c>
      <c r="E370" s="1">
        <v>45</v>
      </c>
      <c r="F370" s="7">
        <v>41511</v>
      </c>
      <c r="G370" s="8">
        <v>99169</v>
      </c>
      <c r="H370" s="9">
        <v>0</v>
      </c>
      <c r="I370" s="1" t="s">
        <v>34</v>
      </c>
      <c r="J370" s="1" t="s">
        <v>64</v>
      </c>
      <c r="K370" s="10" t="s">
        <v>36</v>
      </c>
    </row>
    <row r="371" spans="1:11" x14ac:dyDescent="0.25">
      <c r="A371" s="6" t="s">
        <v>25</v>
      </c>
      <c r="B371" s="1" t="s">
        <v>50</v>
      </c>
      <c r="C371" s="1" t="s">
        <v>27</v>
      </c>
      <c r="D371" s="1" t="s">
        <v>28</v>
      </c>
      <c r="E371" s="1">
        <v>55</v>
      </c>
      <c r="F371" s="7">
        <v>38888</v>
      </c>
      <c r="G371" s="8">
        <v>142628</v>
      </c>
      <c r="H371" s="9">
        <v>0.12</v>
      </c>
      <c r="I371" s="1" t="s">
        <v>34</v>
      </c>
      <c r="J371" s="1" t="s">
        <v>35</v>
      </c>
      <c r="K371" s="10" t="s">
        <v>36</v>
      </c>
    </row>
    <row r="372" spans="1:11" x14ac:dyDescent="0.25">
      <c r="A372" s="6" t="s">
        <v>42</v>
      </c>
      <c r="B372" s="1" t="s">
        <v>57</v>
      </c>
      <c r="C372" s="1" t="s">
        <v>32</v>
      </c>
      <c r="D372" s="1" t="s">
        <v>28</v>
      </c>
      <c r="E372" s="1">
        <v>33</v>
      </c>
      <c r="F372" s="7">
        <v>41756</v>
      </c>
      <c r="G372" s="8">
        <v>75869</v>
      </c>
      <c r="H372" s="9">
        <v>0</v>
      </c>
      <c r="I372" s="1" t="s">
        <v>59</v>
      </c>
      <c r="J372" s="1" t="s">
        <v>76</v>
      </c>
      <c r="K372" s="10" t="s">
        <v>36</v>
      </c>
    </row>
    <row r="373" spans="1:11" x14ac:dyDescent="0.25">
      <c r="A373" s="6" t="s">
        <v>78</v>
      </c>
      <c r="B373" s="1" t="s">
        <v>26</v>
      </c>
      <c r="C373" s="1" t="s">
        <v>32</v>
      </c>
      <c r="D373" s="1" t="s">
        <v>28</v>
      </c>
      <c r="E373" s="1">
        <v>65</v>
      </c>
      <c r="F373" s="7">
        <v>43234</v>
      </c>
      <c r="G373" s="8">
        <v>60985</v>
      </c>
      <c r="H373" s="9">
        <v>0</v>
      </c>
      <c r="I373" s="1" t="s">
        <v>29</v>
      </c>
      <c r="J373" s="1" t="s">
        <v>30</v>
      </c>
      <c r="K373" s="10" t="s">
        <v>36</v>
      </c>
    </row>
    <row r="374" spans="1:11" x14ac:dyDescent="0.25">
      <c r="A374" s="6" t="s">
        <v>25</v>
      </c>
      <c r="B374" s="1" t="s">
        <v>26</v>
      </c>
      <c r="C374" s="1" t="s">
        <v>27</v>
      </c>
      <c r="D374" s="1" t="s">
        <v>28</v>
      </c>
      <c r="E374" s="1">
        <v>60</v>
      </c>
      <c r="F374" s="7">
        <v>40383</v>
      </c>
      <c r="G374" s="8">
        <v>126911</v>
      </c>
      <c r="H374" s="9">
        <v>0.1</v>
      </c>
      <c r="I374" s="1" t="s">
        <v>34</v>
      </c>
      <c r="J374" s="1" t="s">
        <v>55</v>
      </c>
      <c r="K374" s="10" t="s">
        <v>36</v>
      </c>
    </row>
    <row r="375" spans="1:11" x14ac:dyDescent="0.25">
      <c r="A375" s="6" t="s">
        <v>56</v>
      </c>
      <c r="B375" s="1" t="s">
        <v>45</v>
      </c>
      <c r="C375" s="1" t="s">
        <v>27</v>
      </c>
      <c r="D375" s="1" t="s">
        <v>33</v>
      </c>
      <c r="E375" s="1">
        <v>56</v>
      </c>
      <c r="F375" s="7">
        <v>38042</v>
      </c>
      <c r="G375" s="8">
        <v>216949</v>
      </c>
      <c r="H375" s="9">
        <v>0.32</v>
      </c>
      <c r="I375" s="1" t="s">
        <v>34</v>
      </c>
      <c r="J375" s="1" t="s">
        <v>55</v>
      </c>
      <c r="K375" s="10" t="s">
        <v>36</v>
      </c>
    </row>
    <row r="376" spans="1:11" x14ac:dyDescent="0.25">
      <c r="A376" s="6" t="s">
        <v>37</v>
      </c>
      <c r="B376" s="1" t="s">
        <v>54</v>
      </c>
      <c r="C376" s="1" t="s">
        <v>32</v>
      </c>
      <c r="D376" s="1" t="s">
        <v>33</v>
      </c>
      <c r="E376" s="1">
        <v>53</v>
      </c>
      <c r="F376" s="7">
        <v>41204</v>
      </c>
      <c r="G376" s="8">
        <v>168510</v>
      </c>
      <c r="H376" s="9">
        <v>0.28999999999999998</v>
      </c>
      <c r="I376" s="1" t="s">
        <v>29</v>
      </c>
      <c r="J376" s="1" t="s">
        <v>30</v>
      </c>
      <c r="K376" s="10" t="s">
        <v>36</v>
      </c>
    </row>
    <row r="377" spans="1:11" x14ac:dyDescent="0.25">
      <c r="A377" s="6" t="s">
        <v>71</v>
      </c>
      <c r="B377" s="1" t="s">
        <v>54</v>
      </c>
      <c r="C377" s="1" t="s">
        <v>39</v>
      </c>
      <c r="D377" s="1" t="s">
        <v>28</v>
      </c>
      <c r="E377" s="1">
        <v>36</v>
      </c>
      <c r="F377" s="7">
        <v>42443</v>
      </c>
      <c r="G377" s="8">
        <v>85870</v>
      </c>
      <c r="H377" s="9">
        <v>0</v>
      </c>
      <c r="I377" s="1" t="s">
        <v>59</v>
      </c>
      <c r="J377" s="1" t="s">
        <v>76</v>
      </c>
      <c r="K377" s="10" t="s">
        <v>36</v>
      </c>
    </row>
    <row r="378" spans="1:11" x14ac:dyDescent="0.25">
      <c r="A378" s="6" t="s">
        <v>42</v>
      </c>
      <c r="B378" s="1" t="s">
        <v>57</v>
      </c>
      <c r="C378" s="1" t="s">
        <v>46</v>
      </c>
      <c r="D378" s="1" t="s">
        <v>28</v>
      </c>
      <c r="E378" s="1">
        <v>46</v>
      </c>
      <c r="F378" s="7">
        <v>37271</v>
      </c>
      <c r="G378" s="8">
        <v>86510</v>
      </c>
      <c r="H378" s="9">
        <v>0</v>
      </c>
      <c r="I378" s="1" t="s">
        <v>34</v>
      </c>
      <c r="J378" s="1" t="s">
        <v>64</v>
      </c>
      <c r="K378" s="10">
        <v>37623</v>
      </c>
    </row>
    <row r="379" spans="1:11" x14ac:dyDescent="0.25">
      <c r="A379" s="6" t="s">
        <v>47</v>
      </c>
      <c r="B379" s="1" t="s">
        <v>45</v>
      </c>
      <c r="C379" s="1" t="s">
        <v>39</v>
      </c>
      <c r="D379" s="1" t="s">
        <v>28</v>
      </c>
      <c r="E379" s="1">
        <v>38</v>
      </c>
      <c r="F379" s="7">
        <v>42999</v>
      </c>
      <c r="G379" s="8">
        <v>119647</v>
      </c>
      <c r="H379" s="9">
        <v>0.09</v>
      </c>
      <c r="I379" s="1" t="s">
        <v>59</v>
      </c>
      <c r="J379" s="1" t="s">
        <v>76</v>
      </c>
      <c r="K379" s="10" t="s">
        <v>36</v>
      </c>
    </row>
    <row r="380" spans="1:11" x14ac:dyDescent="0.25">
      <c r="A380" s="6" t="s">
        <v>67</v>
      </c>
      <c r="B380" s="1" t="s">
        <v>26</v>
      </c>
      <c r="C380" s="1" t="s">
        <v>27</v>
      </c>
      <c r="D380" s="1" t="s">
        <v>33</v>
      </c>
      <c r="E380" s="1">
        <v>62</v>
      </c>
      <c r="F380" s="7">
        <v>36996</v>
      </c>
      <c r="G380" s="8">
        <v>80921</v>
      </c>
      <c r="H380" s="9">
        <v>0</v>
      </c>
      <c r="I380" s="1" t="s">
        <v>29</v>
      </c>
      <c r="J380" s="1" t="s">
        <v>58</v>
      </c>
      <c r="K380" s="10" t="s">
        <v>36</v>
      </c>
    </row>
    <row r="381" spans="1:11" x14ac:dyDescent="0.25">
      <c r="A381" s="6" t="s">
        <v>63</v>
      </c>
      <c r="B381" s="1" t="s">
        <v>54</v>
      </c>
      <c r="C381" s="1" t="s">
        <v>27</v>
      </c>
      <c r="D381" s="1" t="s">
        <v>28</v>
      </c>
      <c r="E381" s="1">
        <v>61</v>
      </c>
      <c r="F381" s="7">
        <v>40193</v>
      </c>
      <c r="G381" s="8">
        <v>98110</v>
      </c>
      <c r="H381" s="9">
        <v>0.13</v>
      </c>
      <c r="I381" s="1" t="s">
        <v>29</v>
      </c>
      <c r="J381" s="1" t="s">
        <v>40</v>
      </c>
      <c r="K381" s="10" t="s">
        <v>36</v>
      </c>
    </row>
    <row r="382" spans="1:11" x14ac:dyDescent="0.25">
      <c r="A382" s="6" t="s">
        <v>78</v>
      </c>
      <c r="B382" s="1" t="s">
        <v>26</v>
      </c>
      <c r="C382" s="1" t="s">
        <v>39</v>
      </c>
      <c r="D382" s="1" t="s">
        <v>28</v>
      </c>
      <c r="E382" s="1">
        <v>59</v>
      </c>
      <c r="F382" s="7">
        <v>43028</v>
      </c>
      <c r="G382" s="8">
        <v>86831</v>
      </c>
      <c r="H382" s="9">
        <v>0</v>
      </c>
      <c r="I382" s="1" t="s">
        <v>29</v>
      </c>
      <c r="J382" s="1" t="s">
        <v>43</v>
      </c>
      <c r="K382" s="10" t="s">
        <v>36</v>
      </c>
    </row>
    <row r="383" spans="1:11" x14ac:dyDescent="0.25">
      <c r="A383" s="6" t="s">
        <v>31</v>
      </c>
      <c r="B383" s="1" t="s">
        <v>26</v>
      </c>
      <c r="C383" s="1" t="s">
        <v>39</v>
      </c>
      <c r="D383" s="1" t="s">
        <v>28</v>
      </c>
      <c r="E383" s="1">
        <v>49</v>
      </c>
      <c r="F383" s="7">
        <v>40431</v>
      </c>
      <c r="G383" s="8">
        <v>72826</v>
      </c>
      <c r="H383" s="9">
        <v>0</v>
      </c>
      <c r="I383" s="1" t="s">
        <v>34</v>
      </c>
      <c r="J383" s="1" t="s">
        <v>64</v>
      </c>
      <c r="K383" s="10" t="s">
        <v>36</v>
      </c>
    </row>
    <row r="384" spans="1:11" x14ac:dyDescent="0.25">
      <c r="A384" s="6" t="s">
        <v>37</v>
      </c>
      <c r="B384" s="1" t="s">
        <v>57</v>
      </c>
      <c r="C384" s="1" t="s">
        <v>32</v>
      </c>
      <c r="D384" s="1" t="s">
        <v>28</v>
      </c>
      <c r="E384" s="1">
        <v>64</v>
      </c>
      <c r="F384" s="7">
        <v>40588</v>
      </c>
      <c r="G384" s="8">
        <v>171217</v>
      </c>
      <c r="H384" s="9">
        <v>0.19</v>
      </c>
      <c r="I384" s="1" t="s">
        <v>29</v>
      </c>
      <c r="J384" s="1" t="s">
        <v>30</v>
      </c>
      <c r="K384" s="10" t="s">
        <v>36</v>
      </c>
    </row>
    <row r="385" spans="1:11" x14ac:dyDescent="0.25">
      <c r="A385" s="6" t="s">
        <v>47</v>
      </c>
      <c r="B385" s="1" t="s">
        <v>26</v>
      </c>
      <c r="C385" s="1" t="s">
        <v>27</v>
      </c>
      <c r="D385" s="1" t="s">
        <v>28</v>
      </c>
      <c r="E385" s="1">
        <v>57</v>
      </c>
      <c r="F385" s="7">
        <v>43948</v>
      </c>
      <c r="G385" s="8">
        <v>103058</v>
      </c>
      <c r="H385" s="9">
        <v>7.0000000000000007E-2</v>
      </c>
      <c r="I385" s="1" t="s">
        <v>29</v>
      </c>
      <c r="J385" s="1" t="s">
        <v>58</v>
      </c>
      <c r="K385" s="10" t="s">
        <v>36</v>
      </c>
    </row>
    <row r="386" spans="1:11" x14ac:dyDescent="0.25">
      <c r="A386" s="6" t="s">
        <v>47</v>
      </c>
      <c r="B386" s="1" t="s">
        <v>45</v>
      </c>
      <c r="C386" s="1" t="s">
        <v>39</v>
      </c>
      <c r="D386" s="1" t="s">
        <v>33</v>
      </c>
      <c r="E386" s="1">
        <v>52</v>
      </c>
      <c r="F386" s="7">
        <v>41858</v>
      </c>
      <c r="G386" s="8">
        <v>117062</v>
      </c>
      <c r="H386" s="9">
        <v>7.0000000000000007E-2</v>
      </c>
      <c r="I386" s="1" t="s">
        <v>29</v>
      </c>
      <c r="J386" s="1" t="s">
        <v>43</v>
      </c>
      <c r="K386" s="10" t="s">
        <v>36</v>
      </c>
    </row>
    <row r="387" spans="1:11" x14ac:dyDescent="0.25">
      <c r="A387" s="6" t="s">
        <v>25</v>
      </c>
      <c r="B387" s="1" t="s">
        <v>50</v>
      </c>
      <c r="C387" s="1" t="s">
        <v>39</v>
      </c>
      <c r="D387" s="1" t="s">
        <v>33</v>
      </c>
      <c r="E387" s="1">
        <v>40</v>
      </c>
      <c r="F387" s="7">
        <v>43488</v>
      </c>
      <c r="G387" s="8">
        <v>159031</v>
      </c>
      <c r="H387" s="9">
        <v>0.1</v>
      </c>
      <c r="I387" s="1" t="s">
        <v>29</v>
      </c>
      <c r="J387" s="1" t="s">
        <v>49</v>
      </c>
      <c r="K387" s="10" t="s">
        <v>36</v>
      </c>
    </row>
    <row r="388" spans="1:11" x14ac:dyDescent="0.25">
      <c r="A388" s="6" t="s">
        <v>25</v>
      </c>
      <c r="B388" s="1" t="s">
        <v>26</v>
      </c>
      <c r="C388" s="1" t="s">
        <v>27</v>
      </c>
      <c r="D388" s="1" t="s">
        <v>28</v>
      </c>
      <c r="E388" s="1">
        <v>49</v>
      </c>
      <c r="F388" s="7">
        <v>38000</v>
      </c>
      <c r="G388" s="8">
        <v>125086</v>
      </c>
      <c r="H388" s="9">
        <v>0.1</v>
      </c>
      <c r="I388" s="1" t="s">
        <v>59</v>
      </c>
      <c r="J388" s="1" t="s">
        <v>76</v>
      </c>
      <c r="K388" s="10" t="s">
        <v>36</v>
      </c>
    </row>
    <row r="389" spans="1:11" x14ac:dyDescent="0.25">
      <c r="A389" s="6" t="s">
        <v>82</v>
      </c>
      <c r="B389" s="1" t="s">
        <v>26</v>
      </c>
      <c r="C389" s="1" t="s">
        <v>39</v>
      </c>
      <c r="D389" s="1" t="s">
        <v>33</v>
      </c>
      <c r="E389" s="1">
        <v>43</v>
      </c>
      <c r="F389" s="7">
        <v>42467</v>
      </c>
      <c r="G389" s="8">
        <v>67976</v>
      </c>
      <c r="H389" s="9">
        <v>0</v>
      </c>
      <c r="I389" s="1" t="s">
        <v>29</v>
      </c>
      <c r="J389" s="1" t="s">
        <v>30</v>
      </c>
      <c r="K389" s="10" t="s">
        <v>36</v>
      </c>
    </row>
    <row r="390" spans="1:11" x14ac:dyDescent="0.25">
      <c r="A390" s="6" t="s">
        <v>66</v>
      </c>
      <c r="B390" s="1" t="s">
        <v>38</v>
      </c>
      <c r="C390" s="1" t="s">
        <v>39</v>
      </c>
      <c r="D390" s="1" t="s">
        <v>33</v>
      </c>
      <c r="E390" s="1">
        <v>31</v>
      </c>
      <c r="F390" s="7">
        <v>44308</v>
      </c>
      <c r="G390" s="8">
        <v>74215</v>
      </c>
      <c r="H390" s="9">
        <v>0</v>
      </c>
      <c r="I390" s="1" t="s">
        <v>29</v>
      </c>
      <c r="J390" s="1" t="s">
        <v>43</v>
      </c>
      <c r="K390" s="10" t="s">
        <v>36</v>
      </c>
    </row>
    <row r="391" spans="1:11" x14ac:dyDescent="0.25">
      <c r="A391" s="6" t="s">
        <v>37</v>
      </c>
      <c r="B391" s="1" t="s">
        <v>50</v>
      </c>
      <c r="C391" s="1" t="s">
        <v>32</v>
      </c>
      <c r="D391" s="1" t="s">
        <v>33</v>
      </c>
      <c r="E391" s="1">
        <v>55</v>
      </c>
      <c r="F391" s="7">
        <v>40340</v>
      </c>
      <c r="G391" s="8">
        <v>187389</v>
      </c>
      <c r="H391" s="9">
        <v>0.25</v>
      </c>
      <c r="I391" s="1" t="s">
        <v>34</v>
      </c>
      <c r="J391" s="1" t="s">
        <v>68</v>
      </c>
      <c r="K391" s="10" t="s">
        <v>36</v>
      </c>
    </row>
    <row r="392" spans="1:11" x14ac:dyDescent="0.25">
      <c r="A392" s="6" t="s">
        <v>25</v>
      </c>
      <c r="B392" s="1" t="s">
        <v>52</v>
      </c>
      <c r="C392" s="1" t="s">
        <v>39</v>
      </c>
      <c r="D392" s="1" t="s">
        <v>28</v>
      </c>
      <c r="E392" s="1">
        <v>41</v>
      </c>
      <c r="F392" s="7">
        <v>39747</v>
      </c>
      <c r="G392" s="8">
        <v>131841</v>
      </c>
      <c r="H392" s="9">
        <v>0.13</v>
      </c>
      <c r="I392" s="1" t="s">
        <v>29</v>
      </c>
      <c r="J392" s="1" t="s">
        <v>58</v>
      </c>
      <c r="K392" s="10" t="s">
        <v>36</v>
      </c>
    </row>
    <row r="393" spans="1:11" x14ac:dyDescent="0.25">
      <c r="A393" s="6" t="s">
        <v>42</v>
      </c>
      <c r="B393" s="1" t="s">
        <v>50</v>
      </c>
      <c r="C393" s="1" t="s">
        <v>27</v>
      </c>
      <c r="D393" s="1" t="s">
        <v>33</v>
      </c>
      <c r="E393" s="1">
        <v>34</v>
      </c>
      <c r="F393" s="7">
        <v>40750</v>
      </c>
      <c r="G393" s="8">
        <v>97231</v>
      </c>
      <c r="H393" s="9">
        <v>0</v>
      </c>
      <c r="I393" s="1" t="s">
        <v>34</v>
      </c>
      <c r="J393" s="1" t="s">
        <v>64</v>
      </c>
      <c r="K393" s="10" t="s">
        <v>36</v>
      </c>
    </row>
    <row r="394" spans="1:11" x14ac:dyDescent="0.25">
      <c r="A394" s="6" t="s">
        <v>25</v>
      </c>
      <c r="B394" s="1" t="s">
        <v>38</v>
      </c>
      <c r="C394" s="1" t="s">
        <v>46</v>
      </c>
      <c r="D394" s="1" t="s">
        <v>28</v>
      </c>
      <c r="E394" s="1">
        <v>41</v>
      </c>
      <c r="F394" s="7">
        <v>38060</v>
      </c>
      <c r="G394" s="8">
        <v>155004</v>
      </c>
      <c r="H394" s="9">
        <v>0.12</v>
      </c>
      <c r="I394" s="1" t="s">
        <v>29</v>
      </c>
      <c r="J394" s="1" t="s">
        <v>51</v>
      </c>
      <c r="K394" s="10" t="s">
        <v>36</v>
      </c>
    </row>
    <row r="395" spans="1:11" x14ac:dyDescent="0.25">
      <c r="A395" s="6" t="s">
        <v>83</v>
      </c>
      <c r="B395" s="1" t="s">
        <v>26</v>
      </c>
      <c r="C395" s="1" t="s">
        <v>32</v>
      </c>
      <c r="D395" s="1" t="s">
        <v>33</v>
      </c>
      <c r="E395" s="1">
        <v>40</v>
      </c>
      <c r="F395" s="7">
        <v>39293</v>
      </c>
      <c r="G395" s="8">
        <v>41859</v>
      </c>
      <c r="H395" s="9">
        <v>0</v>
      </c>
      <c r="I395" s="1" t="s">
        <v>29</v>
      </c>
      <c r="J395" s="1" t="s">
        <v>30</v>
      </c>
      <c r="K395" s="10" t="s">
        <v>36</v>
      </c>
    </row>
    <row r="396" spans="1:11" x14ac:dyDescent="0.25">
      <c r="A396" s="6" t="s">
        <v>65</v>
      </c>
      <c r="B396" s="1" t="s">
        <v>26</v>
      </c>
      <c r="C396" s="1" t="s">
        <v>32</v>
      </c>
      <c r="D396" s="1" t="s">
        <v>33</v>
      </c>
      <c r="E396" s="1">
        <v>42</v>
      </c>
      <c r="F396" s="7">
        <v>38984</v>
      </c>
      <c r="G396" s="8">
        <v>52733</v>
      </c>
      <c r="H396" s="9">
        <v>0</v>
      </c>
      <c r="I396" s="1" t="s">
        <v>29</v>
      </c>
      <c r="J396" s="1" t="s">
        <v>40</v>
      </c>
      <c r="K396" s="10" t="s">
        <v>36</v>
      </c>
    </row>
    <row r="397" spans="1:11" x14ac:dyDescent="0.25">
      <c r="A397" s="6" t="s">
        <v>56</v>
      </c>
      <c r="B397" s="1" t="s">
        <v>52</v>
      </c>
      <c r="C397" s="1" t="s">
        <v>46</v>
      </c>
      <c r="D397" s="1" t="s">
        <v>33</v>
      </c>
      <c r="E397" s="1">
        <v>31</v>
      </c>
      <c r="F397" s="7">
        <v>42250</v>
      </c>
      <c r="G397" s="8">
        <v>250953</v>
      </c>
      <c r="H397" s="9">
        <v>0.34</v>
      </c>
      <c r="I397" s="1" t="s">
        <v>29</v>
      </c>
      <c r="J397" s="1" t="s">
        <v>58</v>
      </c>
      <c r="K397" s="10" t="s">
        <v>36</v>
      </c>
    </row>
    <row r="398" spans="1:11" x14ac:dyDescent="0.25">
      <c r="A398" s="6" t="s">
        <v>37</v>
      </c>
      <c r="B398" s="1" t="s">
        <v>57</v>
      </c>
      <c r="C398" s="1" t="s">
        <v>27</v>
      </c>
      <c r="D398" s="1" t="s">
        <v>33</v>
      </c>
      <c r="E398" s="1">
        <v>49</v>
      </c>
      <c r="F398" s="7">
        <v>36210</v>
      </c>
      <c r="G398" s="8">
        <v>191807</v>
      </c>
      <c r="H398" s="9">
        <v>0.21</v>
      </c>
      <c r="I398" s="1" t="s">
        <v>34</v>
      </c>
      <c r="J398" s="1" t="s">
        <v>35</v>
      </c>
      <c r="K398" s="10" t="s">
        <v>36</v>
      </c>
    </row>
    <row r="399" spans="1:11" x14ac:dyDescent="0.25">
      <c r="A399" s="6" t="s">
        <v>31</v>
      </c>
      <c r="B399" s="1" t="s">
        <v>26</v>
      </c>
      <c r="C399" s="1" t="s">
        <v>39</v>
      </c>
      <c r="D399" s="1" t="s">
        <v>33</v>
      </c>
      <c r="E399" s="1">
        <v>42</v>
      </c>
      <c r="F399" s="7">
        <v>41813</v>
      </c>
      <c r="G399" s="8">
        <v>64677</v>
      </c>
      <c r="H399" s="9">
        <v>0</v>
      </c>
      <c r="I399" s="1" t="s">
        <v>34</v>
      </c>
      <c r="J399" s="1" t="s">
        <v>35</v>
      </c>
      <c r="K399" s="10" t="s">
        <v>36</v>
      </c>
    </row>
    <row r="400" spans="1:11" x14ac:dyDescent="0.25">
      <c r="A400" s="6" t="s">
        <v>25</v>
      </c>
      <c r="B400" s="1" t="s">
        <v>26</v>
      </c>
      <c r="C400" s="1" t="s">
        <v>46</v>
      </c>
      <c r="D400" s="1" t="s">
        <v>33</v>
      </c>
      <c r="E400" s="1">
        <v>46</v>
      </c>
      <c r="F400" s="7">
        <v>38244</v>
      </c>
      <c r="G400" s="8">
        <v>130274</v>
      </c>
      <c r="H400" s="9">
        <v>0.11</v>
      </c>
      <c r="I400" s="1" t="s">
        <v>29</v>
      </c>
      <c r="J400" s="1" t="s">
        <v>40</v>
      </c>
      <c r="K400" s="10" t="s">
        <v>36</v>
      </c>
    </row>
    <row r="401" spans="1:11" x14ac:dyDescent="0.25">
      <c r="A401" s="6" t="s">
        <v>78</v>
      </c>
      <c r="B401" s="1" t="s">
        <v>26</v>
      </c>
      <c r="C401" s="1" t="s">
        <v>27</v>
      </c>
      <c r="D401" s="1" t="s">
        <v>33</v>
      </c>
      <c r="E401" s="1">
        <v>37</v>
      </c>
      <c r="F401" s="7">
        <v>42922</v>
      </c>
      <c r="G401" s="8">
        <v>96331</v>
      </c>
      <c r="H401" s="9">
        <v>0</v>
      </c>
      <c r="I401" s="1" t="s">
        <v>34</v>
      </c>
      <c r="J401" s="1" t="s">
        <v>55</v>
      </c>
      <c r="K401" s="10" t="s">
        <v>36</v>
      </c>
    </row>
    <row r="402" spans="1:11" x14ac:dyDescent="0.25">
      <c r="A402" s="6" t="s">
        <v>25</v>
      </c>
      <c r="B402" s="1" t="s">
        <v>38</v>
      </c>
      <c r="C402" s="1" t="s">
        <v>27</v>
      </c>
      <c r="D402" s="1" t="s">
        <v>28</v>
      </c>
      <c r="E402" s="1">
        <v>51</v>
      </c>
      <c r="F402" s="7">
        <v>38835</v>
      </c>
      <c r="G402" s="8">
        <v>150758</v>
      </c>
      <c r="H402" s="9">
        <v>0.13</v>
      </c>
      <c r="I402" s="1" t="s">
        <v>29</v>
      </c>
      <c r="J402" s="1" t="s">
        <v>40</v>
      </c>
      <c r="K402" s="10">
        <v>39310</v>
      </c>
    </row>
    <row r="403" spans="1:11" x14ac:dyDescent="0.25">
      <c r="A403" s="6" t="s">
        <v>37</v>
      </c>
      <c r="B403" s="1" t="s">
        <v>54</v>
      </c>
      <c r="C403" s="1" t="s">
        <v>46</v>
      </c>
      <c r="D403" s="1" t="s">
        <v>33</v>
      </c>
      <c r="E403" s="1">
        <v>46</v>
      </c>
      <c r="F403" s="7">
        <v>41839</v>
      </c>
      <c r="G403" s="8">
        <v>173629</v>
      </c>
      <c r="H403" s="9">
        <v>0.21</v>
      </c>
      <c r="I403" s="1" t="s">
        <v>59</v>
      </c>
      <c r="J403" s="1" t="s">
        <v>76</v>
      </c>
      <c r="K403" s="10" t="s">
        <v>36</v>
      </c>
    </row>
    <row r="404" spans="1:11" x14ac:dyDescent="0.25">
      <c r="A404" s="6" t="s">
        <v>84</v>
      </c>
      <c r="B404" s="1" t="s">
        <v>26</v>
      </c>
      <c r="C404" s="1" t="s">
        <v>46</v>
      </c>
      <c r="D404" s="1" t="s">
        <v>33</v>
      </c>
      <c r="E404" s="1">
        <v>55</v>
      </c>
      <c r="F404" s="7">
        <v>35919</v>
      </c>
      <c r="G404" s="8">
        <v>62174</v>
      </c>
      <c r="H404" s="9">
        <v>0</v>
      </c>
      <c r="I404" s="1" t="s">
        <v>29</v>
      </c>
      <c r="J404" s="1" t="s">
        <v>40</v>
      </c>
      <c r="K404" s="10" t="s">
        <v>36</v>
      </c>
    </row>
    <row r="405" spans="1:11" x14ac:dyDescent="0.25">
      <c r="A405" s="6" t="s">
        <v>66</v>
      </c>
      <c r="B405" s="1" t="s">
        <v>50</v>
      </c>
      <c r="C405" s="1" t="s">
        <v>32</v>
      </c>
      <c r="D405" s="1" t="s">
        <v>33</v>
      </c>
      <c r="E405" s="1">
        <v>43</v>
      </c>
      <c r="F405" s="7">
        <v>43028</v>
      </c>
      <c r="G405" s="8">
        <v>56555</v>
      </c>
      <c r="H405" s="9">
        <v>0</v>
      </c>
      <c r="I405" s="1" t="s">
        <v>29</v>
      </c>
      <c r="J405" s="1" t="s">
        <v>43</v>
      </c>
      <c r="K405" s="10" t="s">
        <v>36</v>
      </c>
    </row>
    <row r="406" spans="1:11" x14ac:dyDescent="0.25">
      <c r="A406" s="6" t="s">
        <v>66</v>
      </c>
      <c r="B406" s="1" t="s">
        <v>57</v>
      </c>
      <c r="C406" s="1" t="s">
        <v>32</v>
      </c>
      <c r="D406" s="1" t="s">
        <v>33</v>
      </c>
      <c r="E406" s="1">
        <v>48</v>
      </c>
      <c r="F406" s="7">
        <v>38623</v>
      </c>
      <c r="G406" s="8">
        <v>74655</v>
      </c>
      <c r="H406" s="9">
        <v>0</v>
      </c>
      <c r="I406" s="1" t="s">
        <v>29</v>
      </c>
      <c r="J406" s="1" t="s">
        <v>51</v>
      </c>
      <c r="K406" s="10" t="s">
        <v>36</v>
      </c>
    </row>
    <row r="407" spans="1:11" x14ac:dyDescent="0.25">
      <c r="A407" s="6" t="s">
        <v>82</v>
      </c>
      <c r="B407" s="1" t="s">
        <v>26</v>
      </c>
      <c r="C407" s="1" t="s">
        <v>46</v>
      </c>
      <c r="D407" s="1" t="s">
        <v>33</v>
      </c>
      <c r="E407" s="1">
        <v>48</v>
      </c>
      <c r="F407" s="7">
        <v>37844</v>
      </c>
      <c r="G407" s="8">
        <v>93017</v>
      </c>
      <c r="H407" s="9">
        <v>0</v>
      </c>
      <c r="I407" s="1" t="s">
        <v>29</v>
      </c>
      <c r="J407" s="1" t="s">
        <v>30</v>
      </c>
      <c r="K407" s="10" t="s">
        <v>36</v>
      </c>
    </row>
    <row r="408" spans="1:11" x14ac:dyDescent="0.25">
      <c r="A408" s="6" t="s">
        <v>42</v>
      </c>
      <c r="B408" s="1" t="s">
        <v>57</v>
      </c>
      <c r="C408" s="1" t="s">
        <v>32</v>
      </c>
      <c r="D408" s="1" t="s">
        <v>33</v>
      </c>
      <c r="E408" s="1">
        <v>51</v>
      </c>
      <c r="F408" s="7">
        <v>41013</v>
      </c>
      <c r="G408" s="8">
        <v>82300</v>
      </c>
      <c r="H408" s="9">
        <v>0</v>
      </c>
      <c r="I408" s="1" t="s">
        <v>34</v>
      </c>
      <c r="J408" s="1" t="s">
        <v>68</v>
      </c>
      <c r="K408" s="10" t="s">
        <v>36</v>
      </c>
    </row>
    <row r="409" spans="1:11" x14ac:dyDescent="0.25">
      <c r="A409" s="6" t="s">
        <v>72</v>
      </c>
      <c r="B409" s="1" t="s">
        <v>54</v>
      </c>
      <c r="C409" s="1" t="s">
        <v>27</v>
      </c>
      <c r="D409" s="1" t="s">
        <v>28</v>
      </c>
      <c r="E409" s="1">
        <v>46</v>
      </c>
      <c r="F409" s="7">
        <v>39471</v>
      </c>
      <c r="G409" s="8">
        <v>91621</v>
      </c>
      <c r="H409" s="9">
        <v>0</v>
      </c>
      <c r="I409" s="1" t="s">
        <v>29</v>
      </c>
      <c r="J409" s="1" t="s">
        <v>40</v>
      </c>
      <c r="K409" s="10" t="s">
        <v>36</v>
      </c>
    </row>
    <row r="410" spans="1:11" x14ac:dyDescent="0.25">
      <c r="A410" s="6" t="s">
        <v>42</v>
      </c>
      <c r="B410" s="1" t="s">
        <v>57</v>
      </c>
      <c r="C410" s="1" t="s">
        <v>27</v>
      </c>
      <c r="D410" s="1" t="s">
        <v>33</v>
      </c>
      <c r="E410" s="1">
        <v>33</v>
      </c>
      <c r="F410" s="7">
        <v>41973</v>
      </c>
      <c r="G410" s="8">
        <v>91280</v>
      </c>
      <c r="H410" s="9">
        <v>0</v>
      </c>
      <c r="I410" s="1" t="s">
        <v>29</v>
      </c>
      <c r="J410" s="1" t="s">
        <v>49</v>
      </c>
      <c r="K410" s="10" t="s">
        <v>36</v>
      </c>
    </row>
    <row r="411" spans="1:11" x14ac:dyDescent="0.25">
      <c r="A411" s="6" t="s">
        <v>74</v>
      </c>
      <c r="B411" s="1" t="s">
        <v>52</v>
      </c>
      <c r="C411" s="1" t="s">
        <v>32</v>
      </c>
      <c r="D411" s="1" t="s">
        <v>28</v>
      </c>
      <c r="E411" s="1">
        <v>42</v>
      </c>
      <c r="F411" s="7">
        <v>44092</v>
      </c>
      <c r="G411" s="8">
        <v>47071</v>
      </c>
      <c r="H411" s="9">
        <v>0</v>
      </c>
      <c r="I411" s="1" t="s">
        <v>29</v>
      </c>
      <c r="J411" s="1" t="s">
        <v>58</v>
      </c>
      <c r="K411" s="10" t="s">
        <v>36</v>
      </c>
    </row>
    <row r="412" spans="1:11" x14ac:dyDescent="0.25">
      <c r="A412" s="6" t="s">
        <v>85</v>
      </c>
      <c r="B412" s="1" t="s">
        <v>26</v>
      </c>
      <c r="C412" s="1" t="s">
        <v>32</v>
      </c>
      <c r="D412" s="1" t="s">
        <v>28</v>
      </c>
      <c r="E412" s="1">
        <v>55</v>
      </c>
      <c r="F412" s="7">
        <v>40868</v>
      </c>
      <c r="G412" s="8">
        <v>81218</v>
      </c>
      <c r="H412" s="9">
        <v>0</v>
      </c>
      <c r="I412" s="1" t="s">
        <v>29</v>
      </c>
      <c r="J412" s="1" t="s">
        <v>40</v>
      </c>
      <c r="K412" s="10" t="s">
        <v>36</v>
      </c>
    </row>
    <row r="413" spans="1:11" x14ac:dyDescent="0.25">
      <c r="A413" s="6" t="s">
        <v>56</v>
      </c>
      <c r="B413" s="1" t="s">
        <v>54</v>
      </c>
      <c r="C413" s="1" t="s">
        <v>32</v>
      </c>
      <c r="D413" s="1" t="s">
        <v>28</v>
      </c>
      <c r="E413" s="1">
        <v>50</v>
      </c>
      <c r="F413" s="7">
        <v>39734</v>
      </c>
      <c r="G413" s="8">
        <v>181801</v>
      </c>
      <c r="H413" s="9">
        <v>0.4</v>
      </c>
      <c r="I413" s="1" t="s">
        <v>34</v>
      </c>
      <c r="J413" s="1" t="s">
        <v>35</v>
      </c>
      <c r="K413" s="10">
        <v>43810</v>
      </c>
    </row>
    <row r="414" spans="1:11" x14ac:dyDescent="0.25">
      <c r="A414" s="6" t="s">
        <v>44</v>
      </c>
      <c r="B414" s="1" t="s">
        <v>45</v>
      </c>
      <c r="C414" s="1" t="s">
        <v>32</v>
      </c>
      <c r="D414" s="1" t="s">
        <v>28</v>
      </c>
      <c r="E414" s="1">
        <v>26</v>
      </c>
      <c r="F414" s="7">
        <v>44521</v>
      </c>
      <c r="G414" s="8">
        <v>63137</v>
      </c>
      <c r="H414" s="9">
        <v>0</v>
      </c>
      <c r="I414" s="1" t="s">
        <v>29</v>
      </c>
      <c r="J414" s="1" t="s">
        <v>40</v>
      </c>
      <c r="K414" s="10" t="s">
        <v>36</v>
      </c>
    </row>
    <row r="415" spans="1:11" x14ac:dyDescent="0.25">
      <c r="A415" s="6" t="s">
        <v>56</v>
      </c>
      <c r="B415" s="1" t="s">
        <v>54</v>
      </c>
      <c r="C415" s="1" t="s">
        <v>32</v>
      </c>
      <c r="D415" s="1" t="s">
        <v>28</v>
      </c>
      <c r="E415" s="1">
        <v>55</v>
      </c>
      <c r="F415" s="7">
        <v>43345</v>
      </c>
      <c r="G415" s="8">
        <v>221465</v>
      </c>
      <c r="H415" s="9">
        <v>0.34</v>
      </c>
      <c r="I415" s="1" t="s">
        <v>34</v>
      </c>
      <c r="J415" s="1" t="s">
        <v>68</v>
      </c>
      <c r="K415" s="10" t="s">
        <v>36</v>
      </c>
    </row>
    <row r="416" spans="1:11" x14ac:dyDescent="0.25">
      <c r="A416" s="6" t="s">
        <v>62</v>
      </c>
      <c r="B416" s="1" t="s">
        <v>54</v>
      </c>
      <c r="C416" s="1" t="s">
        <v>27</v>
      </c>
      <c r="D416" s="1" t="s">
        <v>28</v>
      </c>
      <c r="E416" s="1">
        <v>50</v>
      </c>
      <c r="F416" s="7">
        <v>41404</v>
      </c>
      <c r="G416" s="8">
        <v>79388</v>
      </c>
      <c r="H416" s="9">
        <v>0</v>
      </c>
      <c r="I416" s="1" t="s">
        <v>29</v>
      </c>
      <c r="J416" s="1" t="s">
        <v>51</v>
      </c>
      <c r="K416" s="10">
        <v>43681</v>
      </c>
    </row>
    <row r="417" spans="1:11" x14ac:dyDescent="0.25">
      <c r="A417" s="6" t="s">
        <v>84</v>
      </c>
      <c r="B417" s="1" t="s">
        <v>26</v>
      </c>
      <c r="C417" s="1" t="s">
        <v>32</v>
      </c>
      <c r="D417" s="1" t="s">
        <v>28</v>
      </c>
      <c r="E417" s="1">
        <v>28</v>
      </c>
      <c r="F417" s="7">
        <v>43122</v>
      </c>
      <c r="G417" s="8">
        <v>68176</v>
      </c>
      <c r="H417" s="9">
        <v>0</v>
      </c>
      <c r="I417" s="1" t="s">
        <v>29</v>
      </c>
      <c r="J417" s="1" t="s">
        <v>30</v>
      </c>
      <c r="K417" s="10" t="s">
        <v>36</v>
      </c>
    </row>
    <row r="418" spans="1:11" x14ac:dyDescent="0.25">
      <c r="A418" s="6" t="s">
        <v>25</v>
      </c>
      <c r="B418" s="1" t="s">
        <v>38</v>
      </c>
      <c r="C418" s="1" t="s">
        <v>27</v>
      </c>
      <c r="D418" s="1" t="s">
        <v>28</v>
      </c>
      <c r="E418" s="1">
        <v>39</v>
      </c>
      <c r="F418" s="7">
        <v>43756</v>
      </c>
      <c r="G418" s="8">
        <v>122829</v>
      </c>
      <c r="H418" s="9">
        <v>0.11</v>
      </c>
      <c r="I418" s="1" t="s">
        <v>29</v>
      </c>
      <c r="J418" s="1" t="s">
        <v>40</v>
      </c>
      <c r="K418" s="10" t="s">
        <v>36</v>
      </c>
    </row>
    <row r="419" spans="1:11" x14ac:dyDescent="0.25">
      <c r="A419" s="6" t="s">
        <v>25</v>
      </c>
      <c r="B419" s="1" t="s">
        <v>57</v>
      </c>
      <c r="C419" s="1" t="s">
        <v>39</v>
      </c>
      <c r="D419" s="1" t="s">
        <v>28</v>
      </c>
      <c r="E419" s="1">
        <v>31</v>
      </c>
      <c r="F419" s="7">
        <v>43695</v>
      </c>
      <c r="G419" s="8">
        <v>126353</v>
      </c>
      <c r="H419" s="9">
        <v>0.12</v>
      </c>
      <c r="I419" s="1" t="s">
        <v>34</v>
      </c>
      <c r="J419" s="1" t="s">
        <v>55</v>
      </c>
      <c r="K419" s="10" t="s">
        <v>36</v>
      </c>
    </row>
    <row r="420" spans="1:11" x14ac:dyDescent="0.25">
      <c r="A420" s="6" t="s">
        <v>37</v>
      </c>
      <c r="B420" s="1" t="s">
        <v>50</v>
      </c>
      <c r="C420" s="1" t="s">
        <v>39</v>
      </c>
      <c r="D420" s="1" t="s">
        <v>28</v>
      </c>
      <c r="E420" s="1">
        <v>55</v>
      </c>
      <c r="F420" s="7">
        <v>40468</v>
      </c>
      <c r="G420" s="8">
        <v>188727</v>
      </c>
      <c r="H420" s="9">
        <v>0.23</v>
      </c>
      <c r="I420" s="1" t="s">
        <v>34</v>
      </c>
      <c r="J420" s="1" t="s">
        <v>68</v>
      </c>
      <c r="K420" s="10" t="s">
        <v>36</v>
      </c>
    </row>
    <row r="421" spans="1:11" x14ac:dyDescent="0.25">
      <c r="A421" s="6" t="s">
        <v>42</v>
      </c>
      <c r="B421" s="1" t="s">
        <v>45</v>
      </c>
      <c r="C421" s="1" t="s">
        <v>27</v>
      </c>
      <c r="D421" s="1" t="s">
        <v>33</v>
      </c>
      <c r="E421" s="1">
        <v>52</v>
      </c>
      <c r="F421" s="7">
        <v>34383</v>
      </c>
      <c r="G421" s="8">
        <v>99624</v>
      </c>
      <c r="H421" s="9">
        <v>0</v>
      </c>
      <c r="I421" s="1" t="s">
        <v>29</v>
      </c>
      <c r="J421" s="1" t="s">
        <v>30</v>
      </c>
      <c r="K421" s="10" t="s">
        <v>36</v>
      </c>
    </row>
    <row r="422" spans="1:11" x14ac:dyDescent="0.25">
      <c r="A422" s="6" t="s">
        <v>47</v>
      </c>
      <c r="B422" s="1" t="s">
        <v>45</v>
      </c>
      <c r="C422" s="1" t="s">
        <v>39</v>
      </c>
      <c r="D422" s="1" t="s">
        <v>28</v>
      </c>
      <c r="E422" s="1">
        <v>55</v>
      </c>
      <c r="F422" s="7">
        <v>41202</v>
      </c>
      <c r="G422" s="8">
        <v>108686</v>
      </c>
      <c r="H422" s="9">
        <v>0.06</v>
      </c>
      <c r="I422" s="1" t="s">
        <v>29</v>
      </c>
      <c r="J422" s="1" t="s">
        <v>58</v>
      </c>
      <c r="K422" s="10" t="s">
        <v>36</v>
      </c>
    </row>
    <row r="423" spans="1:11" x14ac:dyDescent="0.25">
      <c r="A423" s="6" t="s">
        <v>48</v>
      </c>
      <c r="B423" s="1" t="s">
        <v>50</v>
      </c>
      <c r="C423" s="1" t="s">
        <v>46</v>
      </c>
      <c r="D423" s="1" t="s">
        <v>28</v>
      </c>
      <c r="E423" s="1">
        <v>56</v>
      </c>
      <c r="F423" s="7">
        <v>34802</v>
      </c>
      <c r="G423" s="8">
        <v>50857</v>
      </c>
      <c r="H423" s="9">
        <v>0</v>
      </c>
      <c r="I423" s="1" t="s">
        <v>59</v>
      </c>
      <c r="J423" s="1" t="s">
        <v>60</v>
      </c>
      <c r="K423" s="10" t="s">
        <v>36</v>
      </c>
    </row>
    <row r="424" spans="1:11" x14ac:dyDescent="0.25">
      <c r="A424" s="6" t="s">
        <v>73</v>
      </c>
      <c r="B424" s="1" t="s">
        <v>54</v>
      </c>
      <c r="C424" s="1" t="s">
        <v>32</v>
      </c>
      <c r="D424" s="1" t="s">
        <v>33</v>
      </c>
      <c r="E424" s="1">
        <v>47</v>
      </c>
      <c r="F424" s="7">
        <v>36893</v>
      </c>
      <c r="G424" s="8">
        <v>120628</v>
      </c>
      <c r="H424" s="9">
        <v>0</v>
      </c>
      <c r="I424" s="1" t="s">
        <v>29</v>
      </c>
      <c r="J424" s="1" t="s">
        <v>40</v>
      </c>
      <c r="K424" s="10" t="s">
        <v>36</v>
      </c>
    </row>
    <row r="425" spans="1:11" x14ac:dyDescent="0.25">
      <c r="A425" s="6" t="s">
        <v>37</v>
      </c>
      <c r="B425" s="1" t="s">
        <v>45</v>
      </c>
      <c r="C425" s="1" t="s">
        <v>39</v>
      </c>
      <c r="D425" s="1" t="s">
        <v>28</v>
      </c>
      <c r="E425" s="1">
        <v>63</v>
      </c>
      <c r="F425" s="7">
        <v>43996</v>
      </c>
      <c r="G425" s="8">
        <v>181216</v>
      </c>
      <c r="H425" s="9">
        <v>0.27</v>
      </c>
      <c r="I425" s="1" t="s">
        <v>29</v>
      </c>
      <c r="J425" s="1" t="s">
        <v>58</v>
      </c>
      <c r="K425" s="10" t="s">
        <v>36</v>
      </c>
    </row>
    <row r="426" spans="1:11" x14ac:dyDescent="0.25">
      <c r="A426" s="6" t="s">
        <v>48</v>
      </c>
      <c r="B426" s="1" t="s">
        <v>38</v>
      </c>
      <c r="C426" s="1" t="s">
        <v>46</v>
      </c>
      <c r="D426" s="1" t="s">
        <v>28</v>
      </c>
      <c r="E426" s="1">
        <v>63</v>
      </c>
      <c r="F426" s="7">
        <v>40984</v>
      </c>
      <c r="G426" s="8">
        <v>46081</v>
      </c>
      <c r="H426" s="9">
        <v>0</v>
      </c>
      <c r="I426" s="1" t="s">
        <v>29</v>
      </c>
      <c r="J426" s="1" t="s">
        <v>40</v>
      </c>
      <c r="K426" s="10" t="s">
        <v>36</v>
      </c>
    </row>
    <row r="427" spans="1:11" x14ac:dyDescent="0.25">
      <c r="A427" s="6" t="s">
        <v>25</v>
      </c>
      <c r="B427" s="1" t="s">
        <v>50</v>
      </c>
      <c r="C427" s="1" t="s">
        <v>46</v>
      </c>
      <c r="D427" s="1" t="s">
        <v>28</v>
      </c>
      <c r="E427" s="1">
        <v>55</v>
      </c>
      <c r="F427" s="7">
        <v>38135</v>
      </c>
      <c r="G427" s="8">
        <v>159885</v>
      </c>
      <c r="H427" s="9">
        <v>0.12</v>
      </c>
      <c r="I427" s="1" t="s">
        <v>29</v>
      </c>
      <c r="J427" s="1" t="s">
        <v>58</v>
      </c>
      <c r="K427" s="10" t="s">
        <v>36</v>
      </c>
    </row>
    <row r="428" spans="1:11" x14ac:dyDescent="0.25">
      <c r="A428" s="6" t="s">
        <v>37</v>
      </c>
      <c r="B428" s="1" t="s">
        <v>45</v>
      </c>
      <c r="C428" s="1" t="s">
        <v>32</v>
      </c>
      <c r="D428" s="1" t="s">
        <v>28</v>
      </c>
      <c r="E428" s="1">
        <v>55</v>
      </c>
      <c r="F428" s="7">
        <v>35001</v>
      </c>
      <c r="G428" s="8">
        <v>153271</v>
      </c>
      <c r="H428" s="9">
        <v>0.15</v>
      </c>
      <c r="I428" s="1" t="s">
        <v>29</v>
      </c>
      <c r="J428" s="1" t="s">
        <v>51</v>
      </c>
      <c r="K428" s="10" t="s">
        <v>36</v>
      </c>
    </row>
    <row r="429" spans="1:11" x14ac:dyDescent="0.25">
      <c r="A429" s="6" t="s">
        <v>47</v>
      </c>
      <c r="B429" s="1" t="s">
        <v>52</v>
      </c>
      <c r="C429" s="1" t="s">
        <v>32</v>
      </c>
      <c r="D429" s="1" t="s">
        <v>33</v>
      </c>
      <c r="E429" s="1">
        <v>42</v>
      </c>
      <c r="F429" s="7">
        <v>40159</v>
      </c>
      <c r="G429" s="8">
        <v>114242</v>
      </c>
      <c r="H429" s="9">
        <v>0.08</v>
      </c>
      <c r="I429" s="1" t="s">
        <v>29</v>
      </c>
      <c r="J429" s="1" t="s">
        <v>43</v>
      </c>
      <c r="K429" s="10" t="s">
        <v>36</v>
      </c>
    </row>
    <row r="430" spans="1:11" x14ac:dyDescent="0.25">
      <c r="A430" s="6" t="s">
        <v>65</v>
      </c>
      <c r="B430" s="1" t="s">
        <v>26</v>
      </c>
      <c r="C430" s="1" t="s">
        <v>39</v>
      </c>
      <c r="D430" s="1" t="s">
        <v>28</v>
      </c>
      <c r="E430" s="1">
        <v>39</v>
      </c>
      <c r="F430" s="7">
        <v>44153</v>
      </c>
      <c r="G430" s="8">
        <v>48415</v>
      </c>
      <c r="H430" s="9">
        <v>0</v>
      </c>
      <c r="I430" s="1" t="s">
        <v>34</v>
      </c>
      <c r="J430" s="1" t="s">
        <v>55</v>
      </c>
      <c r="K430" s="10" t="s">
        <v>36</v>
      </c>
    </row>
    <row r="431" spans="1:11" x14ac:dyDescent="0.25">
      <c r="A431" s="6" t="s">
        <v>80</v>
      </c>
      <c r="B431" s="1" t="s">
        <v>54</v>
      </c>
      <c r="C431" s="1" t="s">
        <v>32</v>
      </c>
      <c r="D431" s="1" t="s">
        <v>33</v>
      </c>
      <c r="E431" s="1">
        <v>35</v>
      </c>
      <c r="F431" s="7">
        <v>42878</v>
      </c>
      <c r="G431" s="8">
        <v>65566</v>
      </c>
      <c r="H431" s="9">
        <v>0</v>
      </c>
      <c r="I431" s="1" t="s">
        <v>29</v>
      </c>
      <c r="J431" s="1" t="s">
        <v>30</v>
      </c>
      <c r="K431" s="10" t="s">
        <v>36</v>
      </c>
    </row>
    <row r="432" spans="1:11" x14ac:dyDescent="0.25">
      <c r="A432" s="6" t="s">
        <v>25</v>
      </c>
      <c r="B432" s="1" t="s">
        <v>57</v>
      </c>
      <c r="C432" s="1" t="s">
        <v>27</v>
      </c>
      <c r="D432" s="1" t="s">
        <v>33</v>
      </c>
      <c r="E432" s="1">
        <v>45</v>
      </c>
      <c r="F432" s="7">
        <v>37014</v>
      </c>
      <c r="G432" s="8">
        <v>147752</v>
      </c>
      <c r="H432" s="9">
        <v>0.12</v>
      </c>
      <c r="I432" s="1" t="s">
        <v>34</v>
      </c>
      <c r="J432" s="1" t="s">
        <v>55</v>
      </c>
      <c r="K432" s="10">
        <v>40903</v>
      </c>
    </row>
    <row r="433" spans="1:11" x14ac:dyDescent="0.25">
      <c r="A433" s="6" t="s">
        <v>25</v>
      </c>
      <c r="B433" s="1" t="s">
        <v>57</v>
      </c>
      <c r="C433" s="1" t="s">
        <v>32</v>
      </c>
      <c r="D433" s="1" t="s">
        <v>28</v>
      </c>
      <c r="E433" s="1">
        <v>25</v>
      </c>
      <c r="F433" s="7">
        <v>44453</v>
      </c>
      <c r="G433" s="8">
        <v>136810</v>
      </c>
      <c r="H433" s="9">
        <v>0.14000000000000001</v>
      </c>
      <c r="I433" s="1" t="s">
        <v>34</v>
      </c>
      <c r="J433" s="1" t="s">
        <v>35</v>
      </c>
      <c r="K433" s="10" t="s">
        <v>36</v>
      </c>
    </row>
    <row r="434" spans="1:11" x14ac:dyDescent="0.25">
      <c r="A434" s="6" t="s">
        <v>48</v>
      </c>
      <c r="B434" s="1" t="s">
        <v>45</v>
      </c>
      <c r="C434" s="1" t="s">
        <v>46</v>
      </c>
      <c r="D434" s="1" t="s">
        <v>33</v>
      </c>
      <c r="E434" s="1">
        <v>47</v>
      </c>
      <c r="F434" s="7">
        <v>41333</v>
      </c>
      <c r="G434" s="8">
        <v>54635</v>
      </c>
      <c r="H434" s="9">
        <v>0</v>
      </c>
      <c r="I434" s="1" t="s">
        <v>29</v>
      </c>
      <c r="J434" s="1" t="s">
        <v>40</v>
      </c>
      <c r="K434" s="10" t="s">
        <v>36</v>
      </c>
    </row>
    <row r="435" spans="1:11" x14ac:dyDescent="0.25">
      <c r="A435" s="6" t="s">
        <v>75</v>
      </c>
      <c r="B435" s="1" t="s">
        <v>26</v>
      </c>
      <c r="C435" s="1" t="s">
        <v>46</v>
      </c>
      <c r="D435" s="1" t="s">
        <v>28</v>
      </c>
      <c r="E435" s="1">
        <v>42</v>
      </c>
      <c r="F435" s="7">
        <v>43866</v>
      </c>
      <c r="G435" s="8">
        <v>96636</v>
      </c>
      <c r="H435" s="9">
        <v>0</v>
      </c>
      <c r="I435" s="1" t="s">
        <v>29</v>
      </c>
      <c r="J435" s="1" t="s">
        <v>58</v>
      </c>
      <c r="K435" s="10" t="s">
        <v>36</v>
      </c>
    </row>
    <row r="436" spans="1:11" x14ac:dyDescent="0.25">
      <c r="A436" s="6" t="s">
        <v>82</v>
      </c>
      <c r="B436" s="1" t="s">
        <v>26</v>
      </c>
      <c r="C436" s="1" t="s">
        <v>32</v>
      </c>
      <c r="D436" s="1" t="s">
        <v>28</v>
      </c>
      <c r="E436" s="1">
        <v>35</v>
      </c>
      <c r="F436" s="7">
        <v>41941</v>
      </c>
      <c r="G436" s="8">
        <v>91592</v>
      </c>
      <c r="H436" s="9">
        <v>0</v>
      </c>
      <c r="I436" s="1" t="s">
        <v>29</v>
      </c>
      <c r="J436" s="1" t="s">
        <v>40</v>
      </c>
      <c r="K436" s="10" t="s">
        <v>36</v>
      </c>
    </row>
    <row r="437" spans="1:11" x14ac:dyDescent="0.25">
      <c r="A437" s="6" t="s">
        <v>74</v>
      </c>
      <c r="B437" s="1" t="s">
        <v>52</v>
      </c>
      <c r="C437" s="1" t="s">
        <v>27</v>
      </c>
      <c r="D437" s="1" t="s">
        <v>28</v>
      </c>
      <c r="E437" s="1">
        <v>45</v>
      </c>
      <c r="F437" s="7">
        <v>36755</v>
      </c>
      <c r="G437" s="8">
        <v>55563</v>
      </c>
      <c r="H437" s="9">
        <v>0</v>
      </c>
      <c r="I437" s="1" t="s">
        <v>34</v>
      </c>
      <c r="J437" s="1" t="s">
        <v>68</v>
      </c>
      <c r="K437" s="10" t="s">
        <v>36</v>
      </c>
    </row>
    <row r="438" spans="1:11" x14ac:dyDescent="0.25">
      <c r="A438" s="6" t="s">
        <v>37</v>
      </c>
      <c r="B438" s="1" t="s">
        <v>26</v>
      </c>
      <c r="C438" s="1" t="s">
        <v>27</v>
      </c>
      <c r="D438" s="1" t="s">
        <v>28</v>
      </c>
      <c r="E438" s="1">
        <v>52</v>
      </c>
      <c r="F438" s="7">
        <v>35109</v>
      </c>
      <c r="G438" s="8">
        <v>159724</v>
      </c>
      <c r="H438" s="9">
        <v>0.23</v>
      </c>
      <c r="I438" s="1" t="s">
        <v>34</v>
      </c>
      <c r="J438" s="1" t="s">
        <v>64</v>
      </c>
      <c r="K438" s="10" t="s">
        <v>36</v>
      </c>
    </row>
    <row r="439" spans="1:11" x14ac:dyDescent="0.25">
      <c r="A439" s="6" t="s">
        <v>56</v>
      </c>
      <c r="B439" s="1" t="s">
        <v>57</v>
      </c>
      <c r="C439" s="1" t="s">
        <v>46</v>
      </c>
      <c r="D439" s="1" t="s">
        <v>33</v>
      </c>
      <c r="E439" s="1">
        <v>57</v>
      </c>
      <c r="F439" s="7">
        <v>42951</v>
      </c>
      <c r="G439" s="8">
        <v>183190</v>
      </c>
      <c r="H439" s="9">
        <v>0.36</v>
      </c>
      <c r="I439" s="1" t="s">
        <v>29</v>
      </c>
      <c r="J439" s="1" t="s">
        <v>40</v>
      </c>
      <c r="K439" s="10" t="s">
        <v>36</v>
      </c>
    </row>
    <row r="440" spans="1:11" x14ac:dyDescent="0.25">
      <c r="A440" s="6" t="s">
        <v>48</v>
      </c>
      <c r="B440" s="1" t="s">
        <v>50</v>
      </c>
      <c r="C440" s="1" t="s">
        <v>39</v>
      </c>
      <c r="D440" s="1" t="s">
        <v>28</v>
      </c>
      <c r="E440" s="1">
        <v>56</v>
      </c>
      <c r="F440" s="7">
        <v>43824</v>
      </c>
      <c r="G440" s="8">
        <v>54829</v>
      </c>
      <c r="H440" s="9">
        <v>0</v>
      </c>
      <c r="I440" s="1" t="s">
        <v>29</v>
      </c>
      <c r="J440" s="1" t="s">
        <v>43</v>
      </c>
      <c r="K440" s="10" t="s">
        <v>36</v>
      </c>
    </row>
    <row r="441" spans="1:11" x14ac:dyDescent="0.25">
      <c r="A441" s="6" t="s">
        <v>62</v>
      </c>
      <c r="B441" s="1" t="s">
        <v>54</v>
      </c>
      <c r="C441" s="1" t="s">
        <v>46</v>
      </c>
      <c r="D441" s="1" t="s">
        <v>33</v>
      </c>
      <c r="E441" s="1">
        <v>46</v>
      </c>
      <c r="F441" s="7">
        <v>38464</v>
      </c>
      <c r="G441" s="8">
        <v>96639</v>
      </c>
      <c r="H441" s="9">
        <v>0</v>
      </c>
      <c r="I441" s="1" t="s">
        <v>59</v>
      </c>
      <c r="J441" s="1" t="s">
        <v>61</v>
      </c>
      <c r="K441" s="10" t="s">
        <v>36</v>
      </c>
    </row>
    <row r="442" spans="1:11" x14ac:dyDescent="0.25">
      <c r="A442" s="6" t="s">
        <v>47</v>
      </c>
      <c r="B442" s="1" t="s">
        <v>57</v>
      </c>
      <c r="C442" s="1" t="s">
        <v>39</v>
      </c>
      <c r="D442" s="1" t="s">
        <v>28</v>
      </c>
      <c r="E442" s="1">
        <v>43</v>
      </c>
      <c r="F442" s="7">
        <v>38879</v>
      </c>
      <c r="G442" s="8">
        <v>117278</v>
      </c>
      <c r="H442" s="9">
        <v>0.09</v>
      </c>
      <c r="I442" s="1" t="s">
        <v>29</v>
      </c>
      <c r="J442" s="1" t="s">
        <v>49</v>
      </c>
      <c r="K442" s="10" t="s">
        <v>36</v>
      </c>
    </row>
    <row r="443" spans="1:11" x14ac:dyDescent="0.25">
      <c r="A443" s="6" t="s">
        <v>41</v>
      </c>
      <c r="B443" s="1" t="s">
        <v>26</v>
      </c>
      <c r="C443" s="1" t="s">
        <v>39</v>
      </c>
      <c r="D443" s="1" t="s">
        <v>33</v>
      </c>
      <c r="E443" s="1">
        <v>53</v>
      </c>
      <c r="F443" s="7">
        <v>39487</v>
      </c>
      <c r="G443" s="8">
        <v>84193</v>
      </c>
      <c r="H443" s="9">
        <v>0.09</v>
      </c>
      <c r="I443" s="1" t="s">
        <v>34</v>
      </c>
      <c r="J443" s="1" t="s">
        <v>55</v>
      </c>
      <c r="K443" s="10" t="s">
        <v>36</v>
      </c>
    </row>
    <row r="444" spans="1:11" x14ac:dyDescent="0.25">
      <c r="A444" s="6" t="s">
        <v>87</v>
      </c>
      <c r="B444" s="1" t="s">
        <v>26</v>
      </c>
      <c r="C444" s="1" t="s">
        <v>32</v>
      </c>
      <c r="D444" s="1" t="s">
        <v>28</v>
      </c>
      <c r="E444" s="1">
        <v>47</v>
      </c>
      <c r="F444" s="7">
        <v>43309</v>
      </c>
      <c r="G444" s="8">
        <v>87806</v>
      </c>
      <c r="H444" s="9">
        <v>0</v>
      </c>
      <c r="I444" s="1" t="s">
        <v>29</v>
      </c>
      <c r="J444" s="1" t="s">
        <v>30</v>
      </c>
      <c r="K444" s="10" t="s">
        <v>36</v>
      </c>
    </row>
    <row r="445" spans="1:11" x14ac:dyDescent="0.25">
      <c r="A445" s="6" t="s">
        <v>77</v>
      </c>
      <c r="B445" s="1" t="s">
        <v>54</v>
      </c>
      <c r="C445" s="1" t="s">
        <v>27</v>
      </c>
      <c r="D445" s="1" t="s">
        <v>33</v>
      </c>
      <c r="E445" s="1">
        <v>62</v>
      </c>
      <c r="F445" s="7">
        <v>40820</v>
      </c>
      <c r="G445" s="8">
        <v>63959</v>
      </c>
      <c r="H445" s="9">
        <v>0</v>
      </c>
      <c r="I445" s="1" t="s">
        <v>29</v>
      </c>
      <c r="J445" s="1" t="s">
        <v>30</v>
      </c>
      <c r="K445" s="10" t="s">
        <v>36</v>
      </c>
    </row>
    <row r="446" spans="1:11" x14ac:dyDescent="0.25">
      <c r="A446" s="6" t="s">
        <v>56</v>
      </c>
      <c r="B446" s="1" t="s">
        <v>26</v>
      </c>
      <c r="C446" s="1" t="s">
        <v>27</v>
      </c>
      <c r="D446" s="1" t="s">
        <v>33</v>
      </c>
      <c r="E446" s="1">
        <v>35</v>
      </c>
      <c r="F446" s="7">
        <v>42166</v>
      </c>
      <c r="G446" s="8">
        <v>234723</v>
      </c>
      <c r="H446" s="9">
        <v>0.36</v>
      </c>
      <c r="I446" s="1" t="s">
        <v>34</v>
      </c>
      <c r="J446" s="1" t="s">
        <v>55</v>
      </c>
      <c r="K446" s="10" t="s">
        <v>36</v>
      </c>
    </row>
    <row r="447" spans="1:11" x14ac:dyDescent="0.25">
      <c r="A447" s="6" t="s">
        <v>48</v>
      </c>
      <c r="B447" s="1" t="s">
        <v>50</v>
      </c>
      <c r="C447" s="1" t="s">
        <v>46</v>
      </c>
      <c r="D447" s="1" t="s">
        <v>28</v>
      </c>
      <c r="E447" s="1">
        <v>27</v>
      </c>
      <c r="F447" s="7">
        <v>43701</v>
      </c>
      <c r="G447" s="8">
        <v>50809</v>
      </c>
      <c r="H447" s="9">
        <v>0</v>
      </c>
      <c r="I447" s="1" t="s">
        <v>34</v>
      </c>
      <c r="J447" s="1" t="s">
        <v>35</v>
      </c>
      <c r="K447" s="10" t="s">
        <v>36</v>
      </c>
    </row>
    <row r="448" spans="1:11" x14ac:dyDescent="0.25">
      <c r="A448" s="6" t="s">
        <v>42</v>
      </c>
      <c r="B448" s="1" t="s">
        <v>38</v>
      </c>
      <c r="C448" s="1" t="s">
        <v>32</v>
      </c>
      <c r="D448" s="1" t="s">
        <v>33</v>
      </c>
      <c r="E448" s="1">
        <v>55</v>
      </c>
      <c r="F448" s="7">
        <v>37456</v>
      </c>
      <c r="G448" s="8">
        <v>77396</v>
      </c>
      <c r="H448" s="9">
        <v>0</v>
      </c>
      <c r="I448" s="1" t="s">
        <v>29</v>
      </c>
      <c r="J448" s="1" t="s">
        <v>49</v>
      </c>
      <c r="K448" s="10" t="s">
        <v>36</v>
      </c>
    </row>
    <row r="449" spans="1:11" x14ac:dyDescent="0.25">
      <c r="A449" s="6" t="s">
        <v>42</v>
      </c>
      <c r="B449" s="1" t="s">
        <v>38</v>
      </c>
      <c r="C449" s="1" t="s">
        <v>39</v>
      </c>
      <c r="D449" s="1" t="s">
        <v>28</v>
      </c>
      <c r="E449" s="1">
        <v>63</v>
      </c>
      <c r="F449" s="7">
        <v>36525</v>
      </c>
      <c r="G449" s="8">
        <v>89523</v>
      </c>
      <c r="H449" s="9">
        <v>0</v>
      </c>
      <c r="I449" s="1" t="s">
        <v>29</v>
      </c>
      <c r="J449" s="1" t="s">
        <v>43</v>
      </c>
      <c r="K449" s="10" t="s">
        <v>36</v>
      </c>
    </row>
    <row r="450" spans="1:11" x14ac:dyDescent="0.25">
      <c r="A450" s="6" t="s">
        <v>75</v>
      </c>
      <c r="B450" s="1" t="s">
        <v>26</v>
      </c>
      <c r="C450" s="1" t="s">
        <v>46</v>
      </c>
      <c r="D450" s="1" t="s">
        <v>28</v>
      </c>
      <c r="E450" s="1">
        <v>53</v>
      </c>
      <c r="F450" s="7">
        <v>40744</v>
      </c>
      <c r="G450" s="8">
        <v>86173</v>
      </c>
      <c r="H450" s="9">
        <v>0</v>
      </c>
      <c r="I450" s="1" t="s">
        <v>34</v>
      </c>
      <c r="J450" s="1" t="s">
        <v>35</v>
      </c>
      <c r="K450" s="10" t="s">
        <v>36</v>
      </c>
    </row>
    <row r="451" spans="1:11" x14ac:dyDescent="0.25">
      <c r="A451" s="6" t="s">
        <v>56</v>
      </c>
      <c r="B451" s="1" t="s">
        <v>45</v>
      </c>
      <c r="C451" s="1" t="s">
        <v>32</v>
      </c>
      <c r="D451" s="1" t="s">
        <v>28</v>
      </c>
      <c r="E451" s="1">
        <v>54</v>
      </c>
      <c r="F451" s="7">
        <v>36757</v>
      </c>
      <c r="G451" s="8">
        <v>222224</v>
      </c>
      <c r="H451" s="9">
        <v>0.38</v>
      </c>
      <c r="I451" s="1" t="s">
        <v>29</v>
      </c>
      <c r="J451" s="1" t="s">
        <v>58</v>
      </c>
      <c r="K451" s="10" t="s">
        <v>36</v>
      </c>
    </row>
    <row r="452" spans="1:11" x14ac:dyDescent="0.25">
      <c r="A452" s="6" t="s">
        <v>25</v>
      </c>
      <c r="B452" s="1" t="s">
        <v>38</v>
      </c>
      <c r="C452" s="1" t="s">
        <v>27</v>
      </c>
      <c r="D452" s="1" t="s">
        <v>33</v>
      </c>
      <c r="E452" s="1">
        <v>43</v>
      </c>
      <c r="F452" s="7">
        <v>44303</v>
      </c>
      <c r="G452" s="8">
        <v>146140</v>
      </c>
      <c r="H452" s="9">
        <v>0.15</v>
      </c>
      <c r="I452" s="1" t="s">
        <v>29</v>
      </c>
      <c r="J452" s="1" t="s">
        <v>30</v>
      </c>
      <c r="K452" s="10" t="s">
        <v>36</v>
      </c>
    </row>
    <row r="453" spans="1:11" x14ac:dyDescent="0.25">
      <c r="A453" s="6" t="s">
        <v>63</v>
      </c>
      <c r="B453" s="1" t="s">
        <v>54</v>
      </c>
      <c r="C453" s="1" t="s">
        <v>39</v>
      </c>
      <c r="D453" s="1" t="s">
        <v>28</v>
      </c>
      <c r="E453" s="1">
        <v>64</v>
      </c>
      <c r="F453" s="7">
        <v>34505</v>
      </c>
      <c r="G453" s="8">
        <v>109456</v>
      </c>
      <c r="H453" s="9">
        <v>0.1</v>
      </c>
      <c r="I453" s="1" t="s">
        <v>29</v>
      </c>
      <c r="J453" s="1" t="s">
        <v>40</v>
      </c>
      <c r="K453" s="10" t="s">
        <v>36</v>
      </c>
    </row>
    <row r="454" spans="1:11" x14ac:dyDescent="0.25">
      <c r="A454" s="6" t="s">
        <v>37</v>
      </c>
      <c r="B454" s="1" t="s">
        <v>38</v>
      </c>
      <c r="C454" s="1" t="s">
        <v>27</v>
      </c>
      <c r="D454" s="1" t="s">
        <v>28</v>
      </c>
      <c r="E454" s="1">
        <v>65</v>
      </c>
      <c r="F454" s="7">
        <v>39728</v>
      </c>
      <c r="G454" s="8">
        <v>170221</v>
      </c>
      <c r="H454" s="9">
        <v>0.15</v>
      </c>
      <c r="I454" s="1" t="s">
        <v>59</v>
      </c>
      <c r="J454" s="1" t="s">
        <v>60</v>
      </c>
      <c r="K454" s="10" t="s">
        <v>36</v>
      </c>
    </row>
    <row r="455" spans="1:11" x14ac:dyDescent="0.25">
      <c r="A455" s="6" t="s">
        <v>41</v>
      </c>
      <c r="B455" s="1" t="s">
        <v>26</v>
      </c>
      <c r="C455" s="1" t="s">
        <v>27</v>
      </c>
      <c r="D455" s="1" t="s">
        <v>28</v>
      </c>
      <c r="E455" s="1">
        <v>42</v>
      </c>
      <c r="F455" s="7">
        <v>38777</v>
      </c>
      <c r="G455" s="8">
        <v>97433</v>
      </c>
      <c r="H455" s="9">
        <v>0.05</v>
      </c>
      <c r="I455" s="1" t="s">
        <v>29</v>
      </c>
      <c r="J455" s="1" t="s">
        <v>30</v>
      </c>
      <c r="K455" s="10">
        <v>42224</v>
      </c>
    </row>
    <row r="456" spans="1:11" x14ac:dyDescent="0.25">
      <c r="A456" s="6" t="s">
        <v>44</v>
      </c>
      <c r="B456" s="1" t="s">
        <v>45</v>
      </c>
      <c r="C456" s="1" t="s">
        <v>32</v>
      </c>
      <c r="D456" s="1" t="s">
        <v>33</v>
      </c>
      <c r="E456" s="1">
        <v>35</v>
      </c>
      <c r="F456" s="7">
        <v>41516</v>
      </c>
      <c r="G456" s="8">
        <v>59646</v>
      </c>
      <c r="H456" s="9">
        <v>0</v>
      </c>
      <c r="I456" s="1" t="s">
        <v>34</v>
      </c>
      <c r="J456" s="1" t="s">
        <v>55</v>
      </c>
      <c r="K456" s="10" t="s">
        <v>36</v>
      </c>
    </row>
    <row r="457" spans="1:11" x14ac:dyDescent="0.25">
      <c r="A457" s="6" t="s">
        <v>37</v>
      </c>
      <c r="B457" s="1" t="s">
        <v>54</v>
      </c>
      <c r="C457" s="1" t="s">
        <v>39</v>
      </c>
      <c r="D457" s="1" t="s">
        <v>33</v>
      </c>
      <c r="E457" s="1">
        <v>64</v>
      </c>
      <c r="F457" s="7">
        <v>34940</v>
      </c>
      <c r="G457" s="8">
        <v>158787</v>
      </c>
      <c r="H457" s="9">
        <v>0.18</v>
      </c>
      <c r="I457" s="1" t="s">
        <v>34</v>
      </c>
      <c r="J457" s="1" t="s">
        <v>68</v>
      </c>
      <c r="K457" s="10" t="s">
        <v>36</v>
      </c>
    </row>
    <row r="458" spans="1:11" x14ac:dyDescent="0.25">
      <c r="A458" s="6" t="s">
        <v>53</v>
      </c>
      <c r="B458" s="1" t="s">
        <v>54</v>
      </c>
      <c r="C458" s="1" t="s">
        <v>27</v>
      </c>
      <c r="D458" s="1" t="s">
        <v>33</v>
      </c>
      <c r="E458" s="1">
        <v>55</v>
      </c>
      <c r="F458" s="7">
        <v>43219</v>
      </c>
      <c r="G458" s="8">
        <v>83378</v>
      </c>
      <c r="H458" s="9">
        <v>0</v>
      </c>
      <c r="I458" s="1" t="s">
        <v>34</v>
      </c>
      <c r="J458" s="1" t="s">
        <v>64</v>
      </c>
      <c r="K458" s="10" t="s">
        <v>36</v>
      </c>
    </row>
    <row r="459" spans="1:11" x14ac:dyDescent="0.25">
      <c r="A459" s="6" t="s">
        <v>42</v>
      </c>
      <c r="B459" s="1" t="s">
        <v>57</v>
      </c>
      <c r="C459" s="1" t="s">
        <v>46</v>
      </c>
      <c r="D459" s="1" t="s">
        <v>28</v>
      </c>
      <c r="E459" s="1">
        <v>32</v>
      </c>
      <c r="F459" s="7">
        <v>41590</v>
      </c>
      <c r="G459" s="8">
        <v>88895</v>
      </c>
      <c r="H459" s="9">
        <v>0</v>
      </c>
      <c r="I459" s="1" t="s">
        <v>29</v>
      </c>
      <c r="J459" s="1" t="s">
        <v>40</v>
      </c>
      <c r="K459" s="10" t="s">
        <v>36</v>
      </c>
    </row>
    <row r="460" spans="1:11" x14ac:dyDescent="0.25">
      <c r="A460" s="6" t="s">
        <v>37</v>
      </c>
      <c r="B460" s="1" t="s">
        <v>57</v>
      </c>
      <c r="C460" s="1" t="s">
        <v>46</v>
      </c>
      <c r="D460" s="1" t="s">
        <v>33</v>
      </c>
      <c r="E460" s="1">
        <v>45</v>
      </c>
      <c r="F460" s="7">
        <v>38332</v>
      </c>
      <c r="G460" s="8">
        <v>168846</v>
      </c>
      <c r="H460" s="9">
        <v>0.24</v>
      </c>
      <c r="I460" s="1" t="s">
        <v>34</v>
      </c>
      <c r="J460" s="1" t="s">
        <v>35</v>
      </c>
      <c r="K460" s="10" t="s">
        <v>36</v>
      </c>
    </row>
    <row r="461" spans="1:11" x14ac:dyDescent="0.25">
      <c r="A461" s="6" t="s">
        <v>74</v>
      </c>
      <c r="B461" s="1" t="s">
        <v>52</v>
      </c>
      <c r="C461" s="1" t="s">
        <v>27</v>
      </c>
      <c r="D461" s="1" t="s">
        <v>33</v>
      </c>
      <c r="E461" s="1">
        <v>35</v>
      </c>
      <c r="F461" s="7">
        <v>40596</v>
      </c>
      <c r="G461" s="8">
        <v>43336</v>
      </c>
      <c r="H461" s="9">
        <v>0</v>
      </c>
      <c r="I461" s="1" t="s">
        <v>29</v>
      </c>
      <c r="J461" s="1" t="s">
        <v>51</v>
      </c>
      <c r="K461" s="10">
        <v>44024</v>
      </c>
    </row>
    <row r="462" spans="1:11" x14ac:dyDescent="0.25">
      <c r="A462" s="6" t="s">
        <v>25</v>
      </c>
      <c r="B462" s="1" t="s">
        <v>52</v>
      </c>
      <c r="C462" s="1" t="s">
        <v>46</v>
      </c>
      <c r="D462" s="1" t="s">
        <v>33</v>
      </c>
      <c r="E462" s="1">
        <v>38</v>
      </c>
      <c r="F462" s="7">
        <v>40083</v>
      </c>
      <c r="G462" s="8">
        <v>127801</v>
      </c>
      <c r="H462" s="9">
        <v>0.15</v>
      </c>
      <c r="I462" s="1" t="s">
        <v>29</v>
      </c>
      <c r="J462" s="1" t="s">
        <v>43</v>
      </c>
      <c r="K462" s="10" t="s">
        <v>36</v>
      </c>
    </row>
    <row r="463" spans="1:11" x14ac:dyDescent="0.25">
      <c r="A463" s="6" t="s">
        <v>87</v>
      </c>
      <c r="B463" s="1" t="s">
        <v>26</v>
      </c>
      <c r="C463" s="1" t="s">
        <v>46</v>
      </c>
      <c r="D463" s="1" t="s">
        <v>33</v>
      </c>
      <c r="E463" s="1">
        <v>54</v>
      </c>
      <c r="F463" s="7">
        <v>36617</v>
      </c>
      <c r="G463" s="8">
        <v>76352</v>
      </c>
      <c r="H463" s="9">
        <v>0</v>
      </c>
      <c r="I463" s="1" t="s">
        <v>29</v>
      </c>
      <c r="J463" s="1" t="s">
        <v>51</v>
      </c>
      <c r="K463" s="10" t="s">
        <v>36</v>
      </c>
    </row>
    <row r="464" spans="1:11" x14ac:dyDescent="0.25">
      <c r="A464" s="6" t="s">
        <v>56</v>
      </c>
      <c r="B464" s="1" t="s">
        <v>38</v>
      </c>
      <c r="C464" s="1" t="s">
        <v>46</v>
      </c>
      <c r="D464" s="1" t="s">
        <v>33</v>
      </c>
      <c r="E464" s="1">
        <v>28</v>
      </c>
      <c r="F464" s="7">
        <v>43638</v>
      </c>
      <c r="G464" s="8">
        <v>250767</v>
      </c>
      <c r="H464" s="9">
        <v>0.38</v>
      </c>
      <c r="I464" s="1" t="s">
        <v>29</v>
      </c>
      <c r="J464" s="1" t="s">
        <v>30</v>
      </c>
      <c r="K464" s="10" t="s">
        <v>36</v>
      </c>
    </row>
    <row r="465" spans="1:11" x14ac:dyDescent="0.25">
      <c r="A465" s="6" t="s">
        <v>56</v>
      </c>
      <c r="B465" s="1" t="s">
        <v>57</v>
      </c>
      <c r="C465" s="1" t="s">
        <v>46</v>
      </c>
      <c r="D465" s="1" t="s">
        <v>33</v>
      </c>
      <c r="E465" s="1">
        <v>26</v>
      </c>
      <c r="F465" s="7">
        <v>44101</v>
      </c>
      <c r="G465" s="8">
        <v>223055</v>
      </c>
      <c r="H465" s="9">
        <v>0.3</v>
      </c>
      <c r="I465" s="1" t="s">
        <v>29</v>
      </c>
      <c r="J465" s="1" t="s">
        <v>58</v>
      </c>
      <c r="K465" s="10" t="s">
        <v>36</v>
      </c>
    </row>
    <row r="466" spans="1:11" x14ac:dyDescent="0.25">
      <c r="A466" s="6" t="s">
        <v>37</v>
      </c>
      <c r="B466" s="1" t="s">
        <v>54</v>
      </c>
      <c r="C466" s="1" t="s">
        <v>46</v>
      </c>
      <c r="D466" s="1" t="s">
        <v>33</v>
      </c>
      <c r="E466" s="1">
        <v>45</v>
      </c>
      <c r="F466" s="7">
        <v>39185</v>
      </c>
      <c r="G466" s="8">
        <v>189680</v>
      </c>
      <c r="H466" s="9">
        <v>0.23</v>
      </c>
      <c r="I466" s="1" t="s">
        <v>59</v>
      </c>
      <c r="J466" s="1" t="s">
        <v>76</v>
      </c>
      <c r="K466" s="10" t="s">
        <v>36</v>
      </c>
    </row>
    <row r="467" spans="1:11" x14ac:dyDescent="0.25">
      <c r="A467" s="6" t="s">
        <v>77</v>
      </c>
      <c r="B467" s="1" t="s">
        <v>54</v>
      </c>
      <c r="C467" s="1" t="s">
        <v>32</v>
      </c>
      <c r="D467" s="1" t="s">
        <v>33</v>
      </c>
      <c r="E467" s="1">
        <v>57</v>
      </c>
      <c r="F467" s="7">
        <v>43299</v>
      </c>
      <c r="G467" s="8">
        <v>71167</v>
      </c>
      <c r="H467" s="9">
        <v>0</v>
      </c>
      <c r="I467" s="1" t="s">
        <v>29</v>
      </c>
      <c r="J467" s="1" t="s">
        <v>58</v>
      </c>
      <c r="K467" s="10" t="s">
        <v>36</v>
      </c>
    </row>
    <row r="468" spans="1:11" x14ac:dyDescent="0.25">
      <c r="A468" s="6" t="s">
        <v>31</v>
      </c>
      <c r="B468" s="1" t="s">
        <v>26</v>
      </c>
      <c r="C468" s="1" t="s">
        <v>39</v>
      </c>
      <c r="D468" s="1" t="s">
        <v>28</v>
      </c>
      <c r="E468" s="1">
        <v>59</v>
      </c>
      <c r="F468" s="7">
        <v>40272</v>
      </c>
      <c r="G468" s="8">
        <v>76027</v>
      </c>
      <c r="H468" s="9">
        <v>0</v>
      </c>
      <c r="I468" s="1" t="s">
        <v>29</v>
      </c>
      <c r="J468" s="1" t="s">
        <v>30</v>
      </c>
      <c r="K468" s="10" t="s">
        <v>36</v>
      </c>
    </row>
    <row r="469" spans="1:11" x14ac:dyDescent="0.25">
      <c r="A469" s="6" t="s">
        <v>37</v>
      </c>
      <c r="B469" s="1" t="s">
        <v>54</v>
      </c>
      <c r="C469" s="1" t="s">
        <v>46</v>
      </c>
      <c r="D469" s="1" t="s">
        <v>33</v>
      </c>
      <c r="E469" s="1">
        <v>48</v>
      </c>
      <c r="F469" s="7">
        <v>43809</v>
      </c>
      <c r="G469" s="8">
        <v>183113</v>
      </c>
      <c r="H469" s="9">
        <v>0.24</v>
      </c>
      <c r="I469" s="1" t="s">
        <v>59</v>
      </c>
      <c r="J469" s="1" t="s">
        <v>61</v>
      </c>
      <c r="K469" s="10" t="s">
        <v>36</v>
      </c>
    </row>
    <row r="470" spans="1:11" x14ac:dyDescent="0.25">
      <c r="A470" s="6" t="s">
        <v>66</v>
      </c>
      <c r="B470" s="1" t="s">
        <v>50</v>
      </c>
      <c r="C470" s="1" t="s">
        <v>32</v>
      </c>
      <c r="D470" s="1" t="s">
        <v>33</v>
      </c>
      <c r="E470" s="1">
        <v>30</v>
      </c>
      <c r="F470" s="7">
        <v>44124</v>
      </c>
      <c r="G470" s="8">
        <v>67753</v>
      </c>
      <c r="H470" s="9">
        <v>0</v>
      </c>
      <c r="I470" s="1" t="s">
        <v>29</v>
      </c>
      <c r="J470" s="1" t="s">
        <v>43</v>
      </c>
      <c r="K470" s="10" t="s">
        <v>36</v>
      </c>
    </row>
    <row r="471" spans="1:11" x14ac:dyDescent="0.25">
      <c r="A471" s="6" t="s">
        <v>41</v>
      </c>
      <c r="B471" s="1" t="s">
        <v>26</v>
      </c>
      <c r="C471" s="1" t="s">
        <v>46</v>
      </c>
      <c r="D471" s="1" t="s">
        <v>33</v>
      </c>
      <c r="E471" s="1">
        <v>31</v>
      </c>
      <c r="F471" s="7">
        <v>42656</v>
      </c>
      <c r="G471" s="8">
        <v>63744</v>
      </c>
      <c r="H471" s="9">
        <v>0.08</v>
      </c>
      <c r="I471" s="1" t="s">
        <v>29</v>
      </c>
      <c r="J471" s="1" t="s">
        <v>51</v>
      </c>
      <c r="K471" s="10" t="s">
        <v>36</v>
      </c>
    </row>
    <row r="472" spans="1:11" x14ac:dyDescent="0.25">
      <c r="A472" s="6" t="s">
        <v>62</v>
      </c>
      <c r="B472" s="1" t="s">
        <v>54</v>
      </c>
      <c r="C472" s="1" t="s">
        <v>32</v>
      </c>
      <c r="D472" s="1" t="s">
        <v>28</v>
      </c>
      <c r="E472" s="1">
        <v>50</v>
      </c>
      <c r="F472" s="7">
        <v>37446</v>
      </c>
      <c r="G472" s="8">
        <v>92209</v>
      </c>
      <c r="H472" s="9">
        <v>0</v>
      </c>
      <c r="I472" s="1" t="s">
        <v>34</v>
      </c>
      <c r="J472" s="1" t="s">
        <v>55</v>
      </c>
      <c r="K472" s="10" t="s">
        <v>36</v>
      </c>
    </row>
    <row r="473" spans="1:11" x14ac:dyDescent="0.25">
      <c r="A473" s="6" t="s">
        <v>25</v>
      </c>
      <c r="B473" s="1" t="s">
        <v>45</v>
      </c>
      <c r="C473" s="1" t="s">
        <v>46</v>
      </c>
      <c r="D473" s="1" t="s">
        <v>33</v>
      </c>
      <c r="E473" s="1">
        <v>51</v>
      </c>
      <c r="F473" s="7">
        <v>36770</v>
      </c>
      <c r="G473" s="8">
        <v>157487</v>
      </c>
      <c r="H473" s="9">
        <v>0.12</v>
      </c>
      <c r="I473" s="1" t="s">
        <v>29</v>
      </c>
      <c r="J473" s="1" t="s">
        <v>43</v>
      </c>
      <c r="K473" s="10" t="s">
        <v>36</v>
      </c>
    </row>
    <row r="474" spans="1:11" x14ac:dyDescent="0.25">
      <c r="A474" s="6" t="s">
        <v>42</v>
      </c>
      <c r="B474" s="1" t="s">
        <v>57</v>
      </c>
      <c r="C474" s="1" t="s">
        <v>27</v>
      </c>
      <c r="D474" s="1" t="s">
        <v>33</v>
      </c>
      <c r="E474" s="1">
        <v>42</v>
      </c>
      <c r="F474" s="7">
        <v>42101</v>
      </c>
      <c r="G474" s="8">
        <v>99697</v>
      </c>
      <c r="H474" s="9">
        <v>0</v>
      </c>
      <c r="I474" s="1" t="s">
        <v>59</v>
      </c>
      <c r="J474" s="1" t="s">
        <v>61</v>
      </c>
      <c r="K474" s="10" t="s">
        <v>36</v>
      </c>
    </row>
    <row r="475" spans="1:11" x14ac:dyDescent="0.25">
      <c r="A475" s="6" t="s">
        <v>87</v>
      </c>
      <c r="B475" s="1" t="s">
        <v>26</v>
      </c>
      <c r="C475" s="1" t="s">
        <v>27</v>
      </c>
      <c r="D475" s="1" t="s">
        <v>33</v>
      </c>
      <c r="E475" s="1">
        <v>45</v>
      </c>
      <c r="F475" s="7">
        <v>40235</v>
      </c>
      <c r="G475" s="8">
        <v>90770</v>
      </c>
      <c r="H475" s="9">
        <v>0</v>
      </c>
      <c r="I475" s="1" t="s">
        <v>29</v>
      </c>
      <c r="J475" s="1" t="s">
        <v>58</v>
      </c>
      <c r="K475" s="10" t="s">
        <v>36</v>
      </c>
    </row>
    <row r="476" spans="1:11" x14ac:dyDescent="0.25">
      <c r="A476" s="6" t="s">
        <v>48</v>
      </c>
      <c r="B476" s="1" t="s">
        <v>45</v>
      </c>
      <c r="C476" s="1" t="s">
        <v>39</v>
      </c>
      <c r="D476" s="1" t="s">
        <v>28</v>
      </c>
      <c r="E476" s="1">
        <v>64</v>
      </c>
      <c r="F476" s="7">
        <v>38380</v>
      </c>
      <c r="G476" s="8">
        <v>55369</v>
      </c>
      <c r="H476" s="9">
        <v>0</v>
      </c>
      <c r="I476" s="1" t="s">
        <v>29</v>
      </c>
      <c r="J476" s="1" t="s">
        <v>43</v>
      </c>
      <c r="K476" s="10" t="s">
        <v>36</v>
      </c>
    </row>
    <row r="477" spans="1:11" x14ac:dyDescent="0.25">
      <c r="A477" s="6" t="s">
        <v>71</v>
      </c>
      <c r="B477" s="1" t="s">
        <v>54</v>
      </c>
      <c r="C477" s="1" t="s">
        <v>39</v>
      </c>
      <c r="D477" s="1" t="s">
        <v>28</v>
      </c>
      <c r="E477" s="1">
        <v>59</v>
      </c>
      <c r="F477" s="7">
        <v>41898</v>
      </c>
      <c r="G477" s="8">
        <v>69578</v>
      </c>
      <c r="H477" s="9">
        <v>0</v>
      </c>
      <c r="I477" s="1" t="s">
        <v>59</v>
      </c>
      <c r="J477" s="1" t="s">
        <v>61</v>
      </c>
      <c r="K477" s="10" t="s">
        <v>36</v>
      </c>
    </row>
    <row r="478" spans="1:11" x14ac:dyDescent="0.25">
      <c r="A478" s="6" t="s">
        <v>37</v>
      </c>
      <c r="B478" s="1" t="s">
        <v>50</v>
      </c>
      <c r="C478" s="1" t="s">
        <v>39</v>
      </c>
      <c r="D478" s="1" t="s">
        <v>33</v>
      </c>
      <c r="E478" s="1">
        <v>41</v>
      </c>
      <c r="F478" s="7">
        <v>41429</v>
      </c>
      <c r="G478" s="8">
        <v>167526</v>
      </c>
      <c r="H478" s="9">
        <v>0.26</v>
      </c>
      <c r="I478" s="1" t="s">
        <v>29</v>
      </c>
      <c r="J478" s="1" t="s">
        <v>49</v>
      </c>
      <c r="K478" s="10" t="s">
        <v>36</v>
      </c>
    </row>
    <row r="479" spans="1:11" x14ac:dyDescent="0.25">
      <c r="A479" s="6" t="s">
        <v>71</v>
      </c>
      <c r="B479" s="1" t="s">
        <v>54</v>
      </c>
      <c r="C479" s="1" t="s">
        <v>39</v>
      </c>
      <c r="D479" s="1" t="s">
        <v>28</v>
      </c>
      <c r="E479" s="1">
        <v>42</v>
      </c>
      <c r="F479" s="7">
        <v>44232</v>
      </c>
      <c r="G479" s="8">
        <v>65507</v>
      </c>
      <c r="H479" s="9">
        <v>0</v>
      </c>
      <c r="I479" s="1" t="s">
        <v>59</v>
      </c>
      <c r="J479" s="1" t="s">
        <v>60</v>
      </c>
      <c r="K479" s="10" t="s">
        <v>36</v>
      </c>
    </row>
    <row r="480" spans="1:11" x14ac:dyDescent="0.25">
      <c r="A480" s="6" t="s">
        <v>47</v>
      </c>
      <c r="B480" s="1" t="s">
        <v>38</v>
      </c>
      <c r="C480" s="1" t="s">
        <v>27</v>
      </c>
      <c r="D480" s="1" t="s">
        <v>33</v>
      </c>
      <c r="E480" s="1">
        <v>54</v>
      </c>
      <c r="F480" s="7">
        <v>35913</v>
      </c>
      <c r="G480" s="8">
        <v>108268</v>
      </c>
      <c r="H480" s="9">
        <v>0.09</v>
      </c>
      <c r="I480" s="1" t="s">
        <v>59</v>
      </c>
      <c r="J480" s="1" t="s">
        <v>76</v>
      </c>
      <c r="K480" s="10">
        <v>38122</v>
      </c>
    </row>
    <row r="481" spans="1:11" x14ac:dyDescent="0.25">
      <c r="A481" s="6" t="s">
        <v>31</v>
      </c>
      <c r="B481" s="1" t="s">
        <v>26</v>
      </c>
      <c r="C481" s="1" t="s">
        <v>27</v>
      </c>
      <c r="D481" s="1" t="s">
        <v>33</v>
      </c>
      <c r="E481" s="1">
        <v>37</v>
      </c>
      <c r="F481" s="7">
        <v>42405</v>
      </c>
      <c r="G481" s="8">
        <v>80055</v>
      </c>
      <c r="H481" s="9">
        <v>0</v>
      </c>
      <c r="I481" s="1" t="s">
        <v>34</v>
      </c>
      <c r="J481" s="1" t="s">
        <v>64</v>
      </c>
      <c r="K481" s="10" t="s">
        <v>36</v>
      </c>
    </row>
    <row r="482" spans="1:11" x14ac:dyDescent="0.25">
      <c r="A482" s="6" t="s">
        <v>42</v>
      </c>
      <c r="B482" s="1" t="s">
        <v>45</v>
      </c>
      <c r="C482" s="1" t="s">
        <v>27</v>
      </c>
      <c r="D482" s="1" t="s">
        <v>33</v>
      </c>
      <c r="E482" s="1">
        <v>58</v>
      </c>
      <c r="F482" s="7">
        <v>39930</v>
      </c>
      <c r="G482" s="8">
        <v>76802</v>
      </c>
      <c r="H482" s="9">
        <v>0</v>
      </c>
      <c r="I482" s="1" t="s">
        <v>59</v>
      </c>
      <c r="J482" s="1" t="s">
        <v>60</v>
      </c>
      <c r="K482" s="10" t="s">
        <v>36</v>
      </c>
    </row>
    <row r="483" spans="1:11" x14ac:dyDescent="0.25">
      <c r="A483" s="6" t="s">
        <v>56</v>
      </c>
      <c r="B483" s="1" t="s">
        <v>45</v>
      </c>
      <c r="C483" s="1" t="s">
        <v>39</v>
      </c>
      <c r="D483" s="1" t="s">
        <v>33</v>
      </c>
      <c r="E483" s="1">
        <v>47</v>
      </c>
      <c r="F483" s="7">
        <v>42696</v>
      </c>
      <c r="G483" s="8">
        <v>253249</v>
      </c>
      <c r="H483" s="9">
        <v>0.31</v>
      </c>
      <c r="I483" s="1" t="s">
        <v>29</v>
      </c>
      <c r="J483" s="1" t="s">
        <v>51</v>
      </c>
      <c r="K483" s="10" t="s">
        <v>36</v>
      </c>
    </row>
    <row r="484" spans="1:11" x14ac:dyDescent="0.25">
      <c r="A484" s="6" t="s">
        <v>69</v>
      </c>
      <c r="B484" s="1" t="s">
        <v>52</v>
      </c>
      <c r="C484" s="1" t="s">
        <v>27</v>
      </c>
      <c r="D484" s="1" t="s">
        <v>28</v>
      </c>
      <c r="E484" s="1">
        <v>60</v>
      </c>
      <c r="F484" s="7">
        <v>38667</v>
      </c>
      <c r="G484" s="8">
        <v>78388</v>
      </c>
      <c r="H484" s="9">
        <v>0</v>
      </c>
      <c r="I484" s="1" t="s">
        <v>34</v>
      </c>
      <c r="J484" s="1" t="s">
        <v>35</v>
      </c>
      <c r="K484" s="10" t="s">
        <v>36</v>
      </c>
    </row>
    <row r="485" spans="1:11" x14ac:dyDescent="0.25">
      <c r="A485" s="6" t="s">
        <v>56</v>
      </c>
      <c r="B485" s="1" t="s">
        <v>26</v>
      </c>
      <c r="C485" s="1" t="s">
        <v>46</v>
      </c>
      <c r="D485" s="1" t="s">
        <v>33</v>
      </c>
      <c r="E485" s="1">
        <v>38</v>
      </c>
      <c r="F485" s="7">
        <v>42543</v>
      </c>
      <c r="G485" s="8">
        <v>249870</v>
      </c>
      <c r="H485" s="9">
        <v>0.34</v>
      </c>
      <c r="I485" s="1" t="s">
        <v>29</v>
      </c>
      <c r="J485" s="1" t="s">
        <v>40</v>
      </c>
      <c r="K485" s="10" t="s">
        <v>36</v>
      </c>
    </row>
    <row r="486" spans="1:11" x14ac:dyDescent="0.25">
      <c r="A486" s="6" t="s">
        <v>25</v>
      </c>
      <c r="B486" s="1" t="s">
        <v>57</v>
      </c>
      <c r="C486" s="1" t="s">
        <v>32</v>
      </c>
      <c r="D486" s="1" t="s">
        <v>33</v>
      </c>
      <c r="E486" s="1">
        <v>63</v>
      </c>
      <c r="F486" s="7">
        <v>42064</v>
      </c>
      <c r="G486" s="8">
        <v>148321</v>
      </c>
      <c r="H486" s="9">
        <v>0.15</v>
      </c>
      <c r="I486" s="1" t="s">
        <v>34</v>
      </c>
      <c r="J486" s="1" t="s">
        <v>64</v>
      </c>
      <c r="K486" s="10" t="s">
        <v>36</v>
      </c>
    </row>
    <row r="487" spans="1:11" x14ac:dyDescent="0.25">
      <c r="A487" s="6" t="s">
        <v>86</v>
      </c>
      <c r="B487" s="1" t="s">
        <v>26</v>
      </c>
      <c r="C487" s="1" t="s">
        <v>46</v>
      </c>
      <c r="D487" s="1" t="s">
        <v>28</v>
      </c>
      <c r="E487" s="1">
        <v>60</v>
      </c>
      <c r="F487" s="7">
        <v>38027</v>
      </c>
      <c r="G487" s="8">
        <v>90258</v>
      </c>
      <c r="H487" s="9">
        <v>0</v>
      </c>
      <c r="I487" s="1" t="s">
        <v>34</v>
      </c>
      <c r="J487" s="1" t="s">
        <v>35</v>
      </c>
      <c r="K487" s="10" t="s">
        <v>36</v>
      </c>
    </row>
    <row r="488" spans="1:11" x14ac:dyDescent="0.25">
      <c r="A488" s="6" t="s">
        <v>82</v>
      </c>
      <c r="B488" s="1" t="s">
        <v>26</v>
      </c>
      <c r="C488" s="1" t="s">
        <v>32</v>
      </c>
      <c r="D488" s="1" t="s">
        <v>28</v>
      </c>
      <c r="E488" s="1">
        <v>42</v>
      </c>
      <c r="F488" s="7">
        <v>40593</v>
      </c>
      <c r="G488" s="8">
        <v>72486</v>
      </c>
      <c r="H488" s="9">
        <v>0</v>
      </c>
      <c r="I488" s="1" t="s">
        <v>29</v>
      </c>
      <c r="J488" s="1" t="s">
        <v>30</v>
      </c>
      <c r="K488" s="10" t="s">
        <v>36</v>
      </c>
    </row>
    <row r="489" spans="1:11" x14ac:dyDescent="0.25">
      <c r="A489" s="6" t="s">
        <v>42</v>
      </c>
      <c r="B489" s="1" t="s">
        <v>38</v>
      </c>
      <c r="C489" s="1" t="s">
        <v>46</v>
      </c>
      <c r="D489" s="1" t="s">
        <v>33</v>
      </c>
      <c r="E489" s="1">
        <v>34</v>
      </c>
      <c r="F489" s="7">
        <v>41886</v>
      </c>
      <c r="G489" s="8">
        <v>95499</v>
      </c>
      <c r="H489" s="9">
        <v>0</v>
      </c>
      <c r="I489" s="1" t="s">
        <v>59</v>
      </c>
      <c r="J489" s="1" t="s">
        <v>76</v>
      </c>
      <c r="K489" s="10">
        <v>42958</v>
      </c>
    </row>
    <row r="490" spans="1:11" x14ac:dyDescent="0.25">
      <c r="A490" s="6" t="s">
        <v>42</v>
      </c>
      <c r="B490" s="1" t="s">
        <v>50</v>
      </c>
      <c r="C490" s="1" t="s">
        <v>27</v>
      </c>
      <c r="D490" s="1" t="s">
        <v>28</v>
      </c>
      <c r="E490" s="1">
        <v>53</v>
      </c>
      <c r="F490" s="7">
        <v>38344</v>
      </c>
      <c r="G490" s="8">
        <v>90212</v>
      </c>
      <c r="H490" s="9">
        <v>0</v>
      </c>
      <c r="I490" s="1" t="s">
        <v>59</v>
      </c>
      <c r="J490" s="1" t="s">
        <v>76</v>
      </c>
      <c r="K490" s="10" t="s">
        <v>36</v>
      </c>
    </row>
    <row r="491" spans="1:11" x14ac:dyDescent="0.25">
      <c r="A491" s="6" t="s">
        <v>56</v>
      </c>
      <c r="B491" s="1" t="s">
        <v>57</v>
      </c>
      <c r="C491" s="1" t="s">
        <v>27</v>
      </c>
      <c r="D491" s="1" t="s">
        <v>33</v>
      </c>
      <c r="E491" s="1">
        <v>39</v>
      </c>
      <c r="F491" s="7">
        <v>43804</v>
      </c>
      <c r="G491" s="8">
        <v>254057</v>
      </c>
      <c r="H491" s="9">
        <v>0.39</v>
      </c>
      <c r="I491" s="1" t="s">
        <v>34</v>
      </c>
      <c r="J491" s="1" t="s">
        <v>55</v>
      </c>
      <c r="K491" s="10" t="s">
        <v>36</v>
      </c>
    </row>
    <row r="492" spans="1:11" x14ac:dyDescent="0.25">
      <c r="A492" s="6" t="s">
        <v>74</v>
      </c>
      <c r="B492" s="1" t="s">
        <v>52</v>
      </c>
      <c r="C492" s="1" t="s">
        <v>32</v>
      </c>
      <c r="D492" s="1" t="s">
        <v>28</v>
      </c>
      <c r="E492" s="1">
        <v>58</v>
      </c>
      <c r="F492" s="7">
        <v>40463</v>
      </c>
      <c r="G492" s="8">
        <v>43001</v>
      </c>
      <c r="H492" s="9">
        <v>0</v>
      </c>
      <c r="I492" s="1" t="s">
        <v>29</v>
      </c>
      <c r="J492" s="1" t="s">
        <v>51</v>
      </c>
      <c r="K492" s="10" t="s">
        <v>36</v>
      </c>
    </row>
    <row r="493" spans="1:11" x14ac:dyDescent="0.25">
      <c r="A493" s="6" t="s">
        <v>41</v>
      </c>
      <c r="B493" s="1" t="s">
        <v>26</v>
      </c>
      <c r="C493" s="1" t="s">
        <v>32</v>
      </c>
      <c r="D493" s="1" t="s">
        <v>33</v>
      </c>
      <c r="E493" s="1">
        <v>60</v>
      </c>
      <c r="F493" s="7">
        <v>36010</v>
      </c>
      <c r="G493" s="8">
        <v>85120</v>
      </c>
      <c r="H493" s="9">
        <v>0.09</v>
      </c>
      <c r="I493" s="1" t="s">
        <v>29</v>
      </c>
      <c r="J493" s="1" t="s">
        <v>30</v>
      </c>
      <c r="K493" s="10" t="s">
        <v>36</v>
      </c>
    </row>
    <row r="494" spans="1:11" x14ac:dyDescent="0.25">
      <c r="A494" s="6" t="s">
        <v>74</v>
      </c>
      <c r="B494" s="1" t="s">
        <v>52</v>
      </c>
      <c r="C494" s="1" t="s">
        <v>32</v>
      </c>
      <c r="D494" s="1" t="s">
        <v>33</v>
      </c>
      <c r="E494" s="1">
        <v>34</v>
      </c>
      <c r="F494" s="7">
        <v>42219</v>
      </c>
      <c r="G494" s="8">
        <v>52200</v>
      </c>
      <c r="H494" s="9">
        <v>0</v>
      </c>
      <c r="I494" s="1" t="s">
        <v>29</v>
      </c>
      <c r="J494" s="1" t="s">
        <v>58</v>
      </c>
      <c r="K494" s="10" t="s">
        <v>36</v>
      </c>
    </row>
    <row r="495" spans="1:11" x14ac:dyDescent="0.25">
      <c r="A495" s="6" t="s">
        <v>25</v>
      </c>
      <c r="B495" s="1" t="s">
        <v>52</v>
      </c>
      <c r="C495" s="1" t="s">
        <v>46</v>
      </c>
      <c r="D495" s="1" t="s">
        <v>28</v>
      </c>
      <c r="E495" s="1">
        <v>60</v>
      </c>
      <c r="F495" s="7">
        <v>39739</v>
      </c>
      <c r="G495" s="8">
        <v>150855</v>
      </c>
      <c r="H495" s="9">
        <v>0.11</v>
      </c>
      <c r="I495" s="1" t="s">
        <v>29</v>
      </c>
      <c r="J495" s="1" t="s">
        <v>43</v>
      </c>
      <c r="K495" s="10" t="s">
        <v>36</v>
      </c>
    </row>
    <row r="496" spans="1:11" x14ac:dyDescent="0.25">
      <c r="A496" s="6" t="s">
        <v>67</v>
      </c>
      <c r="B496" s="1" t="s">
        <v>26</v>
      </c>
      <c r="C496" s="1" t="s">
        <v>32</v>
      </c>
      <c r="D496" s="1" t="s">
        <v>28</v>
      </c>
      <c r="E496" s="1">
        <v>53</v>
      </c>
      <c r="F496" s="7">
        <v>38188</v>
      </c>
      <c r="G496" s="8">
        <v>65702</v>
      </c>
      <c r="H496" s="9">
        <v>0</v>
      </c>
      <c r="I496" s="1" t="s">
        <v>29</v>
      </c>
      <c r="J496" s="1" t="s">
        <v>58</v>
      </c>
      <c r="K496" s="10" t="s">
        <v>36</v>
      </c>
    </row>
    <row r="497" spans="1:11" x14ac:dyDescent="0.25">
      <c r="A497" s="6" t="s">
        <v>37</v>
      </c>
      <c r="B497" s="1" t="s">
        <v>38</v>
      </c>
      <c r="C497" s="1" t="s">
        <v>46</v>
      </c>
      <c r="D497" s="1" t="s">
        <v>33</v>
      </c>
      <c r="E497" s="1">
        <v>58</v>
      </c>
      <c r="F497" s="7">
        <v>39367</v>
      </c>
      <c r="G497" s="8">
        <v>162038</v>
      </c>
      <c r="H497" s="9">
        <v>0.24</v>
      </c>
      <c r="I497" s="1" t="s">
        <v>34</v>
      </c>
      <c r="J497" s="1" t="s">
        <v>35</v>
      </c>
      <c r="K497" s="10" t="s">
        <v>36</v>
      </c>
    </row>
    <row r="498" spans="1:11" x14ac:dyDescent="0.25">
      <c r="A498" s="6" t="s">
        <v>25</v>
      </c>
      <c r="B498" s="1" t="s">
        <v>57</v>
      </c>
      <c r="C498" s="1" t="s">
        <v>27</v>
      </c>
      <c r="D498" s="1" t="s">
        <v>28</v>
      </c>
      <c r="E498" s="1">
        <v>25</v>
      </c>
      <c r="F498" s="7">
        <v>43930</v>
      </c>
      <c r="G498" s="8">
        <v>157057</v>
      </c>
      <c r="H498" s="9">
        <v>0.1</v>
      </c>
      <c r="I498" s="1" t="s">
        <v>29</v>
      </c>
      <c r="J498" s="1" t="s">
        <v>58</v>
      </c>
      <c r="K498" s="10" t="s">
        <v>36</v>
      </c>
    </row>
    <row r="499" spans="1:11" x14ac:dyDescent="0.25">
      <c r="A499" s="6" t="s">
        <v>47</v>
      </c>
      <c r="B499" s="1" t="s">
        <v>26</v>
      </c>
      <c r="C499" s="1" t="s">
        <v>27</v>
      </c>
      <c r="D499" s="1" t="s">
        <v>33</v>
      </c>
      <c r="E499" s="1">
        <v>46</v>
      </c>
      <c r="F499" s="7">
        <v>44419</v>
      </c>
      <c r="G499" s="8">
        <v>127559</v>
      </c>
      <c r="H499" s="9">
        <v>0.1</v>
      </c>
      <c r="I499" s="1" t="s">
        <v>29</v>
      </c>
      <c r="J499" s="1" t="s">
        <v>51</v>
      </c>
      <c r="K499" s="10" t="s">
        <v>36</v>
      </c>
    </row>
    <row r="500" spans="1:11" x14ac:dyDescent="0.25">
      <c r="A500" s="6" t="s">
        <v>71</v>
      </c>
      <c r="B500" s="1" t="s">
        <v>54</v>
      </c>
      <c r="C500" s="1" t="s">
        <v>46</v>
      </c>
      <c r="D500" s="1" t="s">
        <v>28</v>
      </c>
      <c r="E500" s="1">
        <v>39</v>
      </c>
      <c r="F500" s="7">
        <v>43536</v>
      </c>
      <c r="G500" s="8">
        <v>62644</v>
      </c>
      <c r="H500" s="9">
        <v>0</v>
      </c>
      <c r="I500" s="1" t="s">
        <v>29</v>
      </c>
      <c r="J500" s="1" t="s">
        <v>30</v>
      </c>
      <c r="K500" s="10" t="s">
        <v>36</v>
      </c>
    </row>
    <row r="501" spans="1:11" x14ac:dyDescent="0.25">
      <c r="A501" s="6" t="s">
        <v>78</v>
      </c>
      <c r="B501" s="1" t="s">
        <v>26</v>
      </c>
      <c r="C501" s="1" t="s">
        <v>32</v>
      </c>
      <c r="D501" s="1" t="s">
        <v>33</v>
      </c>
      <c r="E501" s="1">
        <v>50</v>
      </c>
      <c r="F501" s="7">
        <v>36956</v>
      </c>
      <c r="G501" s="8">
        <v>73907</v>
      </c>
      <c r="H501" s="9">
        <v>0</v>
      </c>
      <c r="I501" s="1" t="s">
        <v>34</v>
      </c>
      <c r="J501" s="1" t="s">
        <v>55</v>
      </c>
      <c r="K501" s="10" t="s">
        <v>36</v>
      </c>
    </row>
    <row r="502" spans="1:11" x14ac:dyDescent="0.25">
      <c r="A502" s="6" t="s">
        <v>42</v>
      </c>
      <c r="B502" s="1" t="s">
        <v>50</v>
      </c>
      <c r="C502" s="1" t="s">
        <v>32</v>
      </c>
      <c r="D502" s="1" t="s">
        <v>28</v>
      </c>
      <c r="E502" s="1">
        <v>56</v>
      </c>
      <c r="F502" s="7">
        <v>43169</v>
      </c>
      <c r="G502" s="8">
        <v>90040</v>
      </c>
      <c r="H502" s="9">
        <v>0</v>
      </c>
      <c r="I502" s="1" t="s">
        <v>29</v>
      </c>
      <c r="J502" s="1" t="s">
        <v>40</v>
      </c>
      <c r="K502" s="10" t="s">
        <v>36</v>
      </c>
    </row>
    <row r="503" spans="1:11" x14ac:dyDescent="0.25">
      <c r="A503" s="6" t="s">
        <v>80</v>
      </c>
      <c r="B503" s="1" t="s">
        <v>54</v>
      </c>
      <c r="C503" s="1" t="s">
        <v>32</v>
      </c>
      <c r="D503" s="1" t="s">
        <v>28</v>
      </c>
      <c r="E503" s="1">
        <v>30</v>
      </c>
      <c r="F503" s="7">
        <v>42516</v>
      </c>
      <c r="G503" s="8">
        <v>91134</v>
      </c>
      <c r="H503" s="9">
        <v>0</v>
      </c>
      <c r="I503" s="1" t="s">
        <v>59</v>
      </c>
      <c r="J503" s="1" t="s">
        <v>76</v>
      </c>
      <c r="K503" s="10" t="s">
        <v>36</v>
      </c>
    </row>
    <row r="504" spans="1:11" x14ac:dyDescent="0.25">
      <c r="A504" s="6" t="s">
        <v>56</v>
      </c>
      <c r="B504" s="1" t="s">
        <v>52</v>
      </c>
      <c r="C504" s="1" t="s">
        <v>39</v>
      </c>
      <c r="D504" s="1" t="s">
        <v>28</v>
      </c>
      <c r="E504" s="1">
        <v>45</v>
      </c>
      <c r="F504" s="7">
        <v>44461</v>
      </c>
      <c r="G504" s="8">
        <v>201396</v>
      </c>
      <c r="H504" s="9">
        <v>0.32</v>
      </c>
      <c r="I504" s="1" t="s">
        <v>29</v>
      </c>
      <c r="J504" s="1" t="s">
        <v>49</v>
      </c>
      <c r="K504" s="10" t="s">
        <v>36</v>
      </c>
    </row>
    <row r="505" spans="1:11" x14ac:dyDescent="0.25">
      <c r="A505" s="6" t="s">
        <v>48</v>
      </c>
      <c r="B505" s="1" t="s">
        <v>50</v>
      </c>
      <c r="C505" s="1" t="s">
        <v>46</v>
      </c>
      <c r="D505" s="1" t="s">
        <v>28</v>
      </c>
      <c r="E505" s="1">
        <v>55</v>
      </c>
      <c r="F505" s="7">
        <v>40899</v>
      </c>
      <c r="G505" s="8">
        <v>54733</v>
      </c>
      <c r="H505" s="9">
        <v>0</v>
      </c>
      <c r="I505" s="1" t="s">
        <v>34</v>
      </c>
      <c r="J505" s="1" t="s">
        <v>35</v>
      </c>
      <c r="K505" s="10" t="s">
        <v>36</v>
      </c>
    </row>
    <row r="506" spans="1:11" x14ac:dyDescent="0.25">
      <c r="A506" s="6" t="s">
        <v>82</v>
      </c>
      <c r="B506" s="1" t="s">
        <v>26</v>
      </c>
      <c r="C506" s="1" t="s">
        <v>46</v>
      </c>
      <c r="D506" s="1" t="s">
        <v>33</v>
      </c>
      <c r="E506" s="1">
        <v>28</v>
      </c>
      <c r="F506" s="7">
        <v>43633</v>
      </c>
      <c r="G506" s="8">
        <v>65341</v>
      </c>
      <c r="H506" s="9">
        <v>0</v>
      </c>
      <c r="I506" s="1" t="s">
        <v>29</v>
      </c>
      <c r="J506" s="1" t="s">
        <v>49</v>
      </c>
      <c r="K506" s="10">
        <v>44662</v>
      </c>
    </row>
    <row r="507" spans="1:11" x14ac:dyDescent="0.25">
      <c r="A507" s="6" t="s">
        <v>25</v>
      </c>
      <c r="B507" s="1" t="s">
        <v>38</v>
      </c>
      <c r="C507" s="1" t="s">
        <v>46</v>
      </c>
      <c r="D507" s="1" t="s">
        <v>28</v>
      </c>
      <c r="E507" s="1">
        <v>59</v>
      </c>
      <c r="F507" s="7">
        <v>43400</v>
      </c>
      <c r="G507" s="8">
        <v>139208</v>
      </c>
      <c r="H507" s="9">
        <v>0.11</v>
      </c>
      <c r="I507" s="1" t="s">
        <v>29</v>
      </c>
      <c r="J507" s="1" t="s">
        <v>51</v>
      </c>
      <c r="K507" s="10" t="s">
        <v>36</v>
      </c>
    </row>
    <row r="508" spans="1:11" x14ac:dyDescent="0.25">
      <c r="A508" s="6" t="s">
        <v>42</v>
      </c>
      <c r="B508" s="1" t="s">
        <v>45</v>
      </c>
      <c r="C508" s="1" t="s">
        <v>39</v>
      </c>
      <c r="D508" s="1" t="s">
        <v>33</v>
      </c>
      <c r="E508" s="1">
        <v>63</v>
      </c>
      <c r="F508" s="7">
        <v>43171</v>
      </c>
      <c r="G508" s="8">
        <v>73200</v>
      </c>
      <c r="H508" s="9">
        <v>0</v>
      </c>
      <c r="I508" s="1" t="s">
        <v>34</v>
      </c>
      <c r="J508" s="1" t="s">
        <v>55</v>
      </c>
      <c r="K508" s="10" t="s">
        <v>36</v>
      </c>
    </row>
    <row r="509" spans="1:11" x14ac:dyDescent="0.25">
      <c r="A509" s="6" t="s">
        <v>47</v>
      </c>
      <c r="B509" s="1" t="s">
        <v>50</v>
      </c>
      <c r="C509" s="1" t="s">
        <v>39</v>
      </c>
      <c r="D509" s="1" t="s">
        <v>28</v>
      </c>
      <c r="E509" s="1">
        <v>46</v>
      </c>
      <c r="F509" s="7">
        <v>40292</v>
      </c>
      <c r="G509" s="8">
        <v>102636</v>
      </c>
      <c r="H509" s="9">
        <v>0.06</v>
      </c>
      <c r="I509" s="1" t="s">
        <v>29</v>
      </c>
      <c r="J509" s="1" t="s">
        <v>30</v>
      </c>
      <c r="K509" s="10" t="s">
        <v>36</v>
      </c>
    </row>
    <row r="510" spans="1:11" x14ac:dyDescent="0.25">
      <c r="A510" s="6" t="s">
        <v>81</v>
      </c>
      <c r="B510" s="1" t="s">
        <v>45</v>
      </c>
      <c r="C510" s="1" t="s">
        <v>39</v>
      </c>
      <c r="D510" s="1" t="s">
        <v>28</v>
      </c>
      <c r="E510" s="1">
        <v>26</v>
      </c>
      <c r="F510" s="7">
        <v>44236</v>
      </c>
      <c r="G510" s="8">
        <v>87427</v>
      </c>
      <c r="H510" s="9">
        <v>0</v>
      </c>
      <c r="I510" s="1" t="s">
        <v>59</v>
      </c>
      <c r="J510" s="1" t="s">
        <v>76</v>
      </c>
      <c r="K510" s="10" t="s">
        <v>36</v>
      </c>
    </row>
    <row r="511" spans="1:11" x14ac:dyDescent="0.25">
      <c r="A511" s="6" t="s">
        <v>65</v>
      </c>
      <c r="B511" s="1" t="s">
        <v>26</v>
      </c>
      <c r="C511" s="1" t="s">
        <v>27</v>
      </c>
      <c r="D511" s="1" t="s">
        <v>33</v>
      </c>
      <c r="E511" s="1">
        <v>45</v>
      </c>
      <c r="F511" s="7">
        <v>43248</v>
      </c>
      <c r="G511" s="8">
        <v>49219</v>
      </c>
      <c r="H511" s="9">
        <v>0</v>
      </c>
      <c r="I511" s="1" t="s">
        <v>29</v>
      </c>
      <c r="J511" s="1" t="s">
        <v>58</v>
      </c>
      <c r="K511" s="10" t="s">
        <v>36</v>
      </c>
    </row>
    <row r="512" spans="1:11" x14ac:dyDescent="0.25">
      <c r="A512" s="6" t="s">
        <v>47</v>
      </c>
      <c r="B512" s="1" t="s">
        <v>38</v>
      </c>
      <c r="C512" s="1" t="s">
        <v>32</v>
      </c>
      <c r="D512" s="1" t="s">
        <v>33</v>
      </c>
      <c r="E512" s="1">
        <v>50</v>
      </c>
      <c r="F512" s="7">
        <v>43239</v>
      </c>
      <c r="G512" s="8">
        <v>106437</v>
      </c>
      <c r="H512" s="9">
        <v>7.0000000000000007E-2</v>
      </c>
      <c r="I512" s="1" t="s">
        <v>34</v>
      </c>
      <c r="J512" s="1" t="s">
        <v>35</v>
      </c>
      <c r="K512" s="10" t="s">
        <v>36</v>
      </c>
    </row>
    <row r="513" spans="1:11" x14ac:dyDescent="0.25">
      <c r="A513" s="6" t="s">
        <v>66</v>
      </c>
      <c r="B513" s="1" t="s">
        <v>38</v>
      </c>
      <c r="C513" s="1" t="s">
        <v>32</v>
      </c>
      <c r="D513" s="1" t="s">
        <v>33</v>
      </c>
      <c r="E513" s="1">
        <v>46</v>
      </c>
      <c r="F513" s="7">
        <v>42129</v>
      </c>
      <c r="G513" s="8">
        <v>64364</v>
      </c>
      <c r="H513" s="9">
        <v>0</v>
      </c>
      <c r="I513" s="1" t="s">
        <v>59</v>
      </c>
      <c r="J513" s="1" t="s">
        <v>76</v>
      </c>
      <c r="K513" s="10" t="s">
        <v>36</v>
      </c>
    </row>
    <row r="514" spans="1:11" x14ac:dyDescent="0.25">
      <c r="A514" s="6" t="s">
        <v>37</v>
      </c>
      <c r="B514" s="1" t="s">
        <v>52</v>
      </c>
      <c r="C514" s="1" t="s">
        <v>32</v>
      </c>
      <c r="D514" s="1" t="s">
        <v>33</v>
      </c>
      <c r="E514" s="1">
        <v>50</v>
      </c>
      <c r="F514" s="7">
        <v>44486</v>
      </c>
      <c r="G514" s="8">
        <v>172180</v>
      </c>
      <c r="H514" s="9">
        <v>0.3</v>
      </c>
      <c r="I514" s="1" t="s">
        <v>29</v>
      </c>
      <c r="J514" s="1" t="s">
        <v>58</v>
      </c>
      <c r="K514" s="10" t="s">
        <v>36</v>
      </c>
    </row>
    <row r="515" spans="1:11" x14ac:dyDescent="0.25">
      <c r="A515" s="6" t="s">
        <v>42</v>
      </c>
      <c r="B515" s="1" t="s">
        <v>45</v>
      </c>
      <c r="C515" s="1" t="s">
        <v>32</v>
      </c>
      <c r="D515" s="1" t="s">
        <v>28</v>
      </c>
      <c r="E515" s="1">
        <v>33</v>
      </c>
      <c r="F515" s="7">
        <v>41043</v>
      </c>
      <c r="G515" s="8">
        <v>88343</v>
      </c>
      <c r="H515" s="9">
        <v>0</v>
      </c>
      <c r="I515" s="1" t="s">
        <v>59</v>
      </c>
      <c r="J515" s="1" t="s">
        <v>61</v>
      </c>
      <c r="K515" s="10" t="s">
        <v>36</v>
      </c>
    </row>
    <row r="516" spans="1:11" x14ac:dyDescent="0.25">
      <c r="A516" s="6" t="s">
        <v>84</v>
      </c>
      <c r="B516" s="1" t="s">
        <v>26</v>
      </c>
      <c r="C516" s="1" t="s">
        <v>39</v>
      </c>
      <c r="D516" s="1" t="s">
        <v>33</v>
      </c>
      <c r="E516" s="1">
        <v>57</v>
      </c>
      <c r="F516" s="7">
        <v>41830</v>
      </c>
      <c r="G516" s="8">
        <v>66649</v>
      </c>
      <c r="H516" s="9">
        <v>0</v>
      </c>
      <c r="I516" s="1" t="s">
        <v>59</v>
      </c>
      <c r="J516" s="1" t="s">
        <v>61</v>
      </c>
      <c r="K516" s="10" t="s">
        <v>36</v>
      </c>
    </row>
    <row r="517" spans="1:11" x14ac:dyDescent="0.25">
      <c r="A517" s="6" t="s">
        <v>47</v>
      </c>
      <c r="B517" s="1" t="s">
        <v>38</v>
      </c>
      <c r="C517" s="1" t="s">
        <v>46</v>
      </c>
      <c r="D517" s="1" t="s">
        <v>28</v>
      </c>
      <c r="E517" s="1">
        <v>48</v>
      </c>
      <c r="F517" s="7">
        <v>36272</v>
      </c>
      <c r="G517" s="8">
        <v>102847</v>
      </c>
      <c r="H517" s="9">
        <v>0.05</v>
      </c>
      <c r="I517" s="1" t="s">
        <v>29</v>
      </c>
      <c r="J517" s="1" t="s">
        <v>40</v>
      </c>
      <c r="K517" s="10" t="s">
        <v>36</v>
      </c>
    </row>
    <row r="518" spans="1:11" x14ac:dyDescent="0.25">
      <c r="A518" s="6" t="s">
        <v>25</v>
      </c>
      <c r="B518" s="1" t="s">
        <v>38</v>
      </c>
      <c r="C518" s="1" t="s">
        <v>32</v>
      </c>
      <c r="D518" s="1" t="s">
        <v>33</v>
      </c>
      <c r="E518" s="1">
        <v>46</v>
      </c>
      <c r="F518" s="7">
        <v>40378</v>
      </c>
      <c r="G518" s="8">
        <v>134881</v>
      </c>
      <c r="H518" s="9">
        <v>0.15</v>
      </c>
      <c r="I518" s="1" t="s">
        <v>59</v>
      </c>
      <c r="J518" s="1" t="s">
        <v>60</v>
      </c>
      <c r="K518" s="10" t="s">
        <v>36</v>
      </c>
    </row>
    <row r="519" spans="1:11" x14ac:dyDescent="0.25">
      <c r="A519" s="6" t="s">
        <v>66</v>
      </c>
      <c r="B519" s="1" t="s">
        <v>57</v>
      </c>
      <c r="C519" s="1" t="s">
        <v>32</v>
      </c>
      <c r="D519" s="1" t="s">
        <v>33</v>
      </c>
      <c r="E519" s="1">
        <v>52</v>
      </c>
      <c r="F519" s="7">
        <v>36303</v>
      </c>
      <c r="G519" s="8">
        <v>68807</v>
      </c>
      <c r="H519" s="9">
        <v>0</v>
      </c>
      <c r="I519" s="1" t="s">
        <v>34</v>
      </c>
      <c r="J519" s="1" t="s">
        <v>68</v>
      </c>
      <c r="K519" s="10">
        <v>42338</v>
      </c>
    </row>
    <row r="520" spans="1:11" x14ac:dyDescent="0.25">
      <c r="A520" s="6" t="s">
        <v>56</v>
      </c>
      <c r="B520" s="1" t="s">
        <v>26</v>
      </c>
      <c r="C520" s="1" t="s">
        <v>32</v>
      </c>
      <c r="D520" s="1" t="s">
        <v>33</v>
      </c>
      <c r="E520" s="1">
        <v>56</v>
      </c>
      <c r="F520" s="7">
        <v>38866</v>
      </c>
      <c r="G520" s="8">
        <v>228822</v>
      </c>
      <c r="H520" s="9">
        <v>0.36</v>
      </c>
      <c r="I520" s="1" t="s">
        <v>29</v>
      </c>
      <c r="J520" s="1" t="s">
        <v>49</v>
      </c>
      <c r="K520" s="10" t="s">
        <v>36</v>
      </c>
    </row>
    <row r="521" spans="1:11" x14ac:dyDescent="0.25">
      <c r="A521" s="6" t="s">
        <v>48</v>
      </c>
      <c r="B521" s="1" t="s">
        <v>57</v>
      </c>
      <c r="C521" s="1" t="s">
        <v>32</v>
      </c>
      <c r="D521" s="1" t="s">
        <v>33</v>
      </c>
      <c r="E521" s="1">
        <v>28</v>
      </c>
      <c r="F521" s="7">
        <v>44395</v>
      </c>
      <c r="G521" s="8">
        <v>43391</v>
      </c>
      <c r="H521" s="9">
        <v>0</v>
      </c>
      <c r="I521" s="1" t="s">
        <v>29</v>
      </c>
      <c r="J521" s="1" t="s">
        <v>58</v>
      </c>
      <c r="K521" s="10" t="s">
        <v>36</v>
      </c>
    </row>
    <row r="522" spans="1:11" x14ac:dyDescent="0.25">
      <c r="A522" s="6" t="s">
        <v>62</v>
      </c>
      <c r="B522" s="1" t="s">
        <v>54</v>
      </c>
      <c r="C522" s="1" t="s">
        <v>39</v>
      </c>
      <c r="D522" s="1" t="s">
        <v>33</v>
      </c>
      <c r="E522" s="1">
        <v>29</v>
      </c>
      <c r="F522" s="7">
        <v>44515</v>
      </c>
      <c r="G522" s="8">
        <v>91782</v>
      </c>
      <c r="H522" s="9">
        <v>0</v>
      </c>
      <c r="I522" s="1" t="s">
        <v>34</v>
      </c>
      <c r="J522" s="1" t="s">
        <v>35</v>
      </c>
      <c r="K522" s="10" t="s">
        <v>36</v>
      </c>
    </row>
    <row r="523" spans="1:11" x14ac:dyDescent="0.25">
      <c r="A523" s="6" t="s">
        <v>56</v>
      </c>
      <c r="B523" s="1" t="s">
        <v>57</v>
      </c>
      <c r="C523" s="1" t="s">
        <v>46</v>
      </c>
      <c r="D523" s="1" t="s">
        <v>28</v>
      </c>
      <c r="E523" s="1">
        <v>45</v>
      </c>
      <c r="F523" s="7">
        <v>42428</v>
      </c>
      <c r="G523" s="8">
        <v>211637</v>
      </c>
      <c r="H523" s="9">
        <v>0.31</v>
      </c>
      <c r="I523" s="1" t="s">
        <v>29</v>
      </c>
      <c r="J523" s="1" t="s">
        <v>40</v>
      </c>
      <c r="K523" s="10" t="s">
        <v>36</v>
      </c>
    </row>
    <row r="524" spans="1:11" x14ac:dyDescent="0.25">
      <c r="A524" s="6" t="s">
        <v>41</v>
      </c>
      <c r="B524" s="1" t="s">
        <v>26</v>
      </c>
      <c r="C524" s="1" t="s">
        <v>32</v>
      </c>
      <c r="D524" s="1" t="s">
        <v>33</v>
      </c>
      <c r="E524" s="1">
        <v>28</v>
      </c>
      <c r="F524" s="7">
        <v>44051</v>
      </c>
      <c r="G524" s="8">
        <v>73255</v>
      </c>
      <c r="H524" s="9">
        <v>0.09</v>
      </c>
      <c r="I524" s="1" t="s">
        <v>29</v>
      </c>
      <c r="J524" s="1" t="s">
        <v>43</v>
      </c>
      <c r="K524" s="10" t="s">
        <v>36</v>
      </c>
    </row>
    <row r="525" spans="1:11" x14ac:dyDescent="0.25">
      <c r="A525" s="6" t="s">
        <v>47</v>
      </c>
      <c r="B525" s="1" t="s">
        <v>45</v>
      </c>
      <c r="C525" s="1" t="s">
        <v>46</v>
      </c>
      <c r="D525" s="1" t="s">
        <v>33</v>
      </c>
      <c r="E525" s="1">
        <v>28</v>
      </c>
      <c r="F525" s="7">
        <v>44204</v>
      </c>
      <c r="G525" s="8">
        <v>108826</v>
      </c>
      <c r="H525" s="9">
        <v>0.1</v>
      </c>
      <c r="I525" s="1" t="s">
        <v>29</v>
      </c>
      <c r="J525" s="1" t="s">
        <v>49</v>
      </c>
      <c r="K525" s="10" t="s">
        <v>36</v>
      </c>
    </row>
    <row r="526" spans="1:11" x14ac:dyDescent="0.25">
      <c r="A526" s="6" t="s">
        <v>84</v>
      </c>
      <c r="B526" s="1" t="s">
        <v>26</v>
      </c>
      <c r="C526" s="1" t="s">
        <v>39</v>
      </c>
      <c r="D526" s="1" t="s">
        <v>33</v>
      </c>
      <c r="E526" s="1">
        <v>34</v>
      </c>
      <c r="F526" s="7">
        <v>42514</v>
      </c>
      <c r="G526" s="8">
        <v>94352</v>
      </c>
      <c r="H526" s="9">
        <v>0</v>
      </c>
      <c r="I526" s="1" t="s">
        <v>29</v>
      </c>
      <c r="J526" s="1" t="s">
        <v>49</v>
      </c>
      <c r="K526" s="10" t="s">
        <v>36</v>
      </c>
    </row>
    <row r="527" spans="1:11" x14ac:dyDescent="0.25">
      <c r="A527" s="6" t="s">
        <v>85</v>
      </c>
      <c r="B527" s="1" t="s">
        <v>26</v>
      </c>
      <c r="C527" s="1" t="s">
        <v>27</v>
      </c>
      <c r="D527" s="1" t="s">
        <v>28</v>
      </c>
      <c r="E527" s="1">
        <v>55</v>
      </c>
      <c r="F527" s="7">
        <v>34576</v>
      </c>
      <c r="G527" s="8">
        <v>73955</v>
      </c>
      <c r="H527" s="9">
        <v>0</v>
      </c>
      <c r="I527" s="1" t="s">
        <v>29</v>
      </c>
      <c r="J527" s="1" t="s">
        <v>43</v>
      </c>
      <c r="K527" s="10" t="s">
        <v>36</v>
      </c>
    </row>
    <row r="528" spans="1:11" x14ac:dyDescent="0.25">
      <c r="A528" s="6" t="s">
        <v>47</v>
      </c>
      <c r="B528" s="1" t="s">
        <v>52</v>
      </c>
      <c r="C528" s="1" t="s">
        <v>32</v>
      </c>
      <c r="D528" s="1" t="s">
        <v>33</v>
      </c>
      <c r="E528" s="1">
        <v>34</v>
      </c>
      <c r="F528" s="7">
        <v>41499</v>
      </c>
      <c r="G528" s="8">
        <v>113909</v>
      </c>
      <c r="H528" s="9">
        <v>0.06</v>
      </c>
      <c r="I528" s="1" t="s">
        <v>59</v>
      </c>
      <c r="J528" s="1" t="s">
        <v>61</v>
      </c>
      <c r="K528" s="10" t="s">
        <v>36</v>
      </c>
    </row>
    <row r="529" spans="1:11" x14ac:dyDescent="0.25">
      <c r="A529" s="6" t="s">
        <v>87</v>
      </c>
      <c r="B529" s="1" t="s">
        <v>26</v>
      </c>
      <c r="C529" s="1" t="s">
        <v>32</v>
      </c>
      <c r="D529" s="1" t="s">
        <v>33</v>
      </c>
      <c r="E529" s="1">
        <v>27</v>
      </c>
      <c r="F529" s="7">
        <v>44189</v>
      </c>
      <c r="G529" s="8">
        <v>92321</v>
      </c>
      <c r="H529" s="9">
        <v>0</v>
      </c>
      <c r="I529" s="1" t="s">
        <v>29</v>
      </c>
      <c r="J529" s="1" t="s">
        <v>40</v>
      </c>
      <c r="K529" s="10" t="s">
        <v>36</v>
      </c>
    </row>
    <row r="530" spans="1:11" x14ac:dyDescent="0.25">
      <c r="A530" s="6" t="s">
        <v>41</v>
      </c>
      <c r="B530" s="1" t="s">
        <v>26</v>
      </c>
      <c r="C530" s="1" t="s">
        <v>27</v>
      </c>
      <c r="D530" s="1" t="s">
        <v>33</v>
      </c>
      <c r="E530" s="1">
        <v>52</v>
      </c>
      <c r="F530" s="7">
        <v>41417</v>
      </c>
      <c r="G530" s="8">
        <v>99557</v>
      </c>
      <c r="H530" s="9">
        <v>0.09</v>
      </c>
      <c r="I530" s="1" t="s">
        <v>29</v>
      </c>
      <c r="J530" s="1" t="s">
        <v>30</v>
      </c>
      <c r="K530" s="10" t="s">
        <v>36</v>
      </c>
    </row>
    <row r="531" spans="1:11" x14ac:dyDescent="0.25">
      <c r="A531" s="6" t="s">
        <v>72</v>
      </c>
      <c r="B531" s="1" t="s">
        <v>54</v>
      </c>
      <c r="C531" s="1" t="s">
        <v>39</v>
      </c>
      <c r="D531" s="1" t="s">
        <v>28</v>
      </c>
      <c r="E531" s="1">
        <v>28</v>
      </c>
      <c r="F531" s="7">
        <v>43418</v>
      </c>
      <c r="G531" s="8">
        <v>115854</v>
      </c>
      <c r="H531" s="9">
        <v>0</v>
      </c>
      <c r="I531" s="1" t="s">
        <v>29</v>
      </c>
      <c r="J531" s="1" t="s">
        <v>43</v>
      </c>
      <c r="K531" s="10" t="s">
        <v>36</v>
      </c>
    </row>
    <row r="532" spans="1:11" x14ac:dyDescent="0.25">
      <c r="A532" s="6" t="s">
        <v>85</v>
      </c>
      <c r="B532" s="1" t="s">
        <v>26</v>
      </c>
      <c r="C532" s="1" t="s">
        <v>32</v>
      </c>
      <c r="D532" s="1" t="s">
        <v>28</v>
      </c>
      <c r="E532" s="1">
        <v>44</v>
      </c>
      <c r="F532" s="7">
        <v>40603</v>
      </c>
      <c r="G532" s="8">
        <v>82462</v>
      </c>
      <c r="H532" s="9">
        <v>0</v>
      </c>
      <c r="I532" s="1" t="s">
        <v>29</v>
      </c>
      <c r="J532" s="1" t="s">
        <v>51</v>
      </c>
      <c r="K532" s="10" t="s">
        <v>36</v>
      </c>
    </row>
    <row r="533" spans="1:11" x14ac:dyDescent="0.25">
      <c r="A533" s="6" t="s">
        <v>56</v>
      </c>
      <c r="B533" s="1" t="s">
        <v>26</v>
      </c>
      <c r="C533" s="1" t="s">
        <v>27</v>
      </c>
      <c r="D533" s="1" t="s">
        <v>28</v>
      </c>
      <c r="E533" s="1">
        <v>53</v>
      </c>
      <c r="F533" s="7">
        <v>40856</v>
      </c>
      <c r="G533" s="8">
        <v>198473</v>
      </c>
      <c r="H533" s="9">
        <v>0.32</v>
      </c>
      <c r="I533" s="1" t="s">
        <v>29</v>
      </c>
      <c r="J533" s="1" t="s">
        <v>49</v>
      </c>
      <c r="K533" s="10" t="s">
        <v>36</v>
      </c>
    </row>
    <row r="534" spans="1:11" x14ac:dyDescent="0.25">
      <c r="A534" s="6" t="s">
        <v>25</v>
      </c>
      <c r="B534" s="1" t="s">
        <v>38</v>
      </c>
      <c r="C534" s="1" t="s">
        <v>46</v>
      </c>
      <c r="D534" s="1" t="s">
        <v>28</v>
      </c>
      <c r="E534" s="1">
        <v>43</v>
      </c>
      <c r="F534" s="7">
        <v>39005</v>
      </c>
      <c r="G534" s="8">
        <v>153492</v>
      </c>
      <c r="H534" s="9">
        <v>0.11</v>
      </c>
      <c r="I534" s="1" t="s">
        <v>29</v>
      </c>
      <c r="J534" s="1" t="s">
        <v>40</v>
      </c>
      <c r="K534" s="10" t="s">
        <v>36</v>
      </c>
    </row>
    <row r="535" spans="1:11" x14ac:dyDescent="0.25">
      <c r="A535" s="6" t="s">
        <v>56</v>
      </c>
      <c r="B535" s="1" t="s">
        <v>52</v>
      </c>
      <c r="C535" s="1" t="s">
        <v>46</v>
      </c>
      <c r="D535" s="1" t="s">
        <v>28</v>
      </c>
      <c r="E535" s="1">
        <v>28</v>
      </c>
      <c r="F535" s="7">
        <v>43121</v>
      </c>
      <c r="G535" s="8">
        <v>208210</v>
      </c>
      <c r="H535" s="9">
        <v>0.3</v>
      </c>
      <c r="I535" s="1" t="s">
        <v>29</v>
      </c>
      <c r="J535" s="1" t="s">
        <v>30</v>
      </c>
      <c r="K535" s="10" t="s">
        <v>36</v>
      </c>
    </row>
    <row r="536" spans="1:11" x14ac:dyDescent="0.25">
      <c r="A536" s="6" t="s">
        <v>42</v>
      </c>
      <c r="B536" s="1" t="s">
        <v>57</v>
      </c>
      <c r="C536" s="1" t="s">
        <v>46</v>
      </c>
      <c r="D536" s="1" t="s">
        <v>33</v>
      </c>
      <c r="E536" s="1">
        <v>33</v>
      </c>
      <c r="F536" s="7">
        <v>42325</v>
      </c>
      <c r="G536" s="8">
        <v>91632</v>
      </c>
      <c r="H536" s="9">
        <v>0</v>
      </c>
      <c r="I536" s="1" t="s">
        <v>29</v>
      </c>
      <c r="J536" s="1" t="s">
        <v>43</v>
      </c>
      <c r="K536" s="10" t="s">
        <v>36</v>
      </c>
    </row>
    <row r="537" spans="1:11" x14ac:dyDescent="0.25">
      <c r="A537" s="6" t="s">
        <v>70</v>
      </c>
      <c r="B537" s="1" t="s">
        <v>52</v>
      </c>
      <c r="C537" s="1" t="s">
        <v>46</v>
      </c>
      <c r="D537" s="1" t="s">
        <v>33</v>
      </c>
      <c r="E537" s="1">
        <v>31</v>
      </c>
      <c r="F537" s="7">
        <v>43002</v>
      </c>
      <c r="G537" s="8">
        <v>71755</v>
      </c>
      <c r="H537" s="9">
        <v>0</v>
      </c>
      <c r="I537" s="1" t="s">
        <v>34</v>
      </c>
      <c r="J537" s="1" t="s">
        <v>35</v>
      </c>
      <c r="K537" s="10" t="s">
        <v>36</v>
      </c>
    </row>
    <row r="538" spans="1:11" x14ac:dyDescent="0.25">
      <c r="A538" s="6" t="s">
        <v>47</v>
      </c>
      <c r="B538" s="1" t="s">
        <v>50</v>
      </c>
      <c r="C538" s="1" t="s">
        <v>46</v>
      </c>
      <c r="D538" s="1" t="s">
        <v>28</v>
      </c>
      <c r="E538" s="1">
        <v>52</v>
      </c>
      <c r="F538" s="7">
        <v>44519</v>
      </c>
      <c r="G538" s="8">
        <v>111006</v>
      </c>
      <c r="H538" s="9">
        <v>0.08</v>
      </c>
      <c r="I538" s="1" t="s">
        <v>34</v>
      </c>
      <c r="J538" s="1" t="s">
        <v>35</v>
      </c>
      <c r="K538" s="10" t="s">
        <v>36</v>
      </c>
    </row>
    <row r="539" spans="1:11" x14ac:dyDescent="0.25">
      <c r="A539" s="6" t="s">
        <v>75</v>
      </c>
      <c r="B539" s="1" t="s">
        <v>26</v>
      </c>
      <c r="C539" s="1" t="s">
        <v>46</v>
      </c>
      <c r="D539" s="1" t="s">
        <v>33</v>
      </c>
      <c r="E539" s="1">
        <v>55</v>
      </c>
      <c r="F539" s="7">
        <v>34692</v>
      </c>
      <c r="G539" s="8">
        <v>99774</v>
      </c>
      <c r="H539" s="9">
        <v>0</v>
      </c>
      <c r="I539" s="1" t="s">
        <v>29</v>
      </c>
      <c r="J539" s="1" t="s">
        <v>51</v>
      </c>
      <c r="K539" s="10" t="s">
        <v>36</v>
      </c>
    </row>
    <row r="540" spans="1:11" x14ac:dyDescent="0.25">
      <c r="A540" s="6" t="s">
        <v>37</v>
      </c>
      <c r="B540" s="1" t="s">
        <v>26</v>
      </c>
      <c r="C540" s="1" t="s">
        <v>27</v>
      </c>
      <c r="D540" s="1" t="s">
        <v>33</v>
      </c>
      <c r="E540" s="1">
        <v>55</v>
      </c>
      <c r="F540" s="7">
        <v>39154</v>
      </c>
      <c r="G540" s="8">
        <v>184648</v>
      </c>
      <c r="H540" s="9">
        <v>0.24</v>
      </c>
      <c r="I540" s="1" t="s">
        <v>34</v>
      </c>
      <c r="J540" s="1" t="s">
        <v>55</v>
      </c>
      <c r="K540" s="10" t="s">
        <v>36</v>
      </c>
    </row>
    <row r="541" spans="1:11" x14ac:dyDescent="0.25">
      <c r="A541" s="6" t="s">
        <v>56</v>
      </c>
      <c r="B541" s="1" t="s">
        <v>26</v>
      </c>
      <c r="C541" s="1" t="s">
        <v>32</v>
      </c>
      <c r="D541" s="1" t="s">
        <v>33</v>
      </c>
      <c r="E541" s="1">
        <v>51</v>
      </c>
      <c r="F541" s="7">
        <v>37091</v>
      </c>
      <c r="G541" s="8">
        <v>247874</v>
      </c>
      <c r="H541" s="9">
        <v>0.33</v>
      </c>
      <c r="I541" s="1" t="s">
        <v>59</v>
      </c>
      <c r="J541" s="1" t="s">
        <v>60</v>
      </c>
      <c r="K541" s="10" t="s">
        <v>36</v>
      </c>
    </row>
    <row r="542" spans="1:11" x14ac:dyDescent="0.25">
      <c r="A542" s="6" t="s">
        <v>80</v>
      </c>
      <c r="B542" s="1" t="s">
        <v>54</v>
      </c>
      <c r="C542" s="1" t="s">
        <v>32</v>
      </c>
      <c r="D542" s="1" t="s">
        <v>33</v>
      </c>
      <c r="E542" s="1">
        <v>60</v>
      </c>
      <c r="F542" s="7">
        <v>39944</v>
      </c>
      <c r="G542" s="8">
        <v>62239</v>
      </c>
      <c r="H542" s="9">
        <v>0</v>
      </c>
      <c r="I542" s="1" t="s">
        <v>34</v>
      </c>
      <c r="J542" s="1" t="s">
        <v>64</v>
      </c>
      <c r="K542" s="10" t="s">
        <v>36</v>
      </c>
    </row>
    <row r="543" spans="1:11" x14ac:dyDescent="0.25">
      <c r="A543" s="6" t="s">
        <v>47</v>
      </c>
      <c r="B543" s="1" t="s">
        <v>50</v>
      </c>
      <c r="C543" s="1" t="s">
        <v>39</v>
      </c>
      <c r="D543" s="1" t="s">
        <v>28</v>
      </c>
      <c r="E543" s="1">
        <v>31</v>
      </c>
      <c r="F543" s="7">
        <v>41919</v>
      </c>
      <c r="G543" s="8">
        <v>114911</v>
      </c>
      <c r="H543" s="9">
        <v>7.0000000000000007E-2</v>
      </c>
      <c r="I543" s="1" t="s">
        <v>29</v>
      </c>
      <c r="J543" s="1" t="s">
        <v>40</v>
      </c>
      <c r="K543" s="10" t="s">
        <v>36</v>
      </c>
    </row>
    <row r="544" spans="1:11" x14ac:dyDescent="0.25">
      <c r="A544" s="6" t="s">
        <v>63</v>
      </c>
      <c r="B544" s="1" t="s">
        <v>54</v>
      </c>
      <c r="C544" s="1" t="s">
        <v>46</v>
      </c>
      <c r="D544" s="1" t="s">
        <v>33</v>
      </c>
      <c r="E544" s="1">
        <v>45</v>
      </c>
      <c r="F544" s="7">
        <v>43217</v>
      </c>
      <c r="G544" s="8">
        <v>115490</v>
      </c>
      <c r="H544" s="9">
        <v>0.12</v>
      </c>
      <c r="I544" s="1" t="s">
        <v>29</v>
      </c>
      <c r="J544" s="1" t="s">
        <v>40</v>
      </c>
      <c r="K544" s="10" t="s">
        <v>36</v>
      </c>
    </row>
    <row r="545" spans="1:11" x14ac:dyDescent="0.25">
      <c r="A545" s="6" t="s">
        <v>47</v>
      </c>
      <c r="B545" s="1" t="s">
        <v>50</v>
      </c>
      <c r="C545" s="1" t="s">
        <v>39</v>
      </c>
      <c r="D545" s="1" t="s">
        <v>33</v>
      </c>
      <c r="E545" s="1">
        <v>34</v>
      </c>
      <c r="F545" s="7">
        <v>40952</v>
      </c>
      <c r="G545" s="8">
        <v>118708</v>
      </c>
      <c r="H545" s="9">
        <v>7.0000000000000007E-2</v>
      </c>
      <c r="I545" s="1" t="s">
        <v>34</v>
      </c>
      <c r="J545" s="1" t="s">
        <v>55</v>
      </c>
      <c r="K545" s="10" t="s">
        <v>36</v>
      </c>
    </row>
    <row r="546" spans="1:11" x14ac:dyDescent="0.25">
      <c r="A546" s="6" t="s">
        <v>37</v>
      </c>
      <c r="B546" s="1" t="s">
        <v>50</v>
      </c>
      <c r="C546" s="1" t="s">
        <v>39</v>
      </c>
      <c r="D546" s="1" t="s">
        <v>28</v>
      </c>
      <c r="E546" s="1">
        <v>29</v>
      </c>
      <c r="F546" s="7">
        <v>42914</v>
      </c>
      <c r="G546" s="8">
        <v>197649</v>
      </c>
      <c r="H546" s="9">
        <v>0.2</v>
      </c>
      <c r="I546" s="1" t="s">
        <v>29</v>
      </c>
      <c r="J546" s="1" t="s">
        <v>58</v>
      </c>
      <c r="K546" s="10" t="s">
        <v>36</v>
      </c>
    </row>
    <row r="547" spans="1:11" x14ac:dyDescent="0.25">
      <c r="A547" s="6" t="s">
        <v>42</v>
      </c>
      <c r="B547" s="1" t="s">
        <v>50</v>
      </c>
      <c r="C547" s="1" t="s">
        <v>39</v>
      </c>
      <c r="D547" s="1" t="s">
        <v>28</v>
      </c>
      <c r="E547" s="1">
        <v>45</v>
      </c>
      <c r="F547" s="7">
        <v>43999</v>
      </c>
      <c r="G547" s="8">
        <v>89841</v>
      </c>
      <c r="H547" s="9">
        <v>0</v>
      </c>
      <c r="I547" s="1" t="s">
        <v>34</v>
      </c>
      <c r="J547" s="1" t="s">
        <v>64</v>
      </c>
      <c r="K547" s="10" t="s">
        <v>36</v>
      </c>
    </row>
    <row r="548" spans="1:11" x14ac:dyDescent="0.25">
      <c r="A548" s="6" t="s">
        <v>66</v>
      </c>
      <c r="B548" s="1" t="s">
        <v>38</v>
      </c>
      <c r="C548" s="1" t="s">
        <v>39</v>
      </c>
      <c r="D548" s="1" t="s">
        <v>28</v>
      </c>
      <c r="E548" s="1">
        <v>52</v>
      </c>
      <c r="F548" s="7">
        <v>43819</v>
      </c>
      <c r="G548" s="8">
        <v>61026</v>
      </c>
      <c r="H548" s="9">
        <v>0</v>
      </c>
      <c r="I548" s="1" t="s">
        <v>29</v>
      </c>
      <c r="J548" s="1" t="s">
        <v>43</v>
      </c>
      <c r="K548" s="10" t="s">
        <v>36</v>
      </c>
    </row>
    <row r="549" spans="1:11" x14ac:dyDescent="0.25">
      <c r="A549" s="6" t="s">
        <v>53</v>
      </c>
      <c r="B549" s="1" t="s">
        <v>54</v>
      </c>
      <c r="C549" s="1" t="s">
        <v>39</v>
      </c>
      <c r="D549" s="1" t="s">
        <v>28</v>
      </c>
      <c r="E549" s="1">
        <v>48</v>
      </c>
      <c r="F549" s="7">
        <v>41907</v>
      </c>
      <c r="G549" s="8">
        <v>96693</v>
      </c>
      <c r="H549" s="9">
        <v>0</v>
      </c>
      <c r="I549" s="1" t="s">
        <v>29</v>
      </c>
      <c r="J549" s="1" t="s">
        <v>40</v>
      </c>
      <c r="K549" s="10" t="s">
        <v>36</v>
      </c>
    </row>
    <row r="550" spans="1:11" x14ac:dyDescent="0.25">
      <c r="A550" s="6" t="s">
        <v>77</v>
      </c>
      <c r="B550" s="1" t="s">
        <v>54</v>
      </c>
      <c r="C550" s="1" t="s">
        <v>39</v>
      </c>
      <c r="D550" s="1" t="s">
        <v>28</v>
      </c>
      <c r="E550" s="1">
        <v>48</v>
      </c>
      <c r="F550" s="7">
        <v>39991</v>
      </c>
      <c r="G550" s="8">
        <v>82907</v>
      </c>
      <c r="H550" s="9">
        <v>0</v>
      </c>
      <c r="I550" s="1" t="s">
        <v>29</v>
      </c>
      <c r="J550" s="1" t="s">
        <v>30</v>
      </c>
      <c r="K550" s="10" t="s">
        <v>36</v>
      </c>
    </row>
    <row r="551" spans="1:11" x14ac:dyDescent="0.25">
      <c r="A551" s="6" t="s">
        <v>56</v>
      </c>
      <c r="B551" s="1" t="s">
        <v>57</v>
      </c>
      <c r="C551" s="1" t="s">
        <v>46</v>
      </c>
      <c r="D551" s="1" t="s">
        <v>33</v>
      </c>
      <c r="E551" s="1">
        <v>41</v>
      </c>
      <c r="F551" s="7">
        <v>41916</v>
      </c>
      <c r="G551" s="8">
        <v>257194</v>
      </c>
      <c r="H551" s="9">
        <v>0.35</v>
      </c>
      <c r="I551" s="1" t="s">
        <v>34</v>
      </c>
      <c r="J551" s="1" t="s">
        <v>35</v>
      </c>
      <c r="K551" s="10" t="s">
        <v>36</v>
      </c>
    </row>
    <row r="552" spans="1:11" x14ac:dyDescent="0.25">
      <c r="A552" s="6" t="s">
        <v>62</v>
      </c>
      <c r="B552" s="1" t="s">
        <v>54</v>
      </c>
      <c r="C552" s="1" t="s">
        <v>27</v>
      </c>
      <c r="D552" s="1" t="s">
        <v>33</v>
      </c>
      <c r="E552" s="1">
        <v>41</v>
      </c>
      <c r="F552" s="7">
        <v>40929</v>
      </c>
      <c r="G552" s="8">
        <v>94658</v>
      </c>
      <c r="H552" s="9">
        <v>0</v>
      </c>
      <c r="I552" s="1" t="s">
        <v>29</v>
      </c>
      <c r="J552" s="1" t="s">
        <v>49</v>
      </c>
      <c r="K552" s="10" t="s">
        <v>36</v>
      </c>
    </row>
    <row r="553" spans="1:11" x14ac:dyDescent="0.25">
      <c r="A553" s="6" t="s">
        <v>62</v>
      </c>
      <c r="B553" s="1" t="s">
        <v>54</v>
      </c>
      <c r="C553" s="1" t="s">
        <v>27</v>
      </c>
      <c r="D553" s="1" t="s">
        <v>33</v>
      </c>
      <c r="E553" s="1">
        <v>55</v>
      </c>
      <c r="F553" s="7">
        <v>40663</v>
      </c>
      <c r="G553" s="8">
        <v>89419</v>
      </c>
      <c r="H553" s="9">
        <v>0</v>
      </c>
      <c r="I553" s="1" t="s">
        <v>34</v>
      </c>
      <c r="J553" s="1" t="s">
        <v>55</v>
      </c>
      <c r="K553" s="10" t="s">
        <v>36</v>
      </c>
    </row>
    <row r="554" spans="1:11" x14ac:dyDescent="0.25">
      <c r="A554" s="6" t="s">
        <v>70</v>
      </c>
      <c r="B554" s="1" t="s">
        <v>52</v>
      </c>
      <c r="C554" s="1" t="s">
        <v>32</v>
      </c>
      <c r="D554" s="1" t="s">
        <v>33</v>
      </c>
      <c r="E554" s="1">
        <v>45</v>
      </c>
      <c r="F554" s="7">
        <v>42357</v>
      </c>
      <c r="G554" s="8">
        <v>51983</v>
      </c>
      <c r="H554" s="9">
        <v>0</v>
      </c>
      <c r="I554" s="1" t="s">
        <v>29</v>
      </c>
      <c r="J554" s="1" t="s">
        <v>58</v>
      </c>
      <c r="K554" s="10" t="s">
        <v>36</v>
      </c>
    </row>
    <row r="555" spans="1:11" x14ac:dyDescent="0.25">
      <c r="A555" s="6" t="s">
        <v>37</v>
      </c>
      <c r="B555" s="1" t="s">
        <v>38</v>
      </c>
      <c r="C555" s="1" t="s">
        <v>46</v>
      </c>
      <c r="D555" s="1" t="s">
        <v>28</v>
      </c>
      <c r="E555" s="1">
        <v>53</v>
      </c>
      <c r="F555" s="7">
        <v>37304</v>
      </c>
      <c r="G555" s="8">
        <v>179494</v>
      </c>
      <c r="H555" s="9">
        <v>0.2</v>
      </c>
      <c r="I555" s="1" t="s">
        <v>34</v>
      </c>
      <c r="J555" s="1" t="s">
        <v>35</v>
      </c>
      <c r="K555" s="10" t="s">
        <v>36</v>
      </c>
    </row>
    <row r="556" spans="1:11" x14ac:dyDescent="0.25">
      <c r="A556" s="6" t="s">
        <v>85</v>
      </c>
      <c r="B556" s="1" t="s">
        <v>26</v>
      </c>
      <c r="C556" s="1" t="s">
        <v>46</v>
      </c>
      <c r="D556" s="1" t="s">
        <v>33</v>
      </c>
      <c r="E556" s="1">
        <v>49</v>
      </c>
      <c r="F556" s="7">
        <v>42545</v>
      </c>
      <c r="G556" s="8">
        <v>68426</v>
      </c>
      <c r="H556" s="9">
        <v>0</v>
      </c>
      <c r="I556" s="1" t="s">
        <v>59</v>
      </c>
      <c r="J556" s="1" t="s">
        <v>61</v>
      </c>
      <c r="K556" s="10" t="s">
        <v>36</v>
      </c>
    </row>
    <row r="557" spans="1:11" x14ac:dyDescent="0.25">
      <c r="A557" s="6" t="s">
        <v>25</v>
      </c>
      <c r="B557" s="1" t="s">
        <v>38</v>
      </c>
      <c r="C557" s="1" t="s">
        <v>46</v>
      </c>
      <c r="D557" s="1" t="s">
        <v>28</v>
      </c>
      <c r="E557" s="1">
        <v>55</v>
      </c>
      <c r="F557" s="7">
        <v>42772</v>
      </c>
      <c r="G557" s="8">
        <v>144986</v>
      </c>
      <c r="H557" s="9">
        <v>0.12</v>
      </c>
      <c r="I557" s="1" t="s">
        <v>29</v>
      </c>
      <c r="J557" s="1" t="s">
        <v>43</v>
      </c>
      <c r="K557" s="10" t="s">
        <v>36</v>
      </c>
    </row>
    <row r="558" spans="1:11" x14ac:dyDescent="0.25">
      <c r="A558" s="6" t="s">
        <v>44</v>
      </c>
      <c r="B558" s="1" t="s">
        <v>45</v>
      </c>
      <c r="C558" s="1" t="s">
        <v>39</v>
      </c>
      <c r="D558" s="1" t="s">
        <v>28</v>
      </c>
      <c r="E558" s="1">
        <v>45</v>
      </c>
      <c r="F558" s="7">
        <v>36754</v>
      </c>
      <c r="G558" s="8">
        <v>60113</v>
      </c>
      <c r="H558" s="9">
        <v>0</v>
      </c>
      <c r="I558" s="1" t="s">
        <v>29</v>
      </c>
      <c r="J558" s="1" t="s">
        <v>40</v>
      </c>
      <c r="K558" s="10" t="s">
        <v>36</v>
      </c>
    </row>
    <row r="559" spans="1:11" x14ac:dyDescent="0.25">
      <c r="A559" s="6" t="s">
        <v>70</v>
      </c>
      <c r="B559" s="1" t="s">
        <v>52</v>
      </c>
      <c r="C559" s="1" t="s">
        <v>27</v>
      </c>
      <c r="D559" s="1" t="s">
        <v>28</v>
      </c>
      <c r="E559" s="1">
        <v>52</v>
      </c>
      <c r="F559" s="7">
        <v>44304</v>
      </c>
      <c r="G559" s="8">
        <v>50548</v>
      </c>
      <c r="H559" s="9">
        <v>0</v>
      </c>
      <c r="I559" s="1" t="s">
        <v>59</v>
      </c>
      <c r="J559" s="1" t="s">
        <v>76</v>
      </c>
      <c r="K559" s="10" t="s">
        <v>36</v>
      </c>
    </row>
    <row r="560" spans="1:11" x14ac:dyDescent="0.25">
      <c r="A560" s="6" t="s">
        <v>66</v>
      </c>
      <c r="B560" s="1" t="s">
        <v>57</v>
      </c>
      <c r="C560" s="1" t="s">
        <v>32</v>
      </c>
      <c r="D560" s="1" t="s">
        <v>28</v>
      </c>
      <c r="E560" s="1">
        <v>33</v>
      </c>
      <c r="F560" s="7">
        <v>43904</v>
      </c>
      <c r="G560" s="8">
        <v>68846</v>
      </c>
      <c r="H560" s="9">
        <v>0</v>
      </c>
      <c r="I560" s="1" t="s">
        <v>29</v>
      </c>
      <c r="J560" s="1" t="s">
        <v>40</v>
      </c>
      <c r="K560" s="10" t="s">
        <v>36</v>
      </c>
    </row>
    <row r="561" spans="1:11" x14ac:dyDescent="0.25">
      <c r="A561" s="6" t="s">
        <v>84</v>
      </c>
      <c r="B561" s="1" t="s">
        <v>26</v>
      </c>
      <c r="C561" s="1" t="s">
        <v>46</v>
      </c>
      <c r="D561" s="1" t="s">
        <v>28</v>
      </c>
      <c r="E561" s="1">
        <v>59</v>
      </c>
      <c r="F561" s="7">
        <v>41717</v>
      </c>
      <c r="G561" s="8">
        <v>90901</v>
      </c>
      <c r="H561" s="9">
        <v>0</v>
      </c>
      <c r="I561" s="1" t="s">
        <v>29</v>
      </c>
      <c r="J561" s="1" t="s">
        <v>30</v>
      </c>
      <c r="K561" s="10" t="s">
        <v>36</v>
      </c>
    </row>
    <row r="562" spans="1:11" x14ac:dyDescent="0.25">
      <c r="A562" s="6" t="s">
        <v>47</v>
      </c>
      <c r="B562" s="1" t="s">
        <v>50</v>
      </c>
      <c r="C562" s="1" t="s">
        <v>46</v>
      </c>
      <c r="D562" s="1" t="s">
        <v>28</v>
      </c>
      <c r="E562" s="1">
        <v>50</v>
      </c>
      <c r="F562" s="7">
        <v>41155</v>
      </c>
      <c r="G562" s="8">
        <v>102033</v>
      </c>
      <c r="H562" s="9">
        <v>0.08</v>
      </c>
      <c r="I562" s="1" t="s">
        <v>29</v>
      </c>
      <c r="J562" s="1" t="s">
        <v>51</v>
      </c>
      <c r="K562" s="10" t="s">
        <v>36</v>
      </c>
    </row>
    <row r="563" spans="1:11" x14ac:dyDescent="0.25">
      <c r="A563" s="6" t="s">
        <v>37</v>
      </c>
      <c r="B563" s="1" t="s">
        <v>45</v>
      </c>
      <c r="C563" s="1" t="s">
        <v>32</v>
      </c>
      <c r="D563" s="1" t="s">
        <v>28</v>
      </c>
      <c r="E563" s="1">
        <v>61</v>
      </c>
      <c r="F563" s="7">
        <v>44219</v>
      </c>
      <c r="G563" s="8">
        <v>151783</v>
      </c>
      <c r="H563" s="9">
        <v>0.26</v>
      </c>
      <c r="I563" s="1" t="s">
        <v>29</v>
      </c>
      <c r="J563" s="1" t="s">
        <v>30</v>
      </c>
      <c r="K563" s="10" t="s">
        <v>36</v>
      </c>
    </row>
    <row r="564" spans="1:11" x14ac:dyDescent="0.25">
      <c r="A564" s="6" t="s">
        <v>37</v>
      </c>
      <c r="B564" s="1" t="s">
        <v>54</v>
      </c>
      <c r="C564" s="1" t="s">
        <v>46</v>
      </c>
      <c r="D564" s="1" t="s">
        <v>28</v>
      </c>
      <c r="E564" s="1">
        <v>27</v>
      </c>
      <c r="F564" s="7">
        <v>43441</v>
      </c>
      <c r="G564" s="8">
        <v>170164</v>
      </c>
      <c r="H564" s="9">
        <v>0.17</v>
      </c>
      <c r="I564" s="1" t="s">
        <v>29</v>
      </c>
      <c r="J564" s="1" t="s">
        <v>51</v>
      </c>
      <c r="K564" s="10" t="s">
        <v>36</v>
      </c>
    </row>
    <row r="565" spans="1:11" x14ac:dyDescent="0.25">
      <c r="A565" s="6" t="s">
        <v>25</v>
      </c>
      <c r="B565" s="1" t="s">
        <v>57</v>
      </c>
      <c r="C565" s="1" t="s">
        <v>39</v>
      </c>
      <c r="D565" s="1" t="s">
        <v>28</v>
      </c>
      <c r="E565" s="1">
        <v>35</v>
      </c>
      <c r="F565" s="7">
        <v>41690</v>
      </c>
      <c r="G565" s="8">
        <v>155905</v>
      </c>
      <c r="H565" s="9">
        <v>0.14000000000000001</v>
      </c>
      <c r="I565" s="1" t="s">
        <v>29</v>
      </c>
      <c r="J565" s="1" t="s">
        <v>43</v>
      </c>
      <c r="K565" s="10" t="s">
        <v>36</v>
      </c>
    </row>
    <row r="566" spans="1:11" x14ac:dyDescent="0.25">
      <c r="A566" s="6" t="s">
        <v>48</v>
      </c>
      <c r="B566" s="1" t="s">
        <v>45</v>
      </c>
      <c r="C566" s="1" t="s">
        <v>46</v>
      </c>
      <c r="D566" s="1" t="s">
        <v>33</v>
      </c>
      <c r="E566" s="1">
        <v>40</v>
      </c>
      <c r="F566" s="7">
        <v>42721</v>
      </c>
      <c r="G566" s="8">
        <v>50733</v>
      </c>
      <c r="H566" s="9">
        <v>0</v>
      </c>
      <c r="I566" s="1" t="s">
        <v>29</v>
      </c>
      <c r="J566" s="1" t="s">
        <v>49</v>
      </c>
      <c r="K566" s="10" t="s">
        <v>36</v>
      </c>
    </row>
    <row r="567" spans="1:11" x14ac:dyDescent="0.25">
      <c r="A567" s="6" t="s">
        <v>69</v>
      </c>
      <c r="B567" s="1" t="s">
        <v>52</v>
      </c>
      <c r="C567" s="1" t="s">
        <v>46</v>
      </c>
      <c r="D567" s="1" t="s">
        <v>28</v>
      </c>
      <c r="E567" s="1">
        <v>30</v>
      </c>
      <c r="F567" s="7">
        <v>42761</v>
      </c>
      <c r="G567" s="8">
        <v>88663</v>
      </c>
      <c r="H567" s="9">
        <v>0</v>
      </c>
      <c r="I567" s="1" t="s">
        <v>29</v>
      </c>
      <c r="J567" s="1" t="s">
        <v>43</v>
      </c>
      <c r="K567" s="10" t="s">
        <v>36</v>
      </c>
    </row>
    <row r="568" spans="1:11" x14ac:dyDescent="0.25">
      <c r="A568" s="6" t="s">
        <v>71</v>
      </c>
      <c r="B568" s="1" t="s">
        <v>54</v>
      </c>
      <c r="C568" s="1" t="s">
        <v>32</v>
      </c>
      <c r="D568" s="1" t="s">
        <v>33</v>
      </c>
      <c r="E568" s="1">
        <v>60</v>
      </c>
      <c r="F568" s="7">
        <v>33890</v>
      </c>
      <c r="G568" s="8">
        <v>88213</v>
      </c>
      <c r="H568" s="9">
        <v>0</v>
      </c>
      <c r="I568" s="1" t="s">
        <v>34</v>
      </c>
      <c r="J568" s="1" t="s">
        <v>35</v>
      </c>
      <c r="K568" s="10" t="s">
        <v>36</v>
      </c>
    </row>
    <row r="569" spans="1:11" x14ac:dyDescent="0.25">
      <c r="A569" s="6" t="s">
        <v>66</v>
      </c>
      <c r="B569" s="1" t="s">
        <v>45</v>
      </c>
      <c r="C569" s="1" t="s">
        <v>39</v>
      </c>
      <c r="D569" s="1" t="s">
        <v>33</v>
      </c>
      <c r="E569" s="1">
        <v>55</v>
      </c>
      <c r="F569" s="7">
        <v>44410</v>
      </c>
      <c r="G569" s="8">
        <v>67130</v>
      </c>
      <c r="H569" s="9">
        <v>0</v>
      </c>
      <c r="I569" s="1" t="s">
        <v>29</v>
      </c>
      <c r="J569" s="1" t="s">
        <v>49</v>
      </c>
      <c r="K569" s="10" t="s">
        <v>36</v>
      </c>
    </row>
    <row r="570" spans="1:11" x14ac:dyDescent="0.25">
      <c r="A570" s="6" t="s">
        <v>42</v>
      </c>
      <c r="B570" s="1" t="s">
        <v>38</v>
      </c>
      <c r="C570" s="1" t="s">
        <v>39</v>
      </c>
      <c r="D570" s="1" t="s">
        <v>28</v>
      </c>
      <c r="E570" s="1">
        <v>33</v>
      </c>
      <c r="F570" s="7">
        <v>42285</v>
      </c>
      <c r="G570" s="8">
        <v>94876</v>
      </c>
      <c r="H570" s="9">
        <v>0</v>
      </c>
      <c r="I570" s="1" t="s">
        <v>29</v>
      </c>
      <c r="J570" s="1" t="s">
        <v>49</v>
      </c>
      <c r="K570" s="10" t="s">
        <v>36</v>
      </c>
    </row>
    <row r="571" spans="1:11" x14ac:dyDescent="0.25">
      <c r="A571" s="6" t="s">
        <v>80</v>
      </c>
      <c r="B571" s="1" t="s">
        <v>54</v>
      </c>
      <c r="C571" s="1" t="s">
        <v>39</v>
      </c>
      <c r="D571" s="1" t="s">
        <v>33</v>
      </c>
      <c r="E571" s="1">
        <v>62</v>
      </c>
      <c r="F571" s="7">
        <v>34616</v>
      </c>
      <c r="G571" s="8">
        <v>98230</v>
      </c>
      <c r="H571" s="9">
        <v>0</v>
      </c>
      <c r="I571" s="1" t="s">
        <v>29</v>
      </c>
      <c r="J571" s="1" t="s">
        <v>49</v>
      </c>
      <c r="K571" s="10" t="s">
        <v>36</v>
      </c>
    </row>
    <row r="572" spans="1:11" x14ac:dyDescent="0.25">
      <c r="A572" s="6" t="s">
        <v>77</v>
      </c>
      <c r="B572" s="1" t="s">
        <v>54</v>
      </c>
      <c r="C572" s="1" t="s">
        <v>27</v>
      </c>
      <c r="D572" s="1" t="s">
        <v>28</v>
      </c>
      <c r="E572" s="1">
        <v>36</v>
      </c>
      <c r="F572" s="7">
        <v>43448</v>
      </c>
      <c r="G572" s="8">
        <v>96757</v>
      </c>
      <c r="H572" s="9">
        <v>0</v>
      </c>
      <c r="I572" s="1" t="s">
        <v>29</v>
      </c>
      <c r="J572" s="1" t="s">
        <v>58</v>
      </c>
      <c r="K572" s="10" t="s">
        <v>36</v>
      </c>
    </row>
    <row r="573" spans="1:11" x14ac:dyDescent="0.25">
      <c r="A573" s="6" t="s">
        <v>66</v>
      </c>
      <c r="B573" s="1" t="s">
        <v>57</v>
      </c>
      <c r="C573" s="1" t="s">
        <v>32</v>
      </c>
      <c r="D573" s="1" t="s">
        <v>33</v>
      </c>
      <c r="E573" s="1">
        <v>35</v>
      </c>
      <c r="F573" s="7">
        <v>44015</v>
      </c>
      <c r="G573" s="8">
        <v>51513</v>
      </c>
      <c r="H573" s="9">
        <v>0</v>
      </c>
      <c r="I573" s="1" t="s">
        <v>29</v>
      </c>
      <c r="J573" s="1" t="s">
        <v>58</v>
      </c>
      <c r="K573" s="10" t="s">
        <v>36</v>
      </c>
    </row>
    <row r="574" spans="1:11" x14ac:dyDescent="0.25">
      <c r="A574" s="6" t="s">
        <v>56</v>
      </c>
      <c r="B574" s="1" t="s">
        <v>57</v>
      </c>
      <c r="C574" s="1" t="s">
        <v>46</v>
      </c>
      <c r="D574" s="1" t="s">
        <v>33</v>
      </c>
      <c r="E574" s="1">
        <v>60</v>
      </c>
      <c r="F574" s="7">
        <v>39109</v>
      </c>
      <c r="G574" s="8">
        <v>234311</v>
      </c>
      <c r="H574" s="9">
        <v>0.37</v>
      </c>
      <c r="I574" s="1" t="s">
        <v>29</v>
      </c>
      <c r="J574" s="1" t="s">
        <v>49</v>
      </c>
      <c r="K574" s="10" t="s">
        <v>36</v>
      </c>
    </row>
    <row r="575" spans="1:11" x14ac:dyDescent="0.25">
      <c r="A575" s="6" t="s">
        <v>25</v>
      </c>
      <c r="B575" s="1" t="s">
        <v>52</v>
      </c>
      <c r="C575" s="1" t="s">
        <v>39</v>
      </c>
      <c r="D575" s="1" t="s">
        <v>28</v>
      </c>
      <c r="E575" s="1">
        <v>45</v>
      </c>
      <c r="F575" s="7">
        <v>40685</v>
      </c>
      <c r="G575" s="8">
        <v>152353</v>
      </c>
      <c r="H575" s="9">
        <v>0.14000000000000001</v>
      </c>
      <c r="I575" s="1" t="s">
        <v>29</v>
      </c>
      <c r="J575" s="1" t="s">
        <v>30</v>
      </c>
      <c r="K575" s="10" t="s">
        <v>36</v>
      </c>
    </row>
    <row r="576" spans="1:11" x14ac:dyDescent="0.25">
      <c r="A576" s="6" t="s">
        <v>25</v>
      </c>
      <c r="B576" s="1" t="s">
        <v>50</v>
      </c>
      <c r="C576" s="1" t="s">
        <v>39</v>
      </c>
      <c r="D576" s="1" t="s">
        <v>28</v>
      </c>
      <c r="E576" s="1">
        <v>48</v>
      </c>
      <c r="F576" s="7">
        <v>40389</v>
      </c>
      <c r="G576" s="8">
        <v>124774</v>
      </c>
      <c r="H576" s="9">
        <v>0.12</v>
      </c>
      <c r="I576" s="1" t="s">
        <v>29</v>
      </c>
      <c r="J576" s="1" t="s">
        <v>43</v>
      </c>
      <c r="K576" s="10" t="s">
        <v>36</v>
      </c>
    </row>
    <row r="577" spans="1:11" x14ac:dyDescent="0.25">
      <c r="A577" s="6" t="s">
        <v>37</v>
      </c>
      <c r="B577" s="1" t="s">
        <v>57</v>
      </c>
      <c r="C577" s="1" t="s">
        <v>46</v>
      </c>
      <c r="D577" s="1" t="s">
        <v>28</v>
      </c>
      <c r="E577" s="1">
        <v>36</v>
      </c>
      <c r="F577" s="7">
        <v>40434</v>
      </c>
      <c r="G577" s="8">
        <v>157070</v>
      </c>
      <c r="H577" s="9">
        <v>0.28000000000000003</v>
      </c>
      <c r="I577" s="1" t="s">
        <v>34</v>
      </c>
      <c r="J577" s="1" t="s">
        <v>35</v>
      </c>
      <c r="K577" s="10" t="s">
        <v>36</v>
      </c>
    </row>
    <row r="578" spans="1:11" x14ac:dyDescent="0.25">
      <c r="A578" s="6" t="s">
        <v>25</v>
      </c>
      <c r="B578" s="1" t="s">
        <v>38</v>
      </c>
      <c r="C578" s="1" t="s">
        <v>39</v>
      </c>
      <c r="D578" s="1" t="s">
        <v>33</v>
      </c>
      <c r="E578" s="1">
        <v>44</v>
      </c>
      <c r="F578" s="7">
        <v>43685</v>
      </c>
      <c r="G578" s="8">
        <v>130133</v>
      </c>
      <c r="H578" s="9">
        <v>0.15</v>
      </c>
      <c r="I578" s="1" t="s">
        <v>29</v>
      </c>
      <c r="J578" s="1" t="s">
        <v>51</v>
      </c>
      <c r="K578" s="10">
        <v>44699</v>
      </c>
    </row>
    <row r="579" spans="1:11" x14ac:dyDescent="0.25">
      <c r="A579" s="6" t="s">
        <v>47</v>
      </c>
      <c r="B579" s="1" t="s">
        <v>57</v>
      </c>
      <c r="C579" s="1" t="s">
        <v>32</v>
      </c>
      <c r="D579" s="1" t="s">
        <v>28</v>
      </c>
      <c r="E579" s="1">
        <v>64</v>
      </c>
      <c r="F579" s="7">
        <v>43729</v>
      </c>
      <c r="G579" s="8">
        <v>108780</v>
      </c>
      <c r="H579" s="9">
        <v>0.06</v>
      </c>
      <c r="I579" s="1" t="s">
        <v>34</v>
      </c>
      <c r="J579" s="1" t="s">
        <v>55</v>
      </c>
      <c r="K579" s="10" t="s">
        <v>36</v>
      </c>
    </row>
    <row r="580" spans="1:11" x14ac:dyDescent="0.25">
      <c r="A580" s="6" t="s">
        <v>37</v>
      </c>
      <c r="B580" s="1" t="s">
        <v>54</v>
      </c>
      <c r="C580" s="1" t="s">
        <v>39</v>
      </c>
      <c r="D580" s="1" t="s">
        <v>28</v>
      </c>
      <c r="E580" s="1">
        <v>46</v>
      </c>
      <c r="F580" s="7">
        <v>44125</v>
      </c>
      <c r="G580" s="8">
        <v>151853</v>
      </c>
      <c r="H580" s="9">
        <v>0.16</v>
      </c>
      <c r="I580" s="1" t="s">
        <v>34</v>
      </c>
      <c r="J580" s="1" t="s">
        <v>68</v>
      </c>
      <c r="K580" s="10" t="s">
        <v>36</v>
      </c>
    </row>
    <row r="581" spans="1:11" x14ac:dyDescent="0.25">
      <c r="A581" s="6" t="s">
        <v>44</v>
      </c>
      <c r="B581" s="1" t="s">
        <v>45</v>
      </c>
      <c r="C581" s="1" t="s">
        <v>32</v>
      </c>
      <c r="D581" s="1" t="s">
        <v>28</v>
      </c>
      <c r="E581" s="1">
        <v>62</v>
      </c>
      <c r="F581" s="7">
        <v>38977</v>
      </c>
      <c r="G581" s="8">
        <v>64669</v>
      </c>
      <c r="H581" s="9">
        <v>0</v>
      </c>
      <c r="I581" s="1" t="s">
        <v>34</v>
      </c>
      <c r="J581" s="1" t="s">
        <v>35</v>
      </c>
      <c r="K581" s="10" t="s">
        <v>36</v>
      </c>
    </row>
    <row r="582" spans="1:11" x14ac:dyDescent="0.25">
      <c r="A582" s="6" t="s">
        <v>66</v>
      </c>
      <c r="B582" s="1" t="s">
        <v>57</v>
      </c>
      <c r="C582" s="1" t="s">
        <v>27</v>
      </c>
      <c r="D582" s="1" t="s">
        <v>33</v>
      </c>
      <c r="E582" s="1">
        <v>61</v>
      </c>
      <c r="F582" s="7">
        <v>39568</v>
      </c>
      <c r="G582" s="8">
        <v>69352</v>
      </c>
      <c r="H582" s="9">
        <v>0</v>
      </c>
      <c r="I582" s="1" t="s">
        <v>59</v>
      </c>
      <c r="J582" s="1" t="s">
        <v>61</v>
      </c>
      <c r="K582" s="10" t="s">
        <v>36</v>
      </c>
    </row>
    <row r="583" spans="1:11" x14ac:dyDescent="0.25">
      <c r="A583" s="6" t="s">
        <v>66</v>
      </c>
      <c r="B583" s="1" t="s">
        <v>57</v>
      </c>
      <c r="C583" s="1" t="s">
        <v>27</v>
      </c>
      <c r="D583" s="1" t="s">
        <v>33</v>
      </c>
      <c r="E583" s="1">
        <v>65</v>
      </c>
      <c r="F583" s="7">
        <v>37181</v>
      </c>
      <c r="G583" s="8">
        <v>74631</v>
      </c>
      <c r="H583" s="9">
        <v>0</v>
      </c>
      <c r="I583" s="1" t="s">
        <v>34</v>
      </c>
      <c r="J583" s="1" t="s">
        <v>35</v>
      </c>
      <c r="K583" s="10" t="s">
        <v>36</v>
      </c>
    </row>
    <row r="584" spans="1:11" x14ac:dyDescent="0.25">
      <c r="A584" s="6" t="s">
        <v>62</v>
      </c>
      <c r="B584" s="1" t="s">
        <v>54</v>
      </c>
      <c r="C584" s="1" t="s">
        <v>39</v>
      </c>
      <c r="D584" s="1" t="s">
        <v>33</v>
      </c>
      <c r="E584" s="1">
        <v>54</v>
      </c>
      <c r="F584" s="7">
        <v>41028</v>
      </c>
      <c r="G584" s="8">
        <v>96441</v>
      </c>
      <c r="H584" s="9">
        <v>0</v>
      </c>
      <c r="I584" s="1" t="s">
        <v>59</v>
      </c>
      <c r="J584" s="1" t="s">
        <v>76</v>
      </c>
      <c r="K584" s="10" t="s">
        <v>36</v>
      </c>
    </row>
    <row r="585" spans="1:11" x14ac:dyDescent="0.25">
      <c r="A585" s="6" t="s">
        <v>63</v>
      </c>
      <c r="B585" s="1" t="s">
        <v>54</v>
      </c>
      <c r="C585" s="1" t="s">
        <v>39</v>
      </c>
      <c r="D585" s="1" t="s">
        <v>33</v>
      </c>
      <c r="E585" s="1">
        <v>46</v>
      </c>
      <c r="F585" s="7">
        <v>40836</v>
      </c>
      <c r="G585" s="8">
        <v>114250</v>
      </c>
      <c r="H585" s="9">
        <v>0.14000000000000001</v>
      </c>
      <c r="I585" s="1" t="s">
        <v>34</v>
      </c>
      <c r="J585" s="1" t="s">
        <v>68</v>
      </c>
      <c r="K585" s="10" t="s">
        <v>36</v>
      </c>
    </row>
    <row r="586" spans="1:11" x14ac:dyDescent="0.25">
      <c r="A586" s="6" t="s">
        <v>41</v>
      </c>
      <c r="B586" s="1" t="s">
        <v>26</v>
      </c>
      <c r="C586" s="1" t="s">
        <v>46</v>
      </c>
      <c r="D586" s="1" t="s">
        <v>33</v>
      </c>
      <c r="E586" s="1">
        <v>36</v>
      </c>
      <c r="F586" s="7">
        <v>44192</v>
      </c>
      <c r="G586" s="8">
        <v>70165</v>
      </c>
      <c r="H586" s="9">
        <v>7.0000000000000007E-2</v>
      </c>
      <c r="I586" s="1" t="s">
        <v>59</v>
      </c>
      <c r="J586" s="1" t="s">
        <v>60</v>
      </c>
      <c r="K586" s="10" t="s">
        <v>36</v>
      </c>
    </row>
    <row r="587" spans="1:11" x14ac:dyDescent="0.25">
      <c r="A587" s="6" t="s">
        <v>47</v>
      </c>
      <c r="B587" s="1" t="s">
        <v>26</v>
      </c>
      <c r="C587" s="1" t="s">
        <v>46</v>
      </c>
      <c r="D587" s="1" t="s">
        <v>33</v>
      </c>
      <c r="E587" s="1">
        <v>60</v>
      </c>
      <c r="F587" s="7">
        <v>36554</v>
      </c>
      <c r="G587" s="8">
        <v>109059</v>
      </c>
      <c r="H587" s="9">
        <v>7.0000000000000007E-2</v>
      </c>
      <c r="I587" s="1" t="s">
        <v>34</v>
      </c>
      <c r="J587" s="1" t="s">
        <v>68</v>
      </c>
      <c r="K587" s="10" t="s">
        <v>36</v>
      </c>
    </row>
    <row r="588" spans="1:11" x14ac:dyDescent="0.25">
      <c r="A588" s="6" t="s">
        <v>73</v>
      </c>
      <c r="B588" s="1" t="s">
        <v>54</v>
      </c>
      <c r="C588" s="1" t="s">
        <v>27</v>
      </c>
      <c r="D588" s="1" t="s">
        <v>28</v>
      </c>
      <c r="E588" s="1">
        <v>30</v>
      </c>
      <c r="F588" s="7">
        <v>42322</v>
      </c>
      <c r="G588" s="8">
        <v>77442</v>
      </c>
      <c r="H588" s="9">
        <v>0</v>
      </c>
      <c r="I588" s="1" t="s">
        <v>29</v>
      </c>
      <c r="J588" s="1" t="s">
        <v>58</v>
      </c>
      <c r="K588" s="10" t="s">
        <v>36</v>
      </c>
    </row>
    <row r="589" spans="1:11" x14ac:dyDescent="0.25">
      <c r="A589" s="6" t="s">
        <v>66</v>
      </c>
      <c r="B589" s="1" t="s">
        <v>45</v>
      </c>
      <c r="C589" s="1" t="s">
        <v>46</v>
      </c>
      <c r="D589" s="1" t="s">
        <v>28</v>
      </c>
      <c r="E589" s="1">
        <v>34</v>
      </c>
      <c r="F589" s="7">
        <v>41066</v>
      </c>
      <c r="G589" s="8">
        <v>72126</v>
      </c>
      <c r="H589" s="9">
        <v>0</v>
      </c>
      <c r="I589" s="1" t="s">
        <v>59</v>
      </c>
      <c r="J589" s="1" t="s">
        <v>60</v>
      </c>
      <c r="K589" s="10" t="s">
        <v>36</v>
      </c>
    </row>
    <row r="590" spans="1:11" x14ac:dyDescent="0.25">
      <c r="A590" s="6" t="s">
        <v>86</v>
      </c>
      <c r="B590" s="1" t="s">
        <v>26</v>
      </c>
      <c r="C590" s="1" t="s">
        <v>32</v>
      </c>
      <c r="D590" s="1" t="s">
        <v>33</v>
      </c>
      <c r="E590" s="1">
        <v>55</v>
      </c>
      <c r="F590" s="7">
        <v>41565</v>
      </c>
      <c r="G590" s="8">
        <v>70334</v>
      </c>
      <c r="H590" s="9">
        <v>0</v>
      </c>
      <c r="I590" s="1" t="s">
        <v>29</v>
      </c>
      <c r="J590" s="1" t="s">
        <v>49</v>
      </c>
      <c r="K590" s="10" t="s">
        <v>36</v>
      </c>
    </row>
    <row r="591" spans="1:11" x14ac:dyDescent="0.25">
      <c r="A591" s="6" t="s">
        <v>62</v>
      </c>
      <c r="B591" s="1" t="s">
        <v>54</v>
      </c>
      <c r="C591" s="1" t="s">
        <v>27</v>
      </c>
      <c r="D591" s="1" t="s">
        <v>33</v>
      </c>
      <c r="E591" s="1">
        <v>59</v>
      </c>
      <c r="F591" s="7">
        <v>40170</v>
      </c>
      <c r="G591" s="8">
        <v>78006</v>
      </c>
      <c r="H591" s="9">
        <v>0</v>
      </c>
      <c r="I591" s="1" t="s">
        <v>29</v>
      </c>
      <c r="J591" s="1" t="s">
        <v>49</v>
      </c>
      <c r="K591" s="10" t="s">
        <v>36</v>
      </c>
    </row>
    <row r="592" spans="1:11" x14ac:dyDescent="0.25">
      <c r="A592" s="6" t="s">
        <v>37</v>
      </c>
      <c r="B592" s="1" t="s">
        <v>26</v>
      </c>
      <c r="C592" s="1" t="s">
        <v>32</v>
      </c>
      <c r="D592" s="1" t="s">
        <v>28</v>
      </c>
      <c r="E592" s="1">
        <v>28</v>
      </c>
      <c r="F592" s="7">
        <v>44221</v>
      </c>
      <c r="G592" s="8">
        <v>160385</v>
      </c>
      <c r="H592" s="9">
        <v>0.23</v>
      </c>
      <c r="I592" s="1" t="s">
        <v>29</v>
      </c>
      <c r="J592" s="1" t="s">
        <v>49</v>
      </c>
      <c r="K592" s="10">
        <v>44334</v>
      </c>
    </row>
    <row r="593" spans="1:11" x14ac:dyDescent="0.25">
      <c r="A593" s="6" t="s">
        <v>56</v>
      </c>
      <c r="B593" s="1" t="s">
        <v>38</v>
      </c>
      <c r="C593" s="1" t="s">
        <v>46</v>
      </c>
      <c r="D593" s="1" t="s">
        <v>28</v>
      </c>
      <c r="E593" s="1">
        <v>36</v>
      </c>
      <c r="F593" s="7">
        <v>41650</v>
      </c>
      <c r="G593" s="8">
        <v>202323</v>
      </c>
      <c r="H593" s="9">
        <v>0.39</v>
      </c>
      <c r="I593" s="1" t="s">
        <v>29</v>
      </c>
      <c r="J593" s="1" t="s">
        <v>40</v>
      </c>
      <c r="K593" s="10" t="s">
        <v>36</v>
      </c>
    </row>
    <row r="594" spans="1:11" x14ac:dyDescent="0.25">
      <c r="A594" s="6" t="s">
        <v>25</v>
      </c>
      <c r="B594" s="1" t="s">
        <v>52</v>
      </c>
      <c r="C594" s="1" t="s">
        <v>46</v>
      </c>
      <c r="D594" s="1" t="s">
        <v>28</v>
      </c>
      <c r="E594" s="1">
        <v>29</v>
      </c>
      <c r="F594" s="7">
        <v>44025</v>
      </c>
      <c r="G594" s="8">
        <v>141555</v>
      </c>
      <c r="H594" s="9">
        <v>0.11</v>
      </c>
      <c r="I594" s="1" t="s">
        <v>59</v>
      </c>
      <c r="J594" s="1" t="s">
        <v>60</v>
      </c>
      <c r="K594" s="10" t="s">
        <v>36</v>
      </c>
    </row>
    <row r="595" spans="1:11" x14ac:dyDescent="0.25">
      <c r="A595" s="6" t="s">
        <v>37</v>
      </c>
      <c r="B595" s="1" t="s">
        <v>38</v>
      </c>
      <c r="C595" s="1" t="s">
        <v>39</v>
      </c>
      <c r="D595" s="1" t="s">
        <v>28</v>
      </c>
      <c r="E595" s="1">
        <v>34</v>
      </c>
      <c r="F595" s="7">
        <v>44032</v>
      </c>
      <c r="G595" s="8">
        <v>184960</v>
      </c>
      <c r="H595" s="9">
        <v>0.18</v>
      </c>
      <c r="I595" s="1" t="s">
        <v>29</v>
      </c>
      <c r="J595" s="1" t="s">
        <v>30</v>
      </c>
      <c r="K595" s="10" t="s">
        <v>36</v>
      </c>
    </row>
    <row r="596" spans="1:11" x14ac:dyDescent="0.25">
      <c r="A596" s="6" t="s">
        <v>56</v>
      </c>
      <c r="B596" s="1" t="s">
        <v>26</v>
      </c>
      <c r="C596" s="1" t="s">
        <v>32</v>
      </c>
      <c r="D596" s="1" t="s">
        <v>33</v>
      </c>
      <c r="E596" s="1">
        <v>37</v>
      </c>
      <c r="F596" s="7">
        <v>40719</v>
      </c>
      <c r="G596" s="8">
        <v>221592</v>
      </c>
      <c r="H596" s="9">
        <v>0.31</v>
      </c>
      <c r="I596" s="1" t="s">
        <v>29</v>
      </c>
      <c r="J596" s="1" t="s">
        <v>58</v>
      </c>
      <c r="K596" s="10" t="s">
        <v>36</v>
      </c>
    </row>
    <row r="597" spans="1:11" x14ac:dyDescent="0.25">
      <c r="A597" s="6" t="s">
        <v>70</v>
      </c>
      <c r="B597" s="1" t="s">
        <v>52</v>
      </c>
      <c r="C597" s="1" t="s">
        <v>32</v>
      </c>
      <c r="D597" s="1" t="s">
        <v>28</v>
      </c>
      <c r="E597" s="1">
        <v>44</v>
      </c>
      <c r="F597" s="7">
        <v>39841</v>
      </c>
      <c r="G597" s="8">
        <v>53301</v>
      </c>
      <c r="H597" s="9">
        <v>0</v>
      </c>
      <c r="I597" s="1" t="s">
        <v>29</v>
      </c>
      <c r="J597" s="1" t="s">
        <v>30</v>
      </c>
      <c r="K597" s="10" t="s">
        <v>36</v>
      </c>
    </row>
    <row r="598" spans="1:11" x14ac:dyDescent="0.25">
      <c r="A598" s="6" t="s">
        <v>75</v>
      </c>
      <c r="B598" s="1" t="s">
        <v>26</v>
      </c>
      <c r="C598" s="1" t="s">
        <v>46</v>
      </c>
      <c r="D598" s="1" t="s">
        <v>33</v>
      </c>
      <c r="E598" s="1">
        <v>45</v>
      </c>
      <c r="F598" s="7">
        <v>36587</v>
      </c>
      <c r="G598" s="8">
        <v>91276</v>
      </c>
      <c r="H598" s="9">
        <v>0</v>
      </c>
      <c r="I598" s="1" t="s">
        <v>29</v>
      </c>
      <c r="J598" s="1" t="s">
        <v>30</v>
      </c>
      <c r="K598" s="10" t="s">
        <v>36</v>
      </c>
    </row>
    <row r="599" spans="1:11" x14ac:dyDescent="0.25">
      <c r="A599" s="6" t="s">
        <v>25</v>
      </c>
      <c r="B599" s="1" t="s">
        <v>52</v>
      </c>
      <c r="C599" s="1" t="s">
        <v>27</v>
      </c>
      <c r="D599" s="1" t="s">
        <v>28</v>
      </c>
      <c r="E599" s="1">
        <v>52</v>
      </c>
      <c r="F599" s="7">
        <v>42983</v>
      </c>
      <c r="G599" s="8">
        <v>140042</v>
      </c>
      <c r="H599" s="9">
        <v>0.13</v>
      </c>
      <c r="I599" s="1" t="s">
        <v>29</v>
      </c>
      <c r="J599" s="1" t="s">
        <v>51</v>
      </c>
      <c r="K599" s="10" t="s">
        <v>36</v>
      </c>
    </row>
    <row r="600" spans="1:11" x14ac:dyDescent="0.25">
      <c r="A600" s="6" t="s">
        <v>48</v>
      </c>
      <c r="B600" s="1" t="s">
        <v>50</v>
      </c>
      <c r="C600" s="1" t="s">
        <v>32</v>
      </c>
      <c r="D600" s="1" t="s">
        <v>28</v>
      </c>
      <c r="E600" s="1">
        <v>40</v>
      </c>
      <c r="F600" s="7">
        <v>43440</v>
      </c>
      <c r="G600" s="8">
        <v>57225</v>
      </c>
      <c r="H600" s="9">
        <v>0</v>
      </c>
      <c r="I600" s="1" t="s">
        <v>29</v>
      </c>
      <c r="J600" s="1" t="s">
        <v>58</v>
      </c>
      <c r="K600" s="10" t="s">
        <v>36</v>
      </c>
    </row>
    <row r="601" spans="1:11" x14ac:dyDescent="0.25">
      <c r="A601" s="6" t="s">
        <v>47</v>
      </c>
      <c r="B601" s="1" t="s">
        <v>52</v>
      </c>
      <c r="C601" s="1" t="s">
        <v>39</v>
      </c>
      <c r="D601" s="1" t="s">
        <v>28</v>
      </c>
      <c r="E601" s="1">
        <v>55</v>
      </c>
      <c r="F601" s="7">
        <v>40233</v>
      </c>
      <c r="G601" s="8">
        <v>102839</v>
      </c>
      <c r="H601" s="9">
        <v>0.05</v>
      </c>
      <c r="I601" s="1" t="s">
        <v>29</v>
      </c>
      <c r="J601" s="1" t="s">
        <v>49</v>
      </c>
      <c r="K601" s="10" t="s">
        <v>36</v>
      </c>
    </row>
    <row r="602" spans="1:11" x14ac:dyDescent="0.25">
      <c r="A602" s="6" t="s">
        <v>37</v>
      </c>
      <c r="B602" s="1" t="s">
        <v>57</v>
      </c>
      <c r="C602" s="1" t="s">
        <v>27</v>
      </c>
      <c r="D602" s="1" t="s">
        <v>33</v>
      </c>
      <c r="E602" s="1">
        <v>29</v>
      </c>
      <c r="F602" s="7">
        <v>44454</v>
      </c>
      <c r="G602" s="8">
        <v>199783</v>
      </c>
      <c r="H602" s="9">
        <v>0.21</v>
      </c>
      <c r="I602" s="1" t="s">
        <v>29</v>
      </c>
      <c r="J602" s="1" t="s">
        <v>40</v>
      </c>
      <c r="K602" s="10">
        <v>44661</v>
      </c>
    </row>
    <row r="603" spans="1:11" x14ac:dyDescent="0.25">
      <c r="A603" s="6" t="s">
        <v>69</v>
      </c>
      <c r="B603" s="1" t="s">
        <v>52</v>
      </c>
      <c r="C603" s="1" t="s">
        <v>27</v>
      </c>
      <c r="D603" s="1" t="s">
        <v>33</v>
      </c>
      <c r="E603" s="1">
        <v>32</v>
      </c>
      <c r="F603" s="7">
        <v>44295</v>
      </c>
      <c r="G603" s="8">
        <v>70980</v>
      </c>
      <c r="H603" s="9">
        <v>0</v>
      </c>
      <c r="I603" s="1" t="s">
        <v>59</v>
      </c>
      <c r="J603" s="1" t="s">
        <v>61</v>
      </c>
      <c r="K603" s="10" t="s">
        <v>36</v>
      </c>
    </row>
    <row r="604" spans="1:11" x14ac:dyDescent="0.25">
      <c r="A604" s="6" t="s">
        <v>47</v>
      </c>
      <c r="B604" s="1" t="s">
        <v>57</v>
      </c>
      <c r="C604" s="1" t="s">
        <v>46</v>
      </c>
      <c r="D604" s="1" t="s">
        <v>33</v>
      </c>
      <c r="E604" s="1">
        <v>51</v>
      </c>
      <c r="F604" s="7">
        <v>35456</v>
      </c>
      <c r="G604" s="8">
        <v>104431</v>
      </c>
      <c r="H604" s="9">
        <v>7.0000000000000007E-2</v>
      </c>
      <c r="I604" s="1" t="s">
        <v>29</v>
      </c>
      <c r="J604" s="1" t="s">
        <v>43</v>
      </c>
      <c r="K604" s="10" t="s">
        <v>36</v>
      </c>
    </row>
    <row r="605" spans="1:11" x14ac:dyDescent="0.25">
      <c r="A605" s="6" t="s">
        <v>74</v>
      </c>
      <c r="B605" s="1" t="s">
        <v>52</v>
      </c>
      <c r="C605" s="1" t="s">
        <v>39</v>
      </c>
      <c r="D605" s="1" t="s">
        <v>33</v>
      </c>
      <c r="E605" s="1">
        <v>28</v>
      </c>
      <c r="F605" s="7">
        <v>44374</v>
      </c>
      <c r="G605" s="8">
        <v>48510</v>
      </c>
      <c r="H605" s="9">
        <v>0</v>
      </c>
      <c r="I605" s="1" t="s">
        <v>29</v>
      </c>
      <c r="J605" s="1" t="s">
        <v>40</v>
      </c>
      <c r="K605" s="10" t="s">
        <v>36</v>
      </c>
    </row>
    <row r="606" spans="1:11" x14ac:dyDescent="0.25">
      <c r="A606" s="6" t="s">
        <v>62</v>
      </c>
      <c r="B606" s="1" t="s">
        <v>54</v>
      </c>
      <c r="C606" s="1" t="s">
        <v>39</v>
      </c>
      <c r="D606" s="1" t="s">
        <v>33</v>
      </c>
      <c r="E606" s="1">
        <v>27</v>
      </c>
      <c r="F606" s="7">
        <v>43613</v>
      </c>
      <c r="G606" s="8">
        <v>70110</v>
      </c>
      <c r="H606" s="9">
        <v>0</v>
      </c>
      <c r="I606" s="1" t="s">
        <v>29</v>
      </c>
      <c r="J606" s="1" t="s">
        <v>49</v>
      </c>
      <c r="K606" s="10">
        <v>44203</v>
      </c>
    </row>
    <row r="607" spans="1:11" x14ac:dyDescent="0.25">
      <c r="A607" s="6" t="s">
        <v>37</v>
      </c>
      <c r="B607" s="1" t="s">
        <v>57</v>
      </c>
      <c r="C607" s="1" t="s">
        <v>46</v>
      </c>
      <c r="D607" s="1" t="s">
        <v>33</v>
      </c>
      <c r="E607" s="1">
        <v>45</v>
      </c>
      <c r="F607" s="7">
        <v>39519</v>
      </c>
      <c r="G607" s="8">
        <v>186138</v>
      </c>
      <c r="H607" s="9">
        <v>0.28000000000000003</v>
      </c>
      <c r="I607" s="1" t="s">
        <v>34</v>
      </c>
      <c r="J607" s="1" t="s">
        <v>35</v>
      </c>
      <c r="K607" s="10" t="s">
        <v>36</v>
      </c>
    </row>
    <row r="608" spans="1:11" x14ac:dyDescent="0.25">
      <c r="A608" s="6" t="s">
        <v>48</v>
      </c>
      <c r="B608" s="1" t="s">
        <v>50</v>
      </c>
      <c r="C608" s="1" t="s">
        <v>32</v>
      </c>
      <c r="D608" s="1" t="s">
        <v>33</v>
      </c>
      <c r="E608" s="1">
        <v>58</v>
      </c>
      <c r="F608" s="7">
        <v>40287</v>
      </c>
      <c r="G608" s="8">
        <v>56350</v>
      </c>
      <c r="H608" s="9">
        <v>0</v>
      </c>
      <c r="I608" s="1" t="s">
        <v>59</v>
      </c>
      <c r="J608" s="1" t="s">
        <v>61</v>
      </c>
      <c r="K608" s="10" t="s">
        <v>36</v>
      </c>
    </row>
    <row r="609" spans="1:11" x14ac:dyDescent="0.25">
      <c r="A609" s="6" t="s">
        <v>25</v>
      </c>
      <c r="B609" s="1" t="s">
        <v>38</v>
      </c>
      <c r="C609" s="1" t="s">
        <v>27</v>
      </c>
      <c r="D609" s="1" t="s">
        <v>28</v>
      </c>
      <c r="E609" s="1">
        <v>45</v>
      </c>
      <c r="F609" s="7">
        <v>42379</v>
      </c>
      <c r="G609" s="8">
        <v>149761</v>
      </c>
      <c r="H609" s="9">
        <v>0.12</v>
      </c>
      <c r="I609" s="1" t="s">
        <v>29</v>
      </c>
      <c r="J609" s="1" t="s">
        <v>58</v>
      </c>
      <c r="K609" s="10" t="s">
        <v>36</v>
      </c>
    </row>
    <row r="610" spans="1:11" x14ac:dyDescent="0.25">
      <c r="A610" s="6" t="s">
        <v>25</v>
      </c>
      <c r="B610" s="1" t="s">
        <v>38</v>
      </c>
      <c r="C610" s="1" t="s">
        <v>46</v>
      </c>
      <c r="D610" s="1" t="s">
        <v>33</v>
      </c>
      <c r="E610" s="1">
        <v>44</v>
      </c>
      <c r="F610" s="7">
        <v>39305</v>
      </c>
      <c r="G610" s="8">
        <v>126277</v>
      </c>
      <c r="H610" s="9">
        <v>0.13</v>
      </c>
      <c r="I610" s="1" t="s">
        <v>59</v>
      </c>
      <c r="J610" s="1" t="s">
        <v>60</v>
      </c>
      <c r="K610" s="10" t="s">
        <v>36</v>
      </c>
    </row>
    <row r="611" spans="1:11" x14ac:dyDescent="0.25">
      <c r="A611" s="6" t="s">
        <v>47</v>
      </c>
      <c r="B611" s="1" t="s">
        <v>45</v>
      </c>
      <c r="C611" s="1" t="s">
        <v>39</v>
      </c>
      <c r="D611" s="1" t="s">
        <v>33</v>
      </c>
      <c r="E611" s="1">
        <v>33</v>
      </c>
      <c r="F611" s="7">
        <v>41446</v>
      </c>
      <c r="G611" s="8">
        <v>119631</v>
      </c>
      <c r="H611" s="9">
        <v>0.06</v>
      </c>
      <c r="I611" s="1" t="s">
        <v>29</v>
      </c>
      <c r="J611" s="1" t="s">
        <v>43</v>
      </c>
      <c r="K611" s="10" t="s">
        <v>36</v>
      </c>
    </row>
    <row r="612" spans="1:11" x14ac:dyDescent="0.25">
      <c r="A612" s="6" t="s">
        <v>56</v>
      </c>
      <c r="B612" s="1" t="s">
        <v>26</v>
      </c>
      <c r="C612" s="1" t="s">
        <v>27</v>
      </c>
      <c r="D612" s="1" t="s">
        <v>33</v>
      </c>
      <c r="E612" s="1">
        <v>26</v>
      </c>
      <c r="F612" s="7">
        <v>43960</v>
      </c>
      <c r="G612" s="8">
        <v>256561</v>
      </c>
      <c r="H612" s="9">
        <v>0.39</v>
      </c>
      <c r="I612" s="1" t="s">
        <v>29</v>
      </c>
      <c r="J612" s="1" t="s">
        <v>51</v>
      </c>
      <c r="K612" s="10" t="s">
        <v>36</v>
      </c>
    </row>
    <row r="613" spans="1:11" x14ac:dyDescent="0.25">
      <c r="A613" s="6" t="s">
        <v>84</v>
      </c>
      <c r="B613" s="1" t="s">
        <v>26</v>
      </c>
      <c r="C613" s="1" t="s">
        <v>39</v>
      </c>
      <c r="D613" s="1" t="s">
        <v>28</v>
      </c>
      <c r="E613" s="1">
        <v>45</v>
      </c>
      <c r="F613" s="7">
        <v>43937</v>
      </c>
      <c r="G613" s="8">
        <v>66958</v>
      </c>
      <c r="H613" s="9">
        <v>0</v>
      </c>
      <c r="I613" s="1" t="s">
        <v>29</v>
      </c>
      <c r="J613" s="1" t="s">
        <v>49</v>
      </c>
      <c r="K613" s="10" t="s">
        <v>36</v>
      </c>
    </row>
    <row r="614" spans="1:11" x14ac:dyDescent="0.25">
      <c r="A614" s="6" t="s">
        <v>25</v>
      </c>
      <c r="B614" s="1" t="s">
        <v>45</v>
      </c>
      <c r="C614" s="1" t="s">
        <v>32</v>
      </c>
      <c r="D614" s="1" t="s">
        <v>28</v>
      </c>
      <c r="E614" s="1">
        <v>46</v>
      </c>
      <c r="F614" s="7">
        <v>38046</v>
      </c>
      <c r="G614" s="8">
        <v>158897</v>
      </c>
      <c r="H614" s="9">
        <v>0.1</v>
      </c>
      <c r="I614" s="1" t="s">
        <v>34</v>
      </c>
      <c r="J614" s="1" t="s">
        <v>35</v>
      </c>
      <c r="K614" s="10" t="s">
        <v>36</v>
      </c>
    </row>
    <row r="615" spans="1:11" x14ac:dyDescent="0.25">
      <c r="A615" s="6" t="s">
        <v>31</v>
      </c>
      <c r="B615" s="1" t="s">
        <v>26</v>
      </c>
      <c r="C615" s="1" t="s">
        <v>46</v>
      </c>
      <c r="D615" s="1" t="s">
        <v>33</v>
      </c>
      <c r="E615" s="1">
        <v>37</v>
      </c>
      <c r="F615" s="7">
        <v>39493</v>
      </c>
      <c r="G615" s="8">
        <v>71695</v>
      </c>
      <c r="H615" s="9">
        <v>0</v>
      </c>
      <c r="I615" s="1" t="s">
        <v>29</v>
      </c>
      <c r="J615" s="1" t="s">
        <v>43</v>
      </c>
      <c r="K615" s="10" t="s">
        <v>36</v>
      </c>
    </row>
    <row r="616" spans="1:11" x14ac:dyDescent="0.25">
      <c r="A616" s="6" t="s">
        <v>42</v>
      </c>
      <c r="B616" s="1" t="s">
        <v>57</v>
      </c>
      <c r="C616" s="1" t="s">
        <v>46</v>
      </c>
      <c r="D616" s="1" t="s">
        <v>33</v>
      </c>
      <c r="E616" s="1">
        <v>40</v>
      </c>
      <c r="F616" s="7">
        <v>41904</v>
      </c>
      <c r="G616" s="8">
        <v>73779</v>
      </c>
      <c r="H616" s="9">
        <v>0</v>
      </c>
      <c r="I616" s="1" t="s">
        <v>34</v>
      </c>
      <c r="J616" s="1" t="s">
        <v>35</v>
      </c>
      <c r="K616" s="10">
        <v>43594</v>
      </c>
    </row>
    <row r="617" spans="1:11" x14ac:dyDescent="0.25">
      <c r="A617" s="6" t="s">
        <v>47</v>
      </c>
      <c r="B617" s="1" t="s">
        <v>45</v>
      </c>
      <c r="C617" s="1" t="s">
        <v>39</v>
      </c>
      <c r="D617" s="1" t="s">
        <v>28</v>
      </c>
      <c r="E617" s="1">
        <v>45</v>
      </c>
      <c r="F617" s="7">
        <v>40836</v>
      </c>
      <c r="G617" s="8">
        <v>123640</v>
      </c>
      <c r="H617" s="9">
        <v>7.0000000000000007E-2</v>
      </c>
      <c r="I617" s="1" t="s">
        <v>34</v>
      </c>
      <c r="J617" s="1" t="s">
        <v>55</v>
      </c>
      <c r="K617" s="10" t="s">
        <v>36</v>
      </c>
    </row>
    <row r="618" spans="1:11" x14ac:dyDescent="0.25">
      <c r="A618" s="6" t="s">
        <v>48</v>
      </c>
      <c r="B618" s="1" t="s">
        <v>45</v>
      </c>
      <c r="C618" s="1" t="s">
        <v>39</v>
      </c>
      <c r="D618" s="1" t="s">
        <v>28</v>
      </c>
      <c r="E618" s="1">
        <v>33</v>
      </c>
      <c r="F618" s="7">
        <v>41742</v>
      </c>
      <c r="G618" s="8">
        <v>46878</v>
      </c>
      <c r="H618" s="9">
        <v>0</v>
      </c>
      <c r="I618" s="1" t="s">
        <v>29</v>
      </c>
      <c r="J618" s="1" t="s">
        <v>49</v>
      </c>
      <c r="K618" s="10" t="s">
        <v>36</v>
      </c>
    </row>
    <row r="619" spans="1:11" x14ac:dyDescent="0.25">
      <c r="A619" s="6" t="s">
        <v>48</v>
      </c>
      <c r="B619" s="1" t="s">
        <v>57</v>
      </c>
      <c r="C619" s="1" t="s">
        <v>39</v>
      </c>
      <c r="D619" s="1" t="s">
        <v>28</v>
      </c>
      <c r="E619" s="1">
        <v>64</v>
      </c>
      <c r="F619" s="7">
        <v>37662</v>
      </c>
      <c r="G619" s="8">
        <v>57032</v>
      </c>
      <c r="H619" s="9">
        <v>0</v>
      </c>
      <c r="I619" s="1" t="s">
        <v>29</v>
      </c>
      <c r="J619" s="1" t="s">
        <v>49</v>
      </c>
      <c r="K619" s="10" t="s">
        <v>36</v>
      </c>
    </row>
    <row r="620" spans="1:11" x14ac:dyDescent="0.25">
      <c r="A620" s="6" t="s">
        <v>42</v>
      </c>
      <c r="B620" s="1" t="s">
        <v>45</v>
      </c>
      <c r="C620" s="1" t="s">
        <v>32</v>
      </c>
      <c r="D620" s="1" t="s">
        <v>28</v>
      </c>
      <c r="E620" s="1">
        <v>57</v>
      </c>
      <c r="F620" s="7">
        <v>39357</v>
      </c>
      <c r="G620" s="8">
        <v>98150</v>
      </c>
      <c r="H620" s="9">
        <v>0</v>
      </c>
      <c r="I620" s="1" t="s">
        <v>59</v>
      </c>
      <c r="J620" s="1" t="s">
        <v>61</v>
      </c>
      <c r="K620" s="10" t="s">
        <v>36</v>
      </c>
    </row>
    <row r="621" spans="1:11" x14ac:dyDescent="0.25">
      <c r="A621" s="6" t="s">
        <v>37</v>
      </c>
      <c r="B621" s="1" t="s">
        <v>57</v>
      </c>
      <c r="C621" s="1" t="s">
        <v>32</v>
      </c>
      <c r="D621" s="1" t="s">
        <v>28</v>
      </c>
      <c r="E621" s="1">
        <v>35</v>
      </c>
      <c r="F621" s="7">
        <v>42800</v>
      </c>
      <c r="G621" s="8">
        <v>171426</v>
      </c>
      <c r="H621" s="9">
        <v>0.15</v>
      </c>
      <c r="I621" s="1" t="s">
        <v>34</v>
      </c>
      <c r="J621" s="1" t="s">
        <v>64</v>
      </c>
      <c r="K621" s="10">
        <v>43000</v>
      </c>
    </row>
    <row r="622" spans="1:11" x14ac:dyDescent="0.25">
      <c r="A622" s="6" t="s">
        <v>48</v>
      </c>
      <c r="B622" s="1" t="s">
        <v>38</v>
      </c>
      <c r="C622" s="1" t="s">
        <v>32</v>
      </c>
      <c r="D622" s="1" t="s">
        <v>28</v>
      </c>
      <c r="E622" s="1">
        <v>55</v>
      </c>
      <c r="F622" s="7">
        <v>44302</v>
      </c>
      <c r="G622" s="8">
        <v>48266</v>
      </c>
      <c r="H622" s="9">
        <v>0</v>
      </c>
      <c r="I622" s="1" t="s">
        <v>29</v>
      </c>
      <c r="J622" s="1" t="s">
        <v>40</v>
      </c>
      <c r="K622" s="10" t="s">
        <v>36</v>
      </c>
    </row>
    <row r="623" spans="1:11" x14ac:dyDescent="0.25">
      <c r="A623" s="6" t="s">
        <v>56</v>
      </c>
      <c r="B623" s="1" t="s">
        <v>38</v>
      </c>
      <c r="C623" s="1" t="s">
        <v>27</v>
      </c>
      <c r="D623" s="1" t="s">
        <v>33</v>
      </c>
      <c r="E623" s="1">
        <v>36</v>
      </c>
      <c r="F623" s="7">
        <v>43330</v>
      </c>
      <c r="G623" s="8">
        <v>223404</v>
      </c>
      <c r="H623" s="9">
        <v>0.32</v>
      </c>
      <c r="I623" s="1" t="s">
        <v>29</v>
      </c>
      <c r="J623" s="1" t="s">
        <v>58</v>
      </c>
      <c r="K623" s="10" t="s">
        <v>36</v>
      </c>
    </row>
    <row r="624" spans="1:11" x14ac:dyDescent="0.25">
      <c r="A624" s="6" t="s">
        <v>82</v>
      </c>
      <c r="B624" s="1" t="s">
        <v>26</v>
      </c>
      <c r="C624" s="1" t="s">
        <v>39</v>
      </c>
      <c r="D624" s="1" t="s">
        <v>28</v>
      </c>
      <c r="E624" s="1">
        <v>57</v>
      </c>
      <c r="F624" s="7">
        <v>41649</v>
      </c>
      <c r="G624" s="8">
        <v>74854</v>
      </c>
      <c r="H624" s="9">
        <v>0</v>
      </c>
      <c r="I624" s="1" t="s">
        <v>29</v>
      </c>
      <c r="J624" s="1" t="s">
        <v>30</v>
      </c>
      <c r="K624" s="10" t="s">
        <v>36</v>
      </c>
    </row>
    <row r="625" spans="1:11" x14ac:dyDescent="0.25">
      <c r="A625" s="6" t="s">
        <v>56</v>
      </c>
      <c r="B625" s="1" t="s">
        <v>50</v>
      </c>
      <c r="C625" s="1" t="s">
        <v>39</v>
      </c>
      <c r="D625" s="1" t="s">
        <v>28</v>
      </c>
      <c r="E625" s="1">
        <v>48</v>
      </c>
      <c r="F625" s="7">
        <v>39197</v>
      </c>
      <c r="G625" s="8">
        <v>217783</v>
      </c>
      <c r="H625" s="9">
        <v>0.36</v>
      </c>
      <c r="I625" s="1" t="s">
        <v>29</v>
      </c>
      <c r="J625" s="1" t="s">
        <v>30</v>
      </c>
      <c r="K625" s="10" t="s">
        <v>36</v>
      </c>
    </row>
    <row r="626" spans="1:11" x14ac:dyDescent="0.25">
      <c r="A626" s="6" t="s">
        <v>83</v>
      </c>
      <c r="B626" s="1" t="s">
        <v>26</v>
      </c>
      <c r="C626" s="1" t="s">
        <v>32</v>
      </c>
      <c r="D626" s="1" t="s">
        <v>28</v>
      </c>
      <c r="E626" s="1">
        <v>53</v>
      </c>
      <c r="F626" s="7">
        <v>38214</v>
      </c>
      <c r="G626" s="8">
        <v>44735</v>
      </c>
      <c r="H626" s="9">
        <v>0</v>
      </c>
      <c r="I626" s="1" t="s">
        <v>59</v>
      </c>
      <c r="J626" s="1" t="s">
        <v>60</v>
      </c>
      <c r="K626" s="10" t="s">
        <v>36</v>
      </c>
    </row>
    <row r="627" spans="1:11" x14ac:dyDescent="0.25">
      <c r="A627" s="6" t="s">
        <v>66</v>
      </c>
      <c r="B627" s="1" t="s">
        <v>38</v>
      </c>
      <c r="C627" s="1" t="s">
        <v>32</v>
      </c>
      <c r="D627" s="1" t="s">
        <v>28</v>
      </c>
      <c r="E627" s="1">
        <v>41</v>
      </c>
      <c r="F627" s="7">
        <v>39091</v>
      </c>
      <c r="G627" s="8">
        <v>50685</v>
      </c>
      <c r="H627" s="9">
        <v>0</v>
      </c>
      <c r="I627" s="1" t="s">
        <v>29</v>
      </c>
      <c r="J627" s="1" t="s">
        <v>58</v>
      </c>
      <c r="K627" s="10" t="s">
        <v>36</v>
      </c>
    </row>
    <row r="628" spans="1:11" x14ac:dyDescent="0.25">
      <c r="A628" s="6" t="s">
        <v>66</v>
      </c>
      <c r="B628" s="1" t="s">
        <v>45</v>
      </c>
      <c r="C628" s="1" t="s">
        <v>27</v>
      </c>
      <c r="D628" s="1" t="s">
        <v>33</v>
      </c>
      <c r="E628" s="1">
        <v>34</v>
      </c>
      <c r="F628" s="7">
        <v>43169</v>
      </c>
      <c r="G628" s="8">
        <v>58993</v>
      </c>
      <c r="H628" s="9">
        <v>0</v>
      </c>
      <c r="I628" s="1" t="s">
        <v>29</v>
      </c>
      <c r="J628" s="1" t="s">
        <v>51</v>
      </c>
      <c r="K628" s="10" t="s">
        <v>36</v>
      </c>
    </row>
    <row r="629" spans="1:11" x14ac:dyDescent="0.25">
      <c r="A629" s="6" t="s">
        <v>73</v>
      </c>
      <c r="B629" s="1" t="s">
        <v>54</v>
      </c>
      <c r="C629" s="1" t="s">
        <v>46</v>
      </c>
      <c r="D629" s="1" t="s">
        <v>33</v>
      </c>
      <c r="E629" s="1">
        <v>47</v>
      </c>
      <c r="F629" s="7">
        <v>43990</v>
      </c>
      <c r="G629" s="8">
        <v>115765</v>
      </c>
      <c r="H629" s="9">
        <v>0</v>
      </c>
      <c r="I629" s="1" t="s">
        <v>29</v>
      </c>
      <c r="J629" s="1" t="s">
        <v>49</v>
      </c>
      <c r="K629" s="10">
        <v>44229</v>
      </c>
    </row>
    <row r="630" spans="1:11" x14ac:dyDescent="0.25">
      <c r="A630" s="6" t="s">
        <v>37</v>
      </c>
      <c r="B630" s="1" t="s">
        <v>50</v>
      </c>
      <c r="C630" s="1" t="s">
        <v>32</v>
      </c>
      <c r="D630" s="1" t="s">
        <v>28</v>
      </c>
      <c r="E630" s="1">
        <v>63</v>
      </c>
      <c r="F630" s="7">
        <v>39147</v>
      </c>
      <c r="G630" s="8">
        <v>193044</v>
      </c>
      <c r="H630" s="9">
        <v>0.15</v>
      </c>
      <c r="I630" s="1" t="s">
        <v>29</v>
      </c>
      <c r="J630" s="1" t="s">
        <v>49</v>
      </c>
      <c r="K630" s="10" t="s">
        <v>36</v>
      </c>
    </row>
    <row r="631" spans="1:11" x14ac:dyDescent="0.25">
      <c r="A631" s="6" t="s">
        <v>48</v>
      </c>
      <c r="B631" s="1" t="s">
        <v>57</v>
      </c>
      <c r="C631" s="1" t="s">
        <v>27</v>
      </c>
      <c r="D631" s="1" t="s">
        <v>28</v>
      </c>
      <c r="E631" s="1">
        <v>65</v>
      </c>
      <c r="F631" s="7">
        <v>40711</v>
      </c>
      <c r="G631" s="8">
        <v>56686</v>
      </c>
      <c r="H631" s="9">
        <v>0</v>
      </c>
      <c r="I631" s="1" t="s">
        <v>29</v>
      </c>
      <c r="J631" s="1" t="s">
        <v>30</v>
      </c>
      <c r="K631" s="10">
        <v>42164</v>
      </c>
    </row>
    <row r="632" spans="1:11" x14ac:dyDescent="0.25">
      <c r="A632" s="6" t="s">
        <v>25</v>
      </c>
      <c r="B632" s="1" t="s">
        <v>38</v>
      </c>
      <c r="C632" s="1" t="s">
        <v>32</v>
      </c>
      <c r="D632" s="1" t="s">
        <v>28</v>
      </c>
      <c r="E632" s="1">
        <v>33</v>
      </c>
      <c r="F632" s="7">
        <v>43763</v>
      </c>
      <c r="G632" s="8">
        <v>131652</v>
      </c>
      <c r="H632" s="9">
        <v>0.11</v>
      </c>
      <c r="I632" s="1" t="s">
        <v>29</v>
      </c>
      <c r="J632" s="1" t="s">
        <v>30</v>
      </c>
      <c r="K632" s="10" t="s">
        <v>36</v>
      </c>
    </row>
    <row r="633" spans="1:11" x14ac:dyDescent="0.25">
      <c r="A633" s="6" t="s">
        <v>37</v>
      </c>
      <c r="B633" s="1" t="s">
        <v>57</v>
      </c>
      <c r="C633" s="1" t="s">
        <v>32</v>
      </c>
      <c r="D633" s="1" t="s">
        <v>28</v>
      </c>
      <c r="E633" s="1">
        <v>45</v>
      </c>
      <c r="F633" s="7">
        <v>39507</v>
      </c>
      <c r="G633" s="8">
        <v>150577</v>
      </c>
      <c r="H633" s="9">
        <v>0.25</v>
      </c>
      <c r="I633" s="1" t="s">
        <v>29</v>
      </c>
      <c r="J633" s="1" t="s">
        <v>49</v>
      </c>
      <c r="K633" s="10" t="s">
        <v>36</v>
      </c>
    </row>
    <row r="634" spans="1:11" x14ac:dyDescent="0.25">
      <c r="A634" s="6" t="s">
        <v>63</v>
      </c>
      <c r="B634" s="1" t="s">
        <v>54</v>
      </c>
      <c r="C634" s="1" t="s">
        <v>27</v>
      </c>
      <c r="D634" s="1" t="s">
        <v>28</v>
      </c>
      <c r="E634" s="1">
        <v>37</v>
      </c>
      <c r="F634" s="7">
        <v>43461</v>
      </c>
      <c r="G634" s="8">
        <v>87359</v>
      </c>
      <c r="H634" s="9">
        <v>0.11</v>
      </c>
      <c r="I634" s="1" t="s">
        <v>59</v>
      </c>
      <c r="J634" s="1" t="s">
        <v>61</v>
      </c>
      <c r="K634" s="10" t="s">
        <v>36</v>
      </c>
    </row>
    <row r="635" spans="1:11" x14ac:dyDescent="0.25">
      <c r="A635" s="6" t="s">
        <v>66</v>
      </c>
      <c r="B635" s="1" t="s">
        <v>45</v>
      </c>
      <c r="C635" s="1" t="s">
        <v>39</v>
      </c>
      <c r="D635" s="1" t="s">
        <v>28</v>
      </c>
      <c r="E635" s="1">
        <v>60</v>
      </c>
      <c r="F635" s="7">
        <v>41647</v>
      </c>
      <c r="G635" s="8">
        <v>51877</v>
      </c>
      <c r="H635" s="9">
        <v>0</v>
      </c>
      <c r="I635" s="1" t="s">
        <v>34</v>
      </c>
      <c r="J635" s="1" t="s">
        <v>64</v>
      </c>
      <c r="K635" s="10" t="s">
        <v>36</v>
      </c>
    </row>
    <row r="636" spans="1:11" x14ac:dyDescent="0.25">
      <c r="A636" s="6" t="s">
        <v>84</v>
      </c>
      <c r="B636" s="1" t="s">
        <v>26</v>
      </c>
      <c r="C636" s="1" t="s">
        <v>32</v>
      </c>
      <c r="D636" s="1" t="s">
        <v>33</v>
      </c>
      <c r="E636" s="1">
        <v>43</v>
      </c>
      <c r="F636" s="7">
        <v>42753</v>
      </c>
      <c r="G636" s="8">
        <v>86417</v>
      </c>
      <c r="H636" s="9">
        <v>0</v>
      </c>
      <c r="I636" s="1" t="s">
        <v>29</v>
      </c>
      <c r="J636" s="1" t="s">
        <v>40</v>
      </c>
      <c r="K636" s="10" t="s">
        <v>36</v>
      </c>
    </row>
    <row r="637" spans="1:11" x14ac:dyDescent="0.25">
      <c r="A637" s="6" t="s">
        <v>82</v>
      </c>
      <c r="B637" s="1" t="s">
        <v>26</v>
      </c>
      <c r="C637" s="1" t="s">
        <v>27</v>
      </c>
      <c r="D637" s="1" t="s">
        <v>28</v>
      </c>
      <c r="E637" s="1">
        <v>65</v>
      </c>
      <c r="F637" s="7">
        <v>37749</v>
      </c>
      <c r="G637" s="8">
        <v>96548</v>
      </c>
      <c r="H637" s="9">
        <v>0</v>
      </c>
      <c r="I637" s="1" t="s">
        <v>29</v>
      </c>
      <c r="J637" s="1" t="s">
        <v>51</v>
      </c>
      <c r="K637" s="10" t="s">
        <v>36</v>
      </c>
    </row>
    <row r="638" spans="1:11" x14ac:dyDescent="0.25">
      <c r="A638" s="6" t="s">
        <v>42</v>
      </c>
      <c r="B638" s="1" t="s">
        <v>50</v>
      </c>
      <c r="C638" s="1" t="s">
        <v>32</v>
      </c>
      <c r="D638" s="1" t="s">
        <v>28</v>
      </c>
      <c r="E638" s="1">
        <v>43</v>
      </c>
      <c r="F638" s="7">
        <v>41662</v>
      </c>
      <c r="G638" s="8">
        <v>92940</v>
      </c>
      <c r="H638" s="9">
        <v>0</v>
      </c>
      <c r="I638" s="1" t="s">
        <v>34</v>
      </c>
      <c r="J638" s="1" t="s">
        <v>68</v>
      </c>
      <c r="K638" s="10" t="s">
        <v>36</v>
      </c>
    </row>
    <row r="639" spans="1:11" x14ac:dyDescent="0.25">
      <c r="A639" s="6" t="s">
        <v>66</v>
      </c>
      <c r="B639" s="1" t="s">
        <v>50</v>
      </c>
      <c r="C639" s="1" t="s">
        <v>39</v>
      </c>
      <c r="D639" s="1" t="s">
        <v>33</v>
      </c>
      <c r="E639" s="1">
        <v>28</v>
      </c>
      <c r="F639" s="7">
        <v>43336</v>
      </c>
      <c r="G639" s="8">
        <v>61410</v>
      </c>
      <c r="H639" s="9">
        <v>0</v>
      </c>
      <c r="I639" s="1" t="s">
        <v>29</v>
      </c>
      <c r="J639" s="1" t="s">
        <v>43</v>
      </c>
      <c r="K639" s="10" t="s">
        <v>36</v>
      </c>
    </row>
    <row r="640" spans="1:11" x14ac:dyDescent="0.25">
      <c r="A640" s="6" t="s">
        <v>47</v>
      </c>
      <c r="B640" s="1" t="s">
        <v>38</v>
      </c>
      <c r="C640" s="1" t="s">
        <v>39</v>
      </c>
      <c r="D640" s="1" t="s">
        <v>28</v>
      </c>
      <c r="E640" s="1">
        <v>61</v>
      </c>
      <c r="F640" s="7">
        <v>40293</v>
      </c>
      <c r="G640" s="8">
        <v>110302</v>
      </c>
      <c r="H640" s="9">
        <v>0.06</v>
      </c>
      <c r="I640" s="1" t="s">
        <v>29</v>
      </c>
      <c r="J640" s="1" t="s">
        <v>49</v>
      </c>
      <c r="K640" s="10" t="s">
        <v>36</v>
      </c>
    </row>
    <row r="641" spans="1:11" x14ac:dyDescent="0.25">
      <c r="A641" s="6" t="s">
        <v>37</v>
      </c>
      <c r="B641" s="1" t="s">
        <v>54</v>
      </c>
      <c r="C641" s="1" t="s">
        <v>39</v>
      </c>
      <c r="D641" s="1" t="s">
        <v>28</v>
      </c>
      <c r="E641" s="1">
        <v>45</v>
      </c>
      <c r="F641" s="7">
        <v>43212</v>
      </c>
      <c r="G641" s="8">
        <v>187205</v>
      </c>
      <c r="H641" s="9">
        <v>0.24</v>
      </c>
      <c r="I641" s="1" t="s">
        <v>29</v>
      </c>
      <c r="J641" s="1" t="s">
        <v>58</v>
      </c>
      <c r="K641" s="10">
        <v>44732</v>
      </c>
    </row>
    <row r="642" spans="1:11" x14ac:dyDescent="0.25">
      <c r="A642" s="6" t="s">
        <v>42</v>
      </c>
      <c r="B642" s="1" t="s">
        <v>45</v>
      </c>
      <c r="C642" s="1" t="s">
        <v>46</v>
      </c>
      <c r="D642" s="1" t="s">
        <v>33</v>
      </c>
      <c r="E642" s="1">
        <v>45</v>
      </c>
      <c r="F642" s="7">
        <v>40618</v>
      </c>
      <c r="G642" s="8">
        <v>81687</v>
      </c>
      <c r="H642" s="9">
        <v>0</v>
      </c>
      <c r="I642" s="1" t="s">
        <v>29</v>
      </c>
      <c r="J642" s="1" t="s">
        <v>43</v>
      </c>
      <c r="K642" s="10" t="s">
        <v>36</v>
      </c>
    </row>
    <row r="643" spans="1:11" x14ac:dyDescent="0.25">
      <c r="A643" s="6" t="s">
        <v>56</v>
      </c>
      <c r="B643" s="1" t="s">
        <v>26</v>
      </c>
      <c r="C643" s="1" t="s">
        <v>39</v>
      </c>
      <c r="D643" s="1" t="s">
        <v>33</v>
      </c>
      <c r="E643" s="1">
        <v>54</v>
      </c>
      <c r="F643" s="7">
        <v>40040</v>
      </c>
      <c r="G643" s="8">
        <v>241083</v>
      </c>
      <c r="H643" s="9">
        <v>0.39</v>
      </c>
      <c r="I643" s="1" t="s">
        <v>29</v>
      </c>
      <c r="J643" s="1" t="s">
        <v>58</v>
      </c>
      <c r="K643" s="10" t="s">
        <v>36</v>
      </c>
    </row>
    <row r="644" spans="1:11" x14ac:dyDescent="0.25">
      <c r="A644" s="6" t="s">
        <v>56</v>
      </c>
      <c r="B644" s="1" t="s">
        <v>38</v>
      </c>
      <c r="C644" s="1" t="s">
        <v>39</v>
      </c>
      <c r="D644" s="1" t="s">
        <v>28</v>
      </c>
      <c r="E644" s="1">
        <v>38</v>
      </c>
      <c r="F644" s="7">
        <v>43413</v>
      </c>
      <c r="G644" s="8">
        <v>223805</v>
      </c>
      <c r="H644" s="9">
        <v>0.36</v>
      </c>
      <c r="I644" s="1" t="s">
        <v>29</v>
      </c>
      <c r="J644" s="1" t="s">
        <v>40</v>
      </c>
      <c r="K644" s="10" t="s">
        <v>36</v>
      </c>
    </row>
    <row r="645" spans="1:11" x14ac:dyDescent="0.25">
      <c r="A645" s="6" t="s">
        <v>37</v>
      </c>
      <c r="B645" s="1" t="s">
        <v>50</v>
      </c>
      <c r="C645" s="1" t="s">
        <v>46</v>
      </c>
      <c r="D645" s="1" t="s">
        <v>28</v>
      </c>
      <c r="E645" s="1">
        <v>27</v>
      </c>
      <c r="F645" s="7">
        <v>44393</v>
      </c>
      <c r="G645" s="8">
        <v>161759</v>
      </c>
      <c r="H645" s="9">
        <v>0.16</v>
      </c>
      <c r="I645" s="1" t="s">
        <v>29</v>
      </c>
      <c r="J645" s="1" t="s">
        <v>49</v>
      </c>
      <c r="K645" s="10" t="s">
        <v>36</v>
      </c>
    </row>
    <row r="646" spans="1:11" x14ac:dyDescent="0.25">
      <c r="A646" s="6" t="s">
        <v>41</v>
      </c>
      <c r="B646" s="1" t="s">
        <v>26</v>
      </c>
      <c r="C646" s="1" t="s">
        <v>27</v>
      </c>
      <c r="D646" s="1" t="s">
        <v>33</v>
      </c>
      <c r="E646" s="1">
        <v>40</v>
      </c>
      <c r="F646" s="7">
        <v>43520</v>
      </c>
      <c r="G646" s="8">
        <v>95899</v>
      </c>
      <c r="H646" s="9">
        <v>0.1</v>
      </c>
      <c r="I646" s="1" t="s">
        <v>29</v>
      </c>
      <c r="J646" s="1" t="s">
        <v>58</v>
      </c>
      <c r="K646" s="10">
        <v>44263</v>
      </c>
    </row>
    <row r="647" spans="1:11" x14ac:dyDescent="0.25">
      <c r="A647" s="6" t="s">
        <v>42</v>
      </c>
      <c r="B647" s="1" t="s">
        <v>38</v>
      </c>
      <c r="C647" s="1" t="s">
        <v>46</v>
      </c>
      <c r="D647" s="1" t="s">
        <v>33</v>
      </c>
      <c r="E647" s="1">
        <v>49</v>
      </c>
      <c r="F647" s="7">
        <v>43623</v>
      </c>
      <c r="G647" s="8">
        <v>80700</v>
      </c>
      <c r="H647" s="9">
        <v>0</v>
      </c>
      <c r="I647" s="1" t="s">
        <v>29</v>
      </c>
      <c r="J647" s="1" t="s">
        <v>58</v>
      </c>
      <c r="K647" s="10" t="s">
        <v>36</v>
      </c>
    </row>
    <row r="648" spans="1:11" x14ac:dyDescent="0.25">
      <c r="A648" s="6" t="s">
        <v>47</v>
      </c>
      <c r="B648" s="1" t="s">
        <v>52</v>
      </c>
      <c r="C648" s="1" t="s">
        <v>39</v>
      </c>
      <c r="D648" s="1" t="s">
        <v>33</v>
      </c>
      <c r="E648" s="1">
        <v>54</v>
      </c>
      <c r="F648" s="7">
        <v>35500</v>
      </c>
      <c r="G648" s="8">
        <v>128136</v>
      </c>
      <c r="H648" s="9">
        <v>0.05</v>
      </c>
      <c r="I648" s="1" t="s">
        <v>34</v>
      </c>
      <c r="J648" s="1" t="s">
        <v>64</v>
      </c>
      <c r="K648" s="10" t="s">
        <v>36</v>
      </c>
    </row>
    <row r="649" spans="1:11" x14ac:dyDescent="0.25">
      <c r="A649" s="6" t="s">
        <v>66</v>
      </c>
      <c r="B649" s="1" t="s">
        <v>57</v>
      </c>
      <c r="C649" s="1" t="s">
        <v>46</v>
      </c>
      <c r="D649" s="1" t="s">
        <v>28</v>
      </c>
      <c r="E649" s="1">
        <v>39</v>
      </c>
      <c r="F649" s="7">
        <v>42843</v>
      </c>
      <c r="G649" s="8">
        <v>58745</v>
      </c>
      <c r="H649" s="9">
        <v>0</v>
      </c>
      <c r="I649" s="1" t="s">
        <v>29</v>
      </c>
      <c r="J649" s="1" t="s">
        <v>51</v>
      </c>
      <c r="K649" s="10" t="s">
        <v>36</v>
      </c>
    </row>
    <row r="650" spans="1:11" x14ac:dyDescent="0.25">
      <c r="A650" s="6" t="s">
        <v>31</v>
      </c>
      <c r="B650" s="1" t="s">
        <v>26</v>
      </c>
      <c r="C650" s="1" t="s">
        <v>46</v>
      </c>
      <c r="D650" s="1" t="s">
        <v>28</v>
      </c>
      <c r="E650" s="1">
        <v>57</v>
      </c>
      <c r="F650" s="7">
        <v>33728</v>
      </c>
      <c r="G650" s="8">
        <v>76202</v>
      </c>
      <c r="H650" s="9">
        <v>0</v>
      </c>
      <c r="I650" s="1" t="s">
        <v>29</v>
      </c>
      <c r="J650" s="1" t="s">
        <v>51</v>
      </c>
      <c r="K650" s="10">
        <v>34686</v>
      </c>
    </row>
    <row r="651" spans="1:11" x14ac:dyDescent="0.25">
      <c r="A651" s="6" t="s">
        <v>56</v>
      </c>
      <c r="B651" s="1" t="s">
        <v>45</v>
      </c>
      <c r="C651" s="1" t="s">
        <v>39</v>
      </c>
      <c r="D651" s="1" t="s">
        <v>33</v>
      </c>
      <c r="E651" s="1">
        <v>36</v>
      </c>
      <c r="F651" s="7">
        <v>43178</v>
      </c>
      <c r="G651" s="8">
        <v>195200</v>
      </c>
      <c r="H651" s="9">
        <v>0.36</v>
      </c>
      <c r="I651" s="1" t="s">
        <v>29</v>
      </c>
      <c r="J651" s="1" t="s">
        <v>51</v>
      </c>
      <c r="K651" s="10" t="s">
        <v>36</v>
      </c>
    </row>
    <row r="652" spans="1:11" x14ac:dyDescent="0.25">
      <c r="A652" s="6" t="s">
        <v>66</v>
      </c>
      <c r="B652" s="1" t="s">
        <v>38</v>
      </c>
      <c r="C652" s="1" t="s">
        <v>32</v>
      </c>
      <c r="D652" s="1" t="s">
        <v>28</v>
      </c>
      <c r="E652" s="1">
        <v>45</v>
      </c>
      <c r="F652" s="7">
        <v>42711</v>
      </c>
      <c r="G652" s="8">
        <v>71454</v>
      </c>
      <c r="H652" s="9">
        <v>0</v>
      </c>
      <c r="I652" s="1" t="s">
        <v>34</v>
      </c>
      <c r="J652" s="1" t="s">
        <v>55</v>
      </c>
      <c r="K652" s="10" t="s">
        <v>36</v>
      </c>
    </row>
    <row r="653" spans="1:11" x14ac:dyDescent="0.25">
      <c r="A653" s="6" t="s">
        <v>75</v>
      </c>
      <c r="B653" s="1" t="s">
        <v>26</v>
      </c>
      <c r="C653" s="1" t="s">
        <v>32</v>
      </c>
      <c r="D653" s="1" t="s">
        <v>28</v>
      </c>
      <c r="E653" s="1">
        <v>30</v>
      </c>
      <c r="F653" s="7">
        <v>43864</v>
      </c>
      <c r="G653" s="8">
        <v>94652</v>
      </c>
      <c r="H653" s="9">
        <v>0</v>
      </c>
      <c r="I653" s="1" t="s">
        <v>29</v>
      </c>
      <c r="J653" s="1" t="s">
        <v>30</v>
      </c>
      <c r="K653" s="10" t="s">
        <v>36</v>
      </c>
    </row>
    <row r="654" spans="1:11" x14ac:dyDescent="0.25">
      <c r="A654" s="6" t="s">
        <v>31</v>
      </c>
      <c r="B654" s="1" t="s">
        <v>26</v>
      </c>
      <c r="C654" s="1" t="s">
        <v>32</v>
      </c>
      <c r="D654" s="1" t="s">
        <v>33</v>
      </c>
      <c r="E654" s="1">
        <v>34</v>
      </c>
      <c r="F654" s="7">
        <v>42416</v>
      </c>
      <c r="G654" s="8">
        <v>63411</v>
      </c>
      <c r="H654" s="9">
        <v>0</v>
      </c>
      <c r="I654" s="1" t="s">
        <v>29</v>
      </c>
      <c r="J654" s="1" t="s">
        <v>49</v>
      </c>
      <c r="K654" s="10" t="s">
        <v>36</v>
      </c>
    </row>
    <row r="655" spans="1:11" x14ac:dyDescent="0.25">
      <c r="A655" s="6" t="s">
        <v>66</v>
      </c>
      <c r="B655" s="1" t="s">
        <v>45</v>
      </c>
      <c r="C655" s="1" t="s">
        <v>39</v>
      </c>
      <c r="D655" s="1" t="s">
        <v>33</v>
      </c>
      <c r="E655" s="1">
        <v>31</v>
      </c>
      <c r="F655" s="7">
        <v>43878</v>
      </c>
      <c r="G655" s="8">
        <v>67171</v>
      </c>
      <c r="H655" s="9">
        <v>0</v>
      </c>
      <c r="I655" s="1" t="s">
        <v>34</v>
      </c>
      <c r="J655" s="1" t="s">
        <v>35</v>
      </c>
      <c r="K655" s="10">
        <v>44317</v>
      </c>
    </row>
    <row r="656" spans="1:11" x14ac:dyDescent="0.25">
      <c r="A656" s="6" t="s">
        <v>25</v>
      </c>
      <c r="B656" s="1" t="s">
        <v>50</v>
      </c>
      <c r="C656" s="1" t="s">
        <v>39</v>
      </c>
      <c r="D656" s="1" t="s">
        <v>28</v>
      </c>
      <c r="E656" s="1">
        <v>28</v>
      </c>
      <c r="F656" s="7">
        <v>43652</v>
      </c>
      <c r="G656" s="8">
        <v>152036</v>
      </c>
      <c r="H656" s="9">
        <v>0.15</v>
      </c>
      <c r="I656" s="1" t="s">
        <v>59</v>
      </c>
      <c r="J656" s="1" t="s">
        <v>61</v>
      </c>
      <c r="K656" s="10" t="s">
        <v>36</v>
      </c>
    </row>
    <row r="657" spans="1:11" x14ac:dyDescent="0.25">
      <c r="A657" s="6" t="s">
        <v>53</v>
      </c>
      <c r="B657" s="1" t="s">
        <v>54</v>
      </c>
      <c r="C657" s="1" t="s">
        <v>32</v>
      </c>
      <c r="D657" s="1" t="s">
        <v>28</v>
      </c>
      <c r="E657" s="1">
        <v>55</v>
      </c>
      <c r="F657" s="7">
        <v>44276</v>
      </c>
      <c r="G657" s="8">
        <v>95562</v>
      </c>
      <c r="H657" s="9">
        <v>0</v>
      </c>
      <c r="I657" s="1" t="s">
        <v>29</v>
      </c>
      <c r="J657" s="1" t="s">
        <v>40</v>
      </c>
      <c r="K657" s="10" t="s">
        <v>36</v>
      </c>
    </row>
    <row r="658" spans="1:11" x14ac:dyDescent="0.25">
      <c r="A658" s="6" t="s">
        <v>42</v>
      </c>
      <c r="B658" s="1" t="s">
        <v>45</v>
      </c>
      <c r="C658" s="1" t="s">
        <v>27</v>
      </c>
      <c r="D658" s="1" t="s">
        <v>33</v>
      </c>
      <c r="E658" s="1">
        <v>30</v>
      </c>
      <c r="F658" s="7">
        <v>43773</v>
      </c>
      <c r="G658" s="8">
        <v>96092</v>
      </c>
      <c r="H658" s="9">
        <v>0</v>
      </c>
      <c r="I658" s="1" t="s">
        <v>29</v>
      </c>
      <c r="J658" s="1" t="s">
        <v>51</v>
      </c>
      <c r="K658" s="10" t="s">
        <v>36</v>
      </c>
    </row>
    <row r="659" spans="1:11" x14ac:dyDescent="0.25">
      <c r="A659" s="6" t="s">
        <v>56</v>
      </c>
      <c r="B659" s="1" t="s">
        <v>54</v>
      </c>
      <c r="C659" s="1" t="s">
        <v>32</v>
      </c>
      <c r="D659" s="1" t="s">
        <v>33</v>
      </c>
      <c r="E659" s="1">
        <v>63</v>
      </c>
      <c r="F659" s="7">
        <v>41428</v>
      </c>
      <c r="G659" s="8">
        <v>254289</v>
      </c>
      <c r="H659" s="9">
        <v>0.39</v>
      </c>
      <c r="I659" s="1" t="s">
        <v>29</v>
      </c>
      <c r="J659" s="1" t="s">
        <v>40</v>
      </c>
      <c r="K659" s="10" t="s">
        <v>36</v>
      </c>
    </row>
    <row r="660" spans="1:11" x14ac:dyDescent="0.25">
      <c r="A660" s="6" t="s">
        <v>41</v>
      </c>
      <c r="B660" s="1" t="s">
        <v>26</v>
      </c>
      <c r="C660" s="1" t="s">
        <v>27</v>
      </c>
      <c r="D660" s="1" t="s">
        <v>33</v>
      </c>
      <c r="E660" s="1">
        <v>26</v>
      </c>
      <c r="F660" s="7">
        <v>43656</v>
      </c>
      <c r="G660" s="8">
        <v>69110</v>
      </c>
      <c r="H660" s="9">
        <v>0.05</v>
      </c>
      <c r="I660" s="1" t="s">
        <v>29</v>
      </c>
      <c r="J660" s="1" t="s">
        <v>40</v>
      </c>
      <c r="K660" s="10" t="s">
        <v>36</v>
      </c>
    </row>
    <row r="661" spans="1:11" x14ac:dyDescent="0.25">
      <c r="A661" s="6" t="s">
        <v>56</v>
      </c>
      <c r="B661" s="1" t="s">
        <v>57</v>
      </c>
      <c r="C661" s="1" t="s">
        <v>39</v>
      </c>
      <c r="D661" s="1" t="s">
        <v>33</v>
      </c>
      <c r="E661" s="1">
        <v>52</v>
      </c>
      <c r="F661" s="7">
        <v>37418</v>
      </c>
      <c r="G661" s="8">
        <v>236314</v>
      </c>
      <c r="H661" s="9">
        <v>0.34</v>
      </c>
      <c r="I661" s="1" t="s">
        <v>29</v>
      </c>
      <c r="J661" s="1" t="s">
        <v>49</v>
      </c>
      <c r="K661" s="10" t="s">
        <v>36</v>
      </c>
    </row>
    <row r="662" spans="1:11" x14ac:dyDescent="0.25">
      <c r="A662" s="6" t="s">
        <v>48</v>
      </c>
      <c r="B662" s="1" t="s">
        <v>57</v>
      </c>
      <c r="C662" s="1" t="s">
        <v>46</v>
      </c>
      <c r="D662" s="1" t="s">
        <v>33</v>
      </c>
      <c r="E662" s="1">
        <v>51</v>
      </c>
      <c r="F662" s="7">
        <v>39252</v>
      </c>
      <c r="G662" s="8">
        <v>45206</v>
      </c>
      <c r="H662" s="9">
        <v>0</v>
      </c>
      <c r="I662" s="1" t="s">
        <v>29</v>
      </c>
      <c r="J662" s="1" t="s">
        <v>58</v>
      </c>
      <c r="K662" s="10" t="s">
        <v>36</v>
      </c>
    </row>
    <row r="663" spans="1:11" x14ac:dyDescent="0.25">
      <c r="A663" s="6" t="s">
        <v>56</v>
      </c>
      <c r="B663" s="1" t="s">
        <v>38</v>
      </c>
      <c r="C663" s="1" t="s">
        <v>27</v>
      </c>
      <c r="D663" s="1" t="s">
        <v>28</v>
      </c>
      <c r="E663" s="1">
        <v>25</v>
      </c>
      <c r="F663" s="7">
        <v>44515</v>
      </c>
      <c r="G663" s="8">
        <v>210708</v>
      </c>
      <c r="H663" s="9">
        <v>0.33</v>
      </c>
      <c r="I663" s="1" t="s">
        <v>29</v>
      </c>
      <c r="J663" s="1" t="s">
        <v>40</v>
      </c>
      <c r="K663" s="10" t="s">
        <v>36</v>
      </c>
    </row>
    <row r="664" spans="1:11" x14ac:dyDescent="0.25">
      <c r="A664" s="6" t="s">
        <v>82</v>
      </c>
      <c r="B664" s="1" t="s">
        <v>26</v>
      </c>
      <c r="C664" s="1" t="s">
        <v>46</v>
      </c>
      <c r="D664" s="1" t="s">
        <v>33</v>
      </c>
      <c r="E664" s="1">
        <v>40</v>
      </c>
      <c r="F664" s="7">
        <v>44465</v>
      </c>
      <c r="G664" s="8">
        <v>87770</v>
      </c>
      <c r="H664" s="9">
        <v>0</v>
      </c>
      <c r="I664" s="1" t="s">
        <v>29</v>
      </c>
      <c r="J664" s="1" t="s">
        <v>51</v>
      </c>
      <c r="K664" s="10" t="s">
        <v>36</v>
      </c>
    </row>
    <row r="665" spans="1:11" x14ac:dyDescent="0.25">
      <c r="A665" s="6" t="s">
        <v>47</v>
      </c>
      <c r="B665" s="1" t="s">
        <v>50</v>
      </c>
      <c r="C665" s="1" t="s">
        <v>46</v>
      </c>
      <c r="D665" s="1" t="s">
        <v>28</v>
      </c>
      <c r="E665" s="1">
        <v>38</v>
      </c>
      <c r="F665" s="7">
        <v>42228</v>
      </c>
      <c r="G665" s="8">
        <v>106858</v>
      </c>
      <c r="H665" s="9">
        <v>0.05</v>
      </c>
      <c r="I665" s="1" t="s">
        <v>29</v>
      </c>
      <c r="J665" s="1" t="s">
        <v>30</v>
      </c>
      <c r="K665" s="10" t="s">
        <v>36</v>
      </c>
    </row>
    <row r="666" spans="1:11" x14ac:dyDescent="0.25">
      <c r="A666" s="6" t="s">
        <v>37</v>
      </c>
      <c r="B666" s="1" t="s">
        <v>52</v>
      </c>
      <c r="C666" s="1" t="s">
        <v>46</v>
      </c>
      <c r="D666" s="1" t="s">
        <v>33</v>
      </c>
      <c r="E666" s="1">
        <v>60</v>
      </c>
      <c r="F666" s="7">
        <v>42108</v>
      </c>
      <c r="G666" s="8">
        <v>155788</v>
      </c>
      <c r="H666" s="9">
        <v>0.17</v>
      </c>
      <c r="I666" s="1" t="s">
        <v>29</v>
      </c>
      <c r="J666" s="1" t="s">
        <v>30</v>
      </c>
      <c r="K666" s="10" t="s">
        <v>36</v>
      </c>
    </row>
    <row r="667" spans="1:11" x14ac:dyDescent="0.25">
      <c r="A667" s="6" t="s">
        <v>69</v>
      </c>
      <c r="B667" s="1" t="s">
        <v>52</v>
      </c>
      <c r="C667" s="1" t="s">
        <v>39</v>
      </c>
      <c r="D667" s="1" t="s">
        <v>28</v>
      </c>
      <c r="E667" s="1">
        <v>45</v>
      </c>
      <c r="F667" s="7">
        <v>43581</v>
      </c>
      <c r="G667" s="8">
        <v>74891</v>
      </c>
      <c r="H667" s="9">
        <v>0</v>
      </c>
      <c r="I667" s="1" t="s">
        <v>59</v>
      </c>
      <c r="J667" s="1" t="s">
        <v>61</v>
      </c>
      <c r="K667" s="10" t="s">
        <v>36</v>
      </c>
    </row>
    <row r="668" spans="1:11" x14ac:dyDescent="0.25">
      <c r="A668" s="6" t="s">
        <v>53</v>
      </c>
      <c r="B668" s="1" t="s">
        <v>54</v>
      </c>
      <c r="C668" s="1" t="s">
        <v>46</v>
      </c>
      <c r="D668" s="1" t="s">
        <v>33</v>
      </c>
      <c r="E668" s="1">
        <v>28</v>
      </c>
      <c r="F668" s="7">
        <v>44548</v>
      </c>
      <c r="G668" s="8">
        <v>95670</v>
      </c>
      <c r="H668" s="9">
        <v>0</v>
      </c>
      <c r="I668" s="1" t="s">
        <v>29</v>
      </c>
      <c r="J668" s="1" t="s">
        <v>43</v>
      </c>
      <c r="K668" s="10" t="s">
        <v>36</v>
      </c>
    </row>
    <row r="669" spans="1:11" x14ac:dyDescent="0.25">
      <c r="A669" s="6" t="s">
        <v>44</v>
      </c>
      <c r="B669" s="1" t="s">
        <v>45</v>
      </c>
      <c r="C669" s="1" t="s">
        <v>27</v>
      </c>
      <c r="D669" s="1" t="s">
        <v>28</v>
      </c>
      <c r="E669" s="1">
        <v>65</v>
      </c>
      <c r="F669" s="7">
        <v>36798</v>
      </c>
      <c r="G669" s="8">
        <v>67837</v>
      </c>
      <c r="H669" s="9">
        <v>0</v>
      </c>
      <c r="I669" s="1" t="s">
        <v>29</v>
      </c>
      <c r="J669" s="1" t="s">
        <v>51</v>
      </c>
      <c r="K669" s="10" t="s">
        <v>36</v>
      </c>
    </row>
    <row r="670" spans="1:11" x14ac:dyDescent="0.25">
      <c r="A670" s="6" t="s">
        <v>66</v>
      </c>
      <c r="B670" s="1" t="s">
        <v>45</v>
      </c>
      <c r="C670" s="1" t="s">
        <v>27</v>
      </c>
      <c r="D670" s="1" t="s">
        <v>33</v>
      </c>
      <c r="E670" s="1">
        <v>41</v>
      </c>
      <c r="F670" s="7">
        <v>40333</v>
      </c>
      <c r="G670" s="8">
        <v>72425</v>
      </c>
      <c r="H670" s="9">
        <v>0</v>
      </c>
      <c r="I670" s="1" t="s">
        <v>34</v>
      </c>
      <c r="J670" s="1" t="s">
        <v>64</v>
      </c>
      <c r="K670" s="10" t="s">
        <v>36</v>
      </c>
    </row>
    <row r="671" spans="1:11" x14ac:dyDescent="0.25">
      <c r="A671" s="6" t="s">
        <v>42</v>
      </c>
      <c r="B671" s="1" t="s">
        <v>45</v>
      </c>
      <c r="C671" s="1" t="s">
        <v>46</v>
      </c>
      <c r="D671" s="1" t="s">
        <v>28</v>
      </c>
      <c r="E671" s="1">
        <v>52</v>
      </c>
      <c r="F671" s="7">
        <v>34623</v>
      </c>
      <c r="G671" s="8">
        <v>93103</v>
      </c>
      <c r="H671" s="9">
        <v>0</v>
      </c>
      <c r="I671" s="1" t="s">
        <v>29</v>
      </c>
      <c r="J671" s="1" t="s">
        <v>43</v>
      </c>
      <c r="K671" s="10" t="s">
        <v>36</v>
      </c>
    </row>
    <row r="672" spans="1:11" x14ac:dyDescent="0.25">
      <c r="A672" s="6" t="s">
        <v>53</v>
      </c>
      <c r="B672" s="1" t="s">
        <v>54</v>
      </c>
      <c r="C672" s="1" t="s">
        <v>46</v>
      </c>
      <c r="D672" s="1" t="s">
        <v>28</v>
      </c>
      <c r="E672" s="1">
        <v>56</v>
      </c>
      <c r="F672" s="7">
        <v>42291</v>
      </c>
      <c r="G672" s="8">
        <v>76272</v>
      </c>
      <c r="H672" s="9">
        <v>0</v>
      </c>
      <c r="I672" s="1" t="s">
        <v>29</v>
      </c>
      <c r="J672" s="1" t="s">
        <v>49</v>
      </c>
      <c r="K672" s="10">
        <v>44491</v>
      </c>
    </row>
    <row r="673" spans="1:11" x14ac:dyDescent="0.25">
      <c r="A673" s="6" t="s">
        <v>66</v>
      </c>
      <c r="B673" s="1" t="s">
        <v>38</v>
      </c>
      <c r="C673" s="1" t="s">
        <v>32</v>
      </c>
      <c r="D673" s="1" t="s">
        <v>28</v>
      </c>
      <c r="E673" s="1">
        <v>48</v>
      </c>
      <c r="F673" s="7">
        <v>37796</v>
      </c>
      <c r="G673" s="8">
        <v>55760</v>
      </c>
      <c r="H673" s="9">
        <v>0</v>
      </c>
      <c r="I673" s="1" t="s">
        <v>29</v>
      </c>
      <c r="J673" s="1" t="s">
        <v>51</v>
      </c>
      <c r="K673" s="10" t="s">
        <v>36</v>
      </c>
    </row>
    <row r="674" spans="1:11" x14ac:dyDescent="0.25">
      <c r="A674" s="6" t="s">
        <v>56</v>
      </c>
      <c r="B674" s="1" t="s">
        <v>50</v>
      </c>
      <c r="C674" s="1" t="s">
        <v>46</v>
      </c>
      <c r="D674" s="1" t="s">
        <v>28</v>
      </c>
      <c r="E674" s="1">
        <v>36</v>
      </c>
      <c r="F674" s="7">
        <v>43843</v>
      </c>
      <c r="G674" s="8">
        <v>253294</v>
      </c>
      <c r="H674" s="9">
        <v>0.4</v>
      </c>
      <c r="I674" s="1" t="s">
        <v>29</v>
      </c>
      <c r="J674" s="1" t="s">
        <v>49</v>
      </c>
      <c r="K674" s="10" t="s">
        <v>36</v>
      </c>
    </row>
    <row r="675" spans="1:11" x14ac:dyDescent="0.25">
      <c r="A675" s="6" t="s">
        <v>66</v>
      </c>
      <c r="B675" s="1" t="s">
        <v>38</v>
      </c>
      <c r="C675" s="1" t="s">
        <v>46</v>
      </c>
      <c r="D675" s="1" t="s">
        <v>33</v>
      </c>
      <c r="E675" s="1">
        <v>60</v>
      </c>
      <c r="F675" s="7">
        <v>39310</v>
      </c>
      <c r="G675" s="8">
        <v>58671</v>
      </c>
      <c r="H675" s="9">
        <v>0</v>
      </c>
      <c r="I675" s="1" t="s">
        <v>29</v>
      </c>
      <c r="J675" s="1" t="s">
        <v>58</v>
      </c>
      <c r="K675" s="10" t="s">
        <v>36</v>
      </c>
    </row>
    <row r="676" spans="1:11" x14ac:dyDescent="0.25">
      <c r="A676" s="6" t="s">
        <v>44</v>
      </c>
      <c r="B676" s="1" t="s">
        <v>45</v>
      </c>
      <c r="C676" s="1" t="s">
        <v>27</v>
      </c>
      <c r="D676" s="1" t="s">
        <v>28</v>
      </c>
      <c r="E676" s="1">
        <v>40</v>
      </c>
      <c r="F676" s="7">
        <v>43175</v>
      </c>
      <c r="G676" s="8">
        <v>55457</v>
      </c>
      <c r="H676" s="9">
        <v>0</v>
      </c>
      <c r="I676" s="1" t="s">
        <v>29</v>
      </c>
      <c r="J676" s="1" t="s">
        <v>58</v>
      </c>
      <c r="K676" s="10" t="s">
        <v>36</v>
      </c>
    </row>
    <row r="677" spans="1:11" x14ac:dyDescent="0.25">
      <c r="A677" s="6" t="s">
        <v>44</v>
      </c>
      <c r="B677" s="1" t="s">
        <v>45</v>
      </c>
      <c r="C677" s="1" t="s">
        <v>32</v>
      </c>
      <c r="D677" s="1" t="s">
        <v>28</v>
      </c>
      <c r="E677" s="1">
        <v>63</v>
      </c>
      <c r="F677" s="7">
        <v>43004</v>
      </c>
      <c r="G677" s="8">
        <v>72340</v>
      </c>
      <c r="H677" s="9">
        <v>0</v>
      </c>
      <c r="I677" s="1" t="s">
        <v>29</v>
      </c>
      <c r="J677" s="1" t="s">
        <v>43</v>
      </c>
      <c r="K677" s="10">
        <v>43558</v>
      </c>
    </row>
    <row r="678" spans="1:11" x14ac:dyDescent="0.25">
      <c r="A678" s="6" t="s">
        <v>47</v>
      </c>
      <c r="B678" s="1" t="s">
        <v>57</v>
      </c>
      <c r="C678" s="1" t="s">
        <v>46</v>
      </c>
      <c r="D678" s="1" t="s">
        <v>28</v>
      </c>
      <c r="E678" s="1">
        <v>29</v>
      </c>
      <c r="F678" s="7">
        <v>42676</v>
      </c>
      <c r="G678" s="8">
        <v>122054</v>
      </c>
      <c r="H678" s="9">
        <v>0.06</v>
      </c>
      <c r="I678" s="1" t="s">
        <v>29</v>
      </c>
      <c r="J678" s="1" t="s">
        <v>43</v>
      </c>
      <c r="K678" s="10" t="s">
        <v>36</v>
      </c>
    </row>
    <row r="679" spans="1:11" x14ac:dyDescent="0.25">
      <c r="A679" s="6" t="s">
        <v>37</v>
      </c>
      <c r="B679" s="1" t="s">
        <v>26</v>
      </c>
      <c r="C679" s="1" t="s">
        <v>32</v>
      </c>
      <c r="D679" s="1" t="s">
        <v>28</v>
      </c>
      <c r="E679" s="1">
        <v>27</v>
      </c>
      <c r="F679" s="7">
        <v>43103</v>
      </c>
      <c r="G679" s="8">
        <v>167100</v>
      </c>
      <c r="H679" s="9">
        <v>0.2</v>
      </c>
      <c r="I679" s="1" t="s">
        <v>34</v>
      </c>
      <c r="J679" s="1" t="s">
        <v>68</v>
      </c>
      <c r="K679" s="10" t="s">
        <v>36</v>
      </c>
    </row>
    <row r="680" spans="1:11" x14ac:dyDescent="0.25">
      <c r="A680" s="6" t="s">
        <v>31</v>
      </c>
      <c r="B680" s="1" t="s">
        <v>26</v>
      </c>
      <c r="C680" s="1" t="s">
        <v>46</v>
      </c>
      <c r="D680" s="1" t="s">
        <v>28</v>
      </c>
      <c r="E680" s="1">
        <v>53</v>
      </c>
      <c r="F680" s="7">
        <v>35543</v>
      </c>
      <c r="G680" s="8">
        <v>78153</v>
      </c>
      <c r="H680" s="9">
        <v>0</v>
      </c>
      <c r="I680" s="1" t="s">
        <v>29</v>
      </c>
      <c r="J680" s="1" t="s">
        <v>49</v>
      </c>
      <c r="K680" s="10" t="s">
        <v>36</v>
      </c>
    </row>
    <row r="681" spans="1:11" x14ac:dyDescent="0.25">
      <c r="A681" s="6" t="s">
        <v>47</v>
      </c>
      <c r="B681" s="1" t="s">
        <v>38</v>
      </c>
      <c r="C681" s="1" t="s">
        <v>32</v>
      </c>
      <c r="D681" s="1" t="s">
        <v>28</v>
      </c>
      <c r="E681" s="1">
        <v>37</v>
      </c>
      <c r="F681" s="7">
        <v>43935</v>
      </c>
      <c r="G681" s="8">
        <v>103524</v>
      </c>
      <c r="H681" s="9">
        <v>0.09</v>
      </c>
      <c r="I681" s="1" t="s">
        <v>29</v>
      </c>
      <c r="J681" s="1" t="s">
        <v>43</v>
      </c>
      <c r="K681" s="10" t="s">
        <v>36</v>
      </c>
    </row>
    <row r="682" spans="1:11" x14ac:dyDescent="0.25">
      <c r="A682" s="6" t="s">
        <v>47</v>
      </c>
      <c r="B682" s="1" t="s">
        <v>26</v>
      </c>
      <c r="C682" s="1" t="s">
        <v>46</v>
      </c>
      <c r="D682" s="1" t="s">
        <v>33</v>
      </c>
      <c r="E682" s="1">
        <v>30</v>
      </c>
      <c r="F682" s="7">
        <v>42952</v>
      </c>
      <c r="G682" s="8">
        <v>119906</v>
      </c>
      <c r="H682" s="9">
        <v>0.05</v>
      </c>
      <c r="I682" s="1" t="s">
        <v>29</v>
      </c>
      <c r="J682" s="1" t="s">
        <v>58</v>
      </c>
      <c r="K682" s="10" t="s">
        <v>36</v>
      </c>
    </row>
    <row r="683" spans="1:11" x14ac:dyDescent="0.25">
      <c r="A683" s="6" t="s">
        <v>48</v>
      </c>
      <c r="B683" s="1" t="s">
        <v>57</v>
      </c>
      <c r="C683" s="1" t="s">
        <v>39</v>
      </c>
      <c r="D683" s="1" t="s">
        <v>28</v>
      </c>
      <c r="E683" s="1">
        <v>28</v>
      </c>
      <c r="F683" s="7">
        <v>43847</v>
      </c>
      <c r="G683" s="8">
        <v>45061</v>
      </c>
      <c r="H683" s="9">
        <v>0</v>
      </c>
      <c r="I683" s="1" t="s">
        <v>29</v>
      </c>
      <c r="J683" s="1" t="s">
        <v>49</v>
      </c>
      <c r="K683" s="10" t="s">
        <v>36</v>
      </c>
    </row>
    <row r="684" spans="1:11" x14ac:dyDescent="0.25">
      <c r="A684" s="6" t="s">
        <v>85</v>
      </c>
      <c r="B684" s="1" t="s">
        <v>26</v>
      </c>
      <c r="C684" s="1" t="s">
        <v>46</v>
      </c>
      <c r="D684" s="1" t="s">
        <v>33</v>
      </c>
      <c r="E684" s="1">
        <v>51</v>
      </c>
      <c r="F684" s="7">
        <v>37638</v>
      </c>
      <c r="G684" s="8">
        <v>91399</v>
      </c>
      <c r="H684" s="9">
        <v>0</v>
      </c>
      <c r="I684" s="1" t="s">
        <v>29</v>
      </c>
      <c r="J684" s="1" t="s">
        <v>30</v>
      </c>
      <c r="K684" s="10" t="s">
        <v>36</v>
      </c>
    </row>
    <row r="685" spans="1:11" x14ac:dyDescent="0.25">
      <c r="A685" s="6" t="s">
        <v>67</v>
      </c>
      <c r="B685" s="1" t="s">
        <v>26</v>
      </c>
      <c r="C685" s="1" t="s">
        <v>27</v>
      </c>
      <c r="D685" s="1" t="s">
        <v>33</v>
      </c>
      <c r="E685" s="1">
        <v>28</v>
      </c>
      <c r="F685" s="7">
        <v>43006</v>
      </c>
      <c r="G685" s="8">
        <v>97336</v>
      </c>
      <c r="H685" s="9">
        <v>0</v>
      </c>
      <c r="I685" s="1" t="s">
        <v>29</v>
      </c>
      <c r="J685" s="1" t="s">
        <v>51</v>
      </c>
      <c r="K685" s="10" t="s">
        <v>36</v>
      </c>
    </row>
    <row r="686" spans="1:11" x14ac:dyDescent="0.25">
      <c r="A686" s="6" t="s">
        <v>25</v>
      </c>
      <c r="B686" s="1" t="s">
        <v>50</v>
      </c>
      <c r="C686" s="1" t="s">
        <v>46</v>
      </c>
      <c r="D686" s="1" t="s">
        <v>28</v>
      </c>
      <c r="E686" s="1">
        <v>31</v>
      </c>
      <c r="F686" s="7">
        <v>42755</v>
      </c>
      <c r="G686" s="8">
        <v>124629</v>
      </c>
      <c r="H686" s="9">
        <v>0.1</v>
      </c>
      <c r="I686" s="1" t="s">
        <v>29</v>
      </c>
      <c r="J686" s="1" t="s">
        <v>58</v>
      </c>
      <c r="K686" s="10" t="s">
        <v>36</v>
      </c>
    </row>
    <row r="687" spans="1:11" x14ac:dyDescent="0.25">
      <c r="A687" s="6" t="s">
        <v>56</v>
      </c>
      <c r="B687" s="1" t="s">
        <v>52</v>
      </c>
      <c r="C687" s="1" t="s">
        <v>39</v>
      </c>
      <c r="D687" s="1" t="s">
        <v>28</v>
      </c>
      <c r="E687" s="1">
        <v>28</v>
      </c>
      <c r="F687" s="7">
        <v>44402</v>
      </c>
      <c r="G687" s="8">
        <v>231850</v>
      </c>
      <c r="H687" s="9">
        <v>0.39</v>
      </c>
      <c r="I687" s="1" t="s">
        <v>29</v>
      </c>
      <c r="J687" s="1" t="s">
        <v>49</v>
      </c>
      <c r="K687" s="10" t="s">
        <v>36</v>
      </c>
    </row>
    <row r="688" spans="1:11" x14ac:dyDescent="0.25">
      <c r="A688" s="6" t="s">
        <v>47</v>
      </c>
      <c r="B688" s="1" t="s">
        <v>50</v>
      </c>
      <c r="C688" s="1" t="s">
        <v>27</v>
      </c>
      <c r="D688" s="1" t="s">
        <v>33</v>
      </c>
      <c r="E688" s="1">
        <v>34</v>
      </c>
      <c r="F688" s="7">
        <v>43255</v>
      </c>
      <c r="G688" s="8">
        <v>128329</v>
      </c>
      <c r="H688" s="9">
        <v>0.08</v>
      </c>
      <c r="I688" s="1" t="s">
        <v>29</v>
      </c>
      <c r="J688" s="1" t="s">
        <v>43</v>
      </c>
      <c r="K688" s="10" t="s">
        <v>36</v>
      </c>
    </row>
    <row r="689" spans="1:11" x14ac:dyDescent="0.25">
      <c r="A689" s="6" t="s">
        <v>56</v>
      </c>
      <c r="B689" s="1" t="s">
        <v>57</v>
      </c>
      <c r="C689" s="1" t="s">
        <v>39</v>
      </c>
      <c r="D689" s="1" t="s">
        <v>33</v>
      </c>
      <c r="E689" s="1">
        <v>44</v>
      </c>
      <c r="F689" s="7">
        <v>44283</v>
      </c>
      <c r="G689" s="8">
        <v>186033</v>
      </c>
      <c r="H689" s="9">
        <v>0.34</v>
      </c>
      <c r="I689" s="1" t="s">
        <v>59</v>
      </c>
      <c r="J689" s="1" t="s">
        <v>76</v>
      </c>
      <c r="K689" s="10" t="s">
        <v>36</v>
      </c>
    </row>
    <row r="690" spans="1:11" x14ac:dyDescent="0.25">
      <c r="A690" s="6" t="s">
        <v>25</v>
      </c>
      <c r="B690" s="1" t="s">
        <v>57</v>
      </c>
      <c r="C690" s="1" t="s">
        <v>32</v>
      </c>
      <c r="D690" s="1" t="s">
        <v>33</v>
      </c>
      <c r="E690" s="1">
        <v>60</v>
      </c>
      <c r="F690" s="7">
        <v>44403</v>
      </c>
      <c r="G690" s="8">
        <v>121480</v>
      </c>
      <c r="H690" s="9">
        <v>0.14000000000000001</v>
      </c>
      <c r="I690" s="1" t="s">
        <v>29</v>
      </c>
      <c r="J690" s="1" t="s">
        <v>43</v>
      </c>
      <c r="K690" s="10" t="s">
        <v>36</v>
      </c>
    </row>
    <row r="691" spans="1:11" x14ac:dyDescent="0.25">
      <c r="A691" s="6" t="s">
        <v>37</v>
      </c>
      <c r="B691" s="1" t="s">
        <v>52</v>
      </c>
      <c r="C691" s="1" t="s">
        <v>39</v>
      </c>
      <c r="D691" s="1" t="s">
        <v>28</v>
      </c>
      <c r="E691" s="1">
        <v>41</v>
      </c>
      <c r="F691" s="7">
        <v>40319</v>
      </c>
      <c r="G691" s="8">
        <v>153275</v>
      </c>
      <c r="H691" s="9">
        <v>0.24</v>
      </c>
      <c r="I691" s="1" t="s">
        <v>29</v>
      </c>
      <c r="J691" s="1" t="s">
        <v>58</v>
      </c>
      <c r="K691" s="10" t="s">
        <v>36</v>
      </c>
    </row>
    <row r="692" spans="1:11" x14ac:dyDescent="0.25">
      <c r="A692" s="6" t="s">
        <v>42</v>
      </c>
      <c r="B692" s="1" t="s">
        <v>45</v>
      </c>
      <c r="C692" s="1" t="s">
        <v>27</v>
      </c>
      <c r="D692" s="1" t="s">
        <v>28</v>
      </c>
      <c r="E692" s="1">
        <v>62</v>
      </c>
      <c r="F692" s="7">
        <v>43969</v>
      </c>
      <c r="G692" s="8">
        <v>97830</v>
      </c>
      <c r="H692" s="9">
        <v>0</v>
      </c>
      <c r="I692" s="1" t="s">
        <v>29</v>
      </c>
      <c r="J692" s="1" t="s">
        <v>51</v>
      </c>
      <c r="K692" s="10" t="s">
        <v>36</v>
      </c>
    </row>
    <row r="693" spans="1:11" x14ac:dyDescent="0.25">
      <c r="A693" s="6" t="s">
        <v>56</v>
      </c>
      <c r="B693" s="1" t="s">
        <v>57</v>
      </c>
      <c r="C693" s="1" t="s">
        <v>46</v>
      </c>
      <c r="D693" s="1" t="s">
        <v>28</v>
      </c>
      <c r="E693" s="1">
        <v>47</v>
      </c>
      <c r="F693" s="7">
        <v>36232</v>
      </c>
      <c r="G693" s="8">
        <v>239394</v>
      </c>
      <c r="H693" s="9">
        <v>0.32</v>
      </c>
      <c r="I693" s="1" t="s">
        <v>29</v>
      </c>
      <c r="J693" s="1" t="s">
        <v>51</v>
      </c>
      <c r="K693" s="10" t="s">
        <v>36</v>
      </c>
    </row>
    <row r="694" spans="1:11" x14ac:dyDescent="0.25">
      <c r="A694" s="6" t="s">
        <v>48</v>
      </c>
      <c r="B694" s="1" t="s">
        <v>38</v>
      </c>
      <c r="C694" s="1" t="s">
        <v>39</v>
      </c>
      <c r="D694" s="1" t="s">
        <v>28</v>
      </c>
      <c r="E694" s="1">
        <v>62</v>
      </c>
      <c r="F694" s="7">
        <v>37519</v>
      </c>
      <c r="G694" s="8">
        <v>49738</v>
      </c>
      <c r="H694" s="9">
        <v>0</v>
      </c>
      <c r="I694" s="1" t="s">
        <v>34</v>
      </c>
      <c r="J694" s="1" t="s">
        <v>64</v>
      </c>
      <c r="K694" s="10" t="s">
        <v>36</v>
      </c>
    </row>
    <row r="695" spans="1:11" x14ac:dyDescent="0.25">
      <c r="A695" s="6" t="s">
        <v>48</v>
      </c>
      <c r="B695" s="1" t="s">
        <v>50</v>
      </c>
      <c r="C695" s="1" t="s">
        <v>32</v>
      </c>
      <c r="D695" s="1" t="s">
        <v>28</v>
      </c>
      <c r="E695" s="1">
        <v>33</v>
      </c>
      <c r="F695" s="7">
        <v>43247</v>
      </c>
      <c r="G695" s="8">
        <v>45049</v>
      </c>
      <c r="H695" s="9">
        <v>0</v>
      </c>
      <c r="I695" s="1" t="s">
        <v>29</v>
      </c>
      <c r="J695" s="1" t="s">
        <v>30</v>
      </c>
      <c r="K695" s="10" t="s">
        <v>36</v>
      </c>
    </row>
    <row r="696" spans="1:11" x14ac:dyDescent="0.25">
      <c r="A696" s="6" t="s">
        <v>37</v>
      </c>
      <c r="B696" s="1" t="s">
        <v>38</v>
      </c>
      <c r="C696" s="1" t="s">
        <v>27</v>
      </c>
      <c r="D696" s="1" t="s">
        <v>28</v>
      </c>
      <c r="E696" s="1">
        <v>27</v>
      </c>
      <c r="F696" s="7">
        <v>43977</v>
      </c>
      <c r="G696" s="8">
        <v>153628</v>
      </c>
      <c r="H696" s="9">
        <v>0.28999999999999998</v>
      </c>
      <c r="I696" s="1" t="s">
        <v>34</v>
      </c>
      <c r="J696" s="1" t="s">
        <v>35</v>
      </c>
      <c r="K696" s="10">
        <v>44177</v>
      </c>
    </row>
    <row r="697" spans="1:11" x14ac:dyDescent="0.25">
      <c r="A697" s="6" t="s">
        <v>25</v>
      </c>
      <c r="B697" s="1" t="s">
        <v>45</v>
      </c>
      <c r="C697" s="1" t="s">
        <v>32</v>
      </c>
      <c r="D697" s="1" t="s">
        <v>33</v>
      </c>
      <c r="E697" s="1">
        <v>25</v>
      </c>
      <c r="F697" s="7">
        <v>44362</v>
      </c>
      <c r="G697" s="8">
        <v>142731</v>
      </c>
      <c r="H697" s="9">
        <v>0.11</v>
      </c>
      <c r="I697" s="1" t="s">
        <v>34</v>
      </c>
      <c r="J697" s="1" t="s">
        <v>55</v>
      </c>
      <c r="K697" s="10">
        <v>44715</v>
      </c>
    </row>
    <row r="698" spans="1:11" x14ac:dyDescent="0.25">
      <c r="A698" s="6" t="s">
        <v>25</v>
      </c>
      <c r="B698" s="1" t="s">
        <v>57</v>
      </c>
      <c r="C698" s="1" t="s">
        <v>39</v>
      </c>
      <c r="D698" s="1" t="s">
        <v>28</v>
      </c>
      <c r="E698" s="1">
        <v>29</v>
      </c>
      <c r="F698" s="7">
        <v>43966</v>
      </c>
      <c r="G698" s="8">
        <v>137106</v>
      </c>
      <c r="H698" s="9">
        <v>0.12</v>
      </c>
      <c r="I698" s="1" t="s">
        <v>59</v>
      </c>
      <c r="J698" s="1" t="s">
        <v>76</v>
      </c>
      <c r="K698" s="10" t="s">
        <v>36</v>
      </c>
    </row>
    <row r="699" spans="1:11" x14ac:dyDescent="0.25">
      <c r="A699" s="6" t="s">
        <v>56</v>
      </c>
      <c r="B699" s="1" t="s">
        <v>38</v>
      </c>
      <c r="C699" s="1" t="s">
        <v>46</v>
      </c>
      <c r="D699" s="1" t="s">
        <v>28</v>
      </c>
      <c r="E699" s="1">
        <v>54</v>
      </c>
      <c r="F699" s="7">
        <v>39330</v>
      </c>
      <c r="G699" s="8">
        <v>183239</v>
      </c>
      <c r="H699" s="9">
        <v>0.32</v>
      </c>
      <c r="I699" s="1" t="s">
        <v>29</v>
      </c>
      <c r="J699" s="1" t="s">
        <v>30</v>
      </c>
      <c r="K699" s="10" t="s">
        <v>36</v>
      </c>
    </row>
    <row r="700" spans="1:11" x14ac:dyDescent="0.25">
      <c r="A700" s="6" t="s">
        <v>48</v>
      </c>
      <c r="B700" s="1" t="s">
        <v>50</v>
      </c>
      <c r="C700" s="1" t="s">
        <v>32</v>
      </c>
      <c r="D700" s="1" t="s">
        <v>28</v>
      </c>
      <c r="E700" s="1">
        <v>28</v>
      </c>
      <c r="F700" s="7">
        <v>43610</v>
      </c>
      <c r="G700" s="8">
        <v>45819</v>
      </c>
      <c r="H700" s="9">
        <v>0</v>
      </c>
      <c r="I700" s="1" t="s">
        <v>29</v>
      </c>
      <c r="J700" s="1" t="s">
        <v>49</v>
      </c>
      <c r="K700" s="10" t="s">
        <v>36</v>
      </c>
    </row>
    <row r="701" spans="1:11" x14ac:dyDescent="0.25">
      <c r="A701" s="6" t="s">
        <v>48</v>
      </c>
      <c r="B701" s="1" t="s">
        <v>50</v>
      </c>
      <c r="C701" s="1" t="s">
        <v>27</v>
      </c>
      <c r="D701" s="1" t="s">
        <v>28</v>
      </c>
      <c r="E701" s="1">
        <v>54</v>
      </c>
      <c r="F701" s="7">
        <v>39080</v>
      </c>
      <c r="G701" s="8">
        <v>55518</v>
      </c>
      <c r="H701" s="9">
        <v>0</v>
      </c>
      <c r="I701" s="1" t="s">
        <v>29</v>
      </c>
      <c r="J701" s="1" t="s">
        <v>58</v>
      </c>
      <c r="K701" s="10" t="s">
        <v>36</v>
      </c>
    </row>
    <row r="702" spans="1:11" x14ac:dyDescent="0.25">
      <c r="A702" s="6" t="s">
        <v>47</v>
      </c>
      <c r="B702" s="1" t="s">
        <v>57</v>
      </c>
      <c r="C702" s="1" t="s">
        <v>32</v>
      </c>
      <c r="D702" s="1" t="s">
        <v>28</v>
      </c>
      <c r="E702" s="1">
        <v>50</v>
      </c>
      <c r="F702" s="7">
        <v>40979</v>
      </c>
      <c r="G702" s="8">
        <v>108134</v>
      </c>
      <c r="H702" s="9">
        <v>0.1</v>
      </c>
      <c r="I702" s="1" t="s">
        <v>34</v>
      </c>
      <c r="J702" s="1" t="s">
        <v>55</v>
      </c>
      <c r="K702" s="10" t="s">
        <v>36</v>
      </c>
    </row>
    <row r="703" spans="1:11" x14ac:dyDescent="0.25">
      <c r="A703" s="6" t="s">
        <v>47</v>
      </c>
      <c r="B703" s="1" t="s">
        <v>57</v>
      </c>
      <c r="C703" s="1" t="s">
        <v>27</v>
      </c>
      <c r="D703" s="1" t="s">
        <v>28</v>
      </c>
      <c r="E703" s="1">
        <v>55</v>
      </c>
      <c r="F703" s="7">
        <v>33958</v>
      </c>
      <c r="G703" s="8">
        <v>113950</v>
      </c>
      <c r="H703" s="9">
        <v>0.09</v>
      </c>
      <c r="I703" s="1" t="s">
        <v>29</v>
      </c>
      <c r="J703" s="1" t="s">
        <v>49</v>
      </c>
      <c r="K703" s="10" t="s">
        <v>36</v>
      </c>
    </row>
    <row r="704" spans="1:11" x14ac:dyDescent="0.25">
      <c r="A704" s="6" t="s">
        <v>56</v>
      </c>
      <c r="B704" s="1" t="s">
        <v>57</v>
      </c>
      <c r="C704" s="1" t="s">
        <v>39</v>
      </c>
      <c r="D704" s="1" t="s">
        <v>28</v>
      </c>
      <c r="E704" s="1">
        <v>52</v>
      </c>
      <c r="F704" s="7">
        <v>35886</v>
      </c>
      <c r="G704" s="8">
        <v>182035</v>
      </c>
      <c r="H704" s="9">
        <v>0.3</v>
      </c>
      <c r="I704" s="1" t="s">
        <v>29</v>
      </c>
      <c r="J704" s="1" t="s">
        <v>40</v>
      </c>
      <c r="K704" s="10" t="s">
        <v>36</v>
      </c>
    </row>
    <row r="705" spans="1:11" x14ac:dyDescent="0.25">
      <c r="A705" s="6" t="s">
        <v>37</v>
      </c>
      <c r="B705" s="1" t="s">
        <v>50</v>
      </c>
      <c r="C705" s="1" t="s">
        <v>39</v>
      </c>
      <c r="D705" s="1" t="s">
        <v>33</v>
      </c>
      <c r="E705" s="1">
        <v>35</v>
      </c>
      <c r="F705" s="7">
        <v>42963</v>
      </c>
      <c r="G705" s="8">
        <v>181356</v>
      </c>
      <c r="H705" s="9">
        <v>0.23</v>
      </c>
      <c r="I705" s="1" t="s">
        <v>34</v>
      </c>
      <c r="J705" s="1" t="s">
        <v>64</v>
      </c>
      <c r="K705" s="10" t="s">
        <v>36</v>
      </c>
    </row>
    <row r="706" spans="1:11" x14ac:dyDescent="0.25">
      <c r="A706" s="6" t="s">
        <v>44</v>
      </c>
      <c r="B706" s="1" t="s">
        <v>45</v>
      </c>
      <c r="C706" s="1" t="s">
        <v>46</v>
      </c>
      <c r="D706" s="1" t="s">
        <v>28</v>
      </c>
      <c r="E706" s="1">
        <v>26</v>
      </c>
      <c r="F706" s="7">
        <v>43698</v>
      </c>
      <c r="G706" s="8">
        <v>66084</v>
      </c>
      <c r="H706" s="9">
        <v>0</v>
      </c>
      <c r="I706" s="1" t="s">
        <v>29</v>
      </c>
      <c r="J706" s="1" t="s">
        <v>30</v>
      </c>
      <c r="K706" s="10" t="s">
        <v>36</v>
      </c>
    </row>
    <row r="707" spans="1:11" x14ac:dyDescent="0.25">
      <c r="A707" s="6" t="s">
        <v>84</v>
      </c>
      <c r="B707" s="1" t="s">
        <v>26</v>
      </c>
      <c r="C707" s="1" t="s">
        <v>39</v>
      </c>
      <c r="D707" s="1" t="s">
        <v>28</v>
      </c>
      <c r="E707" s="1">
        <v>43</v>
      </c>
      <c r="F707" s="7">
        <v>40290</v>
      </c>
      <c r="G707" s="8">
        <v>76912</v>
      </c>
      <c r="H707" s="9">
        <v>0</v>
      </c>
      <c r="I707" s="1" t="s">
        <v>59</v>
      </c>
      <c r="J707" s="1" t="s">
        <v>76</v>
      </c>
      <c r="K707" s="10" t="s">
        <v>36</v>
      </c>
    </row>
    <row r="708" spans="1:11" x14ac:dyDescent="0.25">
      <c r="A708" s="6" t="s">
        <v>77</v>
      </c>
      <c r="B708" s="1" t="s">
        <v>54</v>
      </c>
      <c r="C708" s="1" t="s">
        <v>27</v>
      </c>
      <c r="D708" s="1" t="s">
        <v>28</v>
      </c>
      <c r="E708" s="1">
        <v>63</v>
      </c>
      <c r="F708" s="7">
        <v>43227</v>
      </c>
      <c r="G708" s="8">
        <v>67987</v>
      </c>
      <c r="H708" s="9">
        <v>0</v>
      </c>
      <c r="I708" s="1" t="s">
        <v>29</v>
      </c>
      <c r="J708" s="1" t="s">
        <v>49</v>
      </c>
      <c r="K708" s="10" t="s">
        <v>36</v>
      </c>
    </row>
    <row r="709" spans="1:11" x14ac:dyDescent="0.25">
      <c r="A709" s="6" t="s">
        <v>66</v>
      </c>
      <c r="B709" s="1" t="s">
        <v>57</v>
      </c>
      <c r="C709" s="1" t="s">
        <v>32</v>
      </c>
      <c r="D709" s="1" t="s">
        <v>33</v>
      </c>
      <c r="E709" s="1">
        <v>65</v>
      </c>
      <c r="F709" s="7">
        <v>38584</v>
      </c>
      <c r="G709" s="8">
        <v>59833</v>
      </c>
      <c r="H709" s="9">
        <v>0</v>
      </c>
      <c r="I709" s="1" t="s">
        <v>29</v>
      </c>
      <c r="J709" s="1" t="s">
        <v>58</v>
      </c>
      <c r="K709" s="10" t="s">
        <v>36</v>
      </c>
    </row>
    <row r="710" spans="1:11" x14ac:dyDescent="0.25">
      <c r="A710" s="6" t="s">
        <v>25</v>
      </c>
      <c r="B710" s="1" t="s">
        <v>57</v>
      </c>
      <c r="C710" s="1" t="s">
        <v>39</v>
      </c>
      <c r="D710" s="1" t="s">
        <v>33</v>
      </c>
      <c r="E710" s="1">
        <v>45</v>
      </c>
      <c r="F710" s="7">
        <v>38453</v>
      </c>
      <c r="G710" s="8">
        <v>128468</v>
      </c>
      <c r="H710" s="9">
        <v>0.11</v>
      </c>
      <c r="I710" s="1" t="s">
        <v>29</v>
      </c>
      <c r="J710" s="1" t="s">
        <v>40</v>
      </c>
      <c r="K710" s="10" t="s">
        <v>36</v>
      </c>
    </row>
    <row r="711" spans="1:11" x14ac:dyDescent="0.25">
      <c r="A711" s="6" t="s">
        <v>47</v>
      </c>
      <c r="B711" s="1" t="s">
        <v>45</v>
      </c>
      <c r="C711" s="1" t="s">
        <v>46</v>
      </c>
      <c r="D711" s="1" t="s">
        <v>33</v>
      </c>
      <c r="E711" s="1">
        <v>42</v>
      </c>
      <c r="F711" s="7">
        <v>40692</v>
      </c>
      <c r="G711" s="8">
        <v>102440</v>
      </c>
      <c r="H711" s="9">
        <v>0.06</v>
      </c>
      <c r="I711" s="1" t="s">
        <v>29</v>
      </c>
      <c r="J711" s="1" t="s">
        <v>40</v>
      </c>
      <c r="K711" s="10" t="s">
        <v>36</v>
      </c>
    </row>
    <row r="712" spans="1:11" x14ac:dyDescent="0.25">
      <c r="A712" s="6" t="s">
        <v>56</v>
      </c>
      <c r="B712" s="1" t="s">
        <v>26</v>
      </c>
      <c r="C712" s="1" t="s">
        <v>39</v>
      </c>
      <c r="D712" s="1" t="s">
        <v>33</v>
      </c>
      <c r="E712" s="1">
        <v>59</v>
      </c>
      <c r="F712" s="7">
        <v>40542</v>
      </c>
      <c r="G712" s="8">
        <v>246619</v>
      </c>
      <c r="H712" s="9">
        <v>0.36</v>
      </c>
      <c r="I712" s="1" t="s">
        <v>29</v>
      </c>
      <c r="J712" s="1" t="s">
        <v>49</v>
      </c>
      <c r="K712" s="10" t="s">
        <v>36</v>
      </c>
    </row>
    <row r="713" spans="1:11" x14ac:dyDescent="0.25">
      <c r="A713" s="6" t="s">
        <v>47</v>
      </c>
      <c r="B713" s="1" t="s">
        <v>52</v>
      </c>
      <c r="C713" s="1" t="s">
        <v>46</v>
      </c>
      <c r="D713" s="1" t="s">
        <v>28</v>
      </c>
      <c r="E713" s="1">
        <v>42</v>
      </c>
      <c r="F713" s="7">
        <v>43058</v>
      </c>
      <c r="G713" s="8">
        <v>101143</v>
      </c>
      <c r="H713" s="9">
        <v>0.06</v>
      </c>
      <c r="I713" s="1" t="s">
        <v>29</v>
      </c>
      <c r="J713" s="1" t="s">
        <v>49</v>
      </c>
      <c r="K713" s="10" t="s">
        <v>36</v>
      </c>
    </row>
    <row r="714" spans="1:11" x14ac:dyDescent="0.25">
      <c r="A714" s="6" t="s">
        <v>74</v>
      </c>
      <c r="B714" s="1" t="s">
        <v>52</v>
      </c>
      <c r="C714" s="1" t="s">
        <v>32</v>
      </c>
      <c r="D714" s="1" t="s">
        <v>28</v>
      </c>
      <c r="E714" s="1">
        <v>45</v>
      </c>
      <c r="F714" s="7">
        <v>38639</v>
      </c>
      <c r="G714" s="8">
        <v>51404</v>
      </c>
      <c r="H714" s="9">
        <v>0</v>
      </c>
      <c r="I714" s="1" t="s">
        <v>59</v>
      </c>
      <c r="J714" s="1" t="s">
        <v>60</v>
      </c>
      <c r="K714" s="10">
        <v>40153</v>
      </c>
    </row>
    <row r="715" spans="1:11" x14ac:dyDescent="0.25">
      <c r="A715" s="6" t="s">
        <v>71</v>
      </c>
      <c r="B715" s="1" t="s">
        <v>54</v>
      </c>
      <c r="C715" s="1" t="s">
        <v>39</v>
      </c>
      <c r="D715" s="1" t="s">
        <v>33</v>
      </c>
      <c r="E715" s="1">
        <v>45</v>
      </c>
      <c r="F715" s="7">
        <v>42329</v>
      </c>
      <c r="G715" s="8">
        <v>87292</v>
      </c>
      <c r="H715" s="9">
        <v>0</v>
      </c>
      <c r="I715" s="1" t="s">
        <v>29</v>
      </c>
      <c r="J715" s="1" t="s">
        <v>58</v>
      </c>
      <c r="K715" s="10" t="s">
        <v>36</v>
      </c>
    </row>
    <row r="716" spans="1:11" x14ac:dyDescent="0.25">
      <c r="A716" s="6" t="s">
        <v>37</v>
      </c>
      <c r="B716" s="1" t="s">
        <v>57</v>
      </c>
      <c r="C716" s="1" t="s">
        <v>39</v>
      </c>
      <c r="D716" s="1" t="s">
        <v>28</v>
      </c>
      <c r="E716" s="1">
        <v>28</v>
      </c>
      <c r="F716" s="7">
        <v>43810</v>
      </c>
      <c r="G716" s="8">
        <v>182321</v>
      </c>
      <c r="H716" s="9">
        <v>0.28000000000000003</v>
      </c>
      <c r="I716" s="1" t="s">
        <v>34</v>
      </c>
      <c r="J716" s="1" t="s">
        <v>64</v>
      </c>
      <c r="K716" s="10" t="s">
        <v>36</v>
      </c>
    </row>
    <row r="717" spans="1:11" x14ac:dyDescent="0.25">
      <c r="A717" s="6" t="s">
        <v>83</v>
      </c>
      <c r="B717" s="1" t="s">
        <v>26</v>
      </c>
      <c r="C717" s="1" t="s">
        <v>46</v>
      </c>
      <c r="D717" s="1" t="s">
        <v>33</v>
      </c>
      <c r="E717" s="1">
        <v>51</v>
      </c>
      <c r="F717" s="7">
        <v>41697</v>
      </c>
      <c r="G717" s="8">
        <v>53929</v>
      </c>
      <c r="H717" s="9">
        <v>0</v>
      </c>
      <c r="I717" s="1" t="s">
        <v>29</v>
      </c>
      <c r="J717" s="1" t="s">
        <v>49</v>
      </c>
      <c r="K717" s="10">
        <v>43091</v>
      </c>
    </row>
    <row r="718" spans="1:11" x14ac:dyDescent="0.25">
      <c r="A718" s="6" t="s">
        <v>56</v>
      </c>
      <c r="B718" s="1" t="s">
        <v>50</v>
      </c>
      <c r="C718" s="1" t="s">
        <v>32</v>
      </c>
      <c r="D718" s="1" t="s">
        <v>28</v>
      </c>
      <c r="E718" s="1">
        <v>38</v>
      </c>
      <c r="F718" s="7">
        <v>41256</v>
      </c>
      <c r="G718" s="8">
        <v>191571</v>
      </c>
      <c r="H718" s="9">
        <v>0.32</v>
      </c>
      <c r="I718" s="1" t="s">
        <v>29</v>
      </c>
      <c r="J718" s="1" t="s">
        <v>51</v>
      </c>
      <c r="K718" s="10" t="s">
        <v>36</v>
      </c>
    </row>
    <row r="719" spans="1:11" x14ac:dyDescent="0.25">
      <c r="A719" s="6" t="s">
        <v>25</v>
      </c>
      <c r="B719" s="1" t="s">
        <v>50</v>
      </c>
      <c r="C719" s="1" t="s">
        <v>46</v>
      </c>
      <c r="D719" s="1" t="s">
        <v>28</v>
      </c>
      <c r="E719" s="1">
        <v>62</v>
      </c>
      <c r="F719" s="7">
        <v>39843</v>
      </c>
      <c r="G719" s="8">
        <v>150555</v>
      </c>
      <c r="H719" s="9">
        <v>0.13</v>
      </c>
      <c r="I719" s="1" t="s">
        <v>29</v>
      </c>
      <c r="J719" s="1" t="s">
        <v>43</v>
      </c>
      <c r="K719" s="10" t="s">
        <v>36</v>
      </c>
    </row>
    <row r="720" spans="1:11" x14ac:dyDescent="0.25">
      <c r="A720" s="6" t="s">
        <v>47</v>
      </c>
      <c r="B720" s="1" t="s">
        <v>38</v>
      </c>
      <c r="C720" s="1" t="s">
        <v>46</v>
      </c>
      <c r="D720" s="1" t="s">
        <v>33</v>
      </c>
      <c r="E720" s="1">
        <v>52</v>
      </c>
      <c r="F720" s="7">
        <v>40091</v>
      </c>
      <c r="G720" s="8">
        <v>122890</v>
      </c>
      <c r="H720" s="9">
        <v>7.0000000000000007E-2</v>
      </c>
      <c r="I720" s="1" t="s">
        <v>34</v>
      </c>
      <c r="J720" s="1" t="s">
        <v>55</v>
      </c>
      <c r="K720" s="10" t="s">
        <v>36</v>
      </c>
    </row>
    <row r="721" spans="1:11" x14ac:dyDescent="0.25">
      <c r="A721" s="6" t="s">
        <v>56</v>
      </c>
      <c r="B721" s="1" t="s">
        <v>38</v>
      </c>
      <c r="C721" s="1" t="s">
        <v>27</v>
      </c>
      <c r="D721" s="1" t="s">
        <v>33</v>
      </c>
      <c r="E721" s="1">
        <v>52</v>
      </c>
      <c r="F721" s="7">
        <v>35576</v>
      </c>
      <c r="G721" s="8">
        <v>216999</v>
      </c>
      <c r="H721" s="9">
        <v>0.37</v>
      </c>
      <c r="I721" s="1" t="s">
        <v>29</v>
      </c>
      <c r="J721" s="1" t="s">
        <v>49</v>
      </c>
      <c r="K721" s="10" t="s">
        <v>36</v>
      </c>
    </row>
    <row r="722" spans="1:11" x14ac:dyDescent="0.25">
      <c r="A722" s="6" t="s">
        <v>47</v>
      </c>
      <c r="B722" s="1" t="s">
        <v>52</v>
      </c>
      <c r="C722" s="1" t="s">
        <v>46</v>
      </c>
      <c r="D722" s="1" t="s">
        <v>33</v>
      </c>
      <c r="E722" s="1">
        <v>48</v>
      </c>
      <c r="F722" s="7">
        <v>42201</v>
      </c>
      <c r="G722" s="8">
        <v>110565</v>
      </c>
      <c r="H722" s="9">
        <v>0.09</v>
      </c>
      <c r="I722" s="1" t="s">
        <v>34</v>
      </c>
      <c r="J722" s="1" t="s">
        <v>64</v>
      </c>
      <c r="K722" s="10" t="s">
        <v>36</v>
      </c>
    </row>
    <row r="723" spans="1:11" x14ac:dyDescent="0.25">
      <c r="A723" s="6" t="s">
        <v>65</v>
      </c>
      <c r="B723" s="1" t="s">
        <v>26</v>
      </c>
      <c r="C723" s="1" t="s">
        <v>39</v>
      </c>
      <c r="D723" s="1" t="s">
        <v>33</v>
      </c>
      <c r="E723" s="1">
        <v>38</v>
      </c>
      <c r="F723" s="7">
        <v>42113</v>
      </c>
      <c r="G723" s="8">
        <v>48762</v>
      </c>
      <c r="H723" s="9">
        <v>0</v>
      </c>
      <c r="I723" s="1" t="s">
        <v>29</v>
      </c>
      <c r="J723" s="1" t="s">
        <v>30</v>
      </c>
      <c r="K723" s="10" t="s">
        <v>36</v>
      </c>
    </row>
    <row r="724" spans="1:11" x14ac:dyDescent="0.25">
      <c r="A724" s="6" t="s">
        <v>80</v>
      </c>
      <c r="B724" s="1" t="s">
        <v>54</v>
      </c>
      <c r="C724" s="1" t="s">
        <v>39</v>
      </c>
      <c r="D724" s="1" t="s">
        <v>28</v>
      </c>
      <c r="E724" s="1">
        <v>51</v>
      </c>
      <c r="F724" s="7">
        <v>42777</v>
      </c>
      <c r="G724" s="8">
        <v>87036</v>
      </c>
      <c r="H724" s="9">
        <v>0</v>
      </c>
      <c r="I724" s="1" t="s">
        <v>34</v>
      </c>
      <c r="J724" s="1" t="s">
        <v>35</v>
      </c>
      <c r="K724" s="10" t="s">
        <v>36</v>
      </c>
    </row>
    <row r="725" spans="1:11" x14ac:dyDescent="0.25">
      <c r="A725" s="6" t="s">
        <v>37</v>
      </c>
      <c r="B725" s="1" t="s">
        <v>57</v>
      </c>
      <c r="C725" s="1" t="s">
        <v>39</v>
      </c>
      <c r="D725" s="1" t="s">
        <v>33</v>
      </c>
      <c r="E725" s="1">
        <v>32</v>
      </c>
      <c r="F725" s="7">
        <v>42702</v>
      </c>
      <c r="G725" s="8">
        <v>177443</v>
      </c>
      <c r="H725" s="9">
        <v>0.16</v>
      </c>
      <c r="I725" s="1" t="s">
        <v>29</v>
      </c>
      <c r="J725" s="1" t="s">
        <v>30</v>
      </c>
      <c r="K725" s="10" t="s">
        <v>36</v>
      </c>
    </row>
    <row r="726" spans="1:11" x14ac:dyDescent="0.25">
      <c r="A726" s="6" t="s">
        <v>67</v>
      </c>
      <c r="B726" s="1" t="s">
        <v>26</v>
      </c>
      <c r="C726" s="1" t="s">
        <v>27</v>
      </c>
      <c r="D726" s="1" t="s">
        <v>28</v>
      </c>
      <c r="E726" s="1">
        <v>36</v>
      </c>
      <c r="F726" s="7">
        <v>42489</v>
      </c>
      <c r="G726" s="8">
        <v>75862</v>
      </c>
      <c r="H726" s="9">
        <v>0</v>
      </c>
      <c r="I726" s="1" t="s">
        <v>29</v>
      </c>
      <c r="J726" s="1" t="s">
        <v>51</v>
      </c>
      <c r="K726" s="10" t="s">
        <v>36</v>
      </c>
    </row>
    <row r="727" spans="1:11" x14ac:dyDescent="0.25">
      <c r="A727" s="6" t="s">
        <v>69</v>
      </c>
      <c r="B727" s="1" t="s">
        <v>52</v>
      </c>
      <c r="C727" s="1" t="s">
        <v>27</v>
      </c>
      <c r="D727" s="1" t="s">
        <v>28</v>
      </c>
      <c r="E727" s="1">
        <v>45</v>
      </c>
      <c r="F727" s="7">
        <v>43581</v>
      </c>
      <c r="G727" s="8">
        <v>90870</v>
      </c>
      <c r="H727" s="9">
        <v>0</v>
      </c>
      <c r="I727" s="1" t="s">
        <v>29</v>
      </c>
      <c r="J727" s="1" t="s">
        <v>40</v>
      </c>
      <c r="K727" s="10" t="s">
        <v>36</v>
      </c>
    </row>
    <row r="728" spans="1:11" x14ac:dyDescent="0.25">
      <c r="A728" s="6" t="s">
        <v>63</v>
      </c>
      <c r="B728" s="1" t="s">
        <v>54</v>
      </c>
      <c r="C728" s="1" t="s">
        <v>46</v>
      </c>
      <c r="D728" s="1" t="s">
        <v>28</v>
      </c>
      <c r="E728" s="1">
        <v>32</v>
      </c>
      <c r="F728" s="7">
        <v>41977</v>
      </c>
      <c r="G728" s="8">
        <v>99202</v>
      </c>
      <c r="H728" s="9">
        <v>0.11</v>
      </c>
      <c r="I728" s="1" t="s">
        <v>29</v>
      </c>
      <c r="J728" s="1" t="s">
        <v>43</v>
      </c>
      <c r="K728" s="10" t="s">
        <v>36</v>
      </c>
    </row>
    <row r="729" spans="1:11" x14ac:dyDescent="0.25">
      <c r="A729" s="6" t="s">
        <v>42</v>
      </c>
      <c r="B729" s="1" t="s">
        <v>57</v>
      </c>
      <c r="C729" s="1" t="s">
        <v>46</v>
      </c>
      <c r="D729" s="1" t="s">
        <v>33</v>
      </c>
      <c r="E729" s="1">
        <v>45</v>
      </c>
      <c r="F729" s="7">
        <v>39347</v>
      </c>
      <c r="G729" s="8">
        <v>92293</v>
      </c>
      <c r="H729" s="9">
        <v>0</v>
      </c>
      <c r="I729" s="1" t="s">
        <v>34</v>
      </c>
      <c r="J729" s="1" t="s">
        <v>68</v>
      </c>
      <c r="K729" s="10" t="s">
        <v>36</v>
      </c>
    </row>
    <row r="730" spans="1:11" x14ac:dyDescent="0.25">
      <c r="A730" s="6" t="s">
        <v>84</v>
      </c>
      <c r="B730" s="1" t="s">
        <v>26</v>
      </c>
      <c r="C730" s="1" t="s">
        <v>46</v>
      </c>
      <c r="D730" s="1" t="s">
        <v>33</v>
      </c>
      <c r="E730" s="1">
        <v>54</v>
      </c>
      <c r="F730" s="7">
        <v>33785</v>
      </c>
      <c r="G730" s="8">
        <v>63196</v>
      </c>
      <c r="H730" s="9">
        <v>0</v>
      </c>
      <c r="I730" s="1" t="s">
        <v>29</v>
      </c>
      <c r="J730" s="1" t="s">
        <v>40</v>
      </c>
      <c r="K730" s="10">
        <v>41938</v>
      </c>
    </row>
    <row r="731" spans="1:11" x14ac:dyDescent="0.25">
      <c r="A731" s="6" t="s">
        <v>80</v>
      </c>
      <c r="B731" s="1" t="s">
        <v>54</v>
      </c>
      <c r="C731" s="1" t="s">
        <v>39</v>
      </c>
      <c r="D731" s="1" t="s">
        <v>28</v>
      </c>
      <c r="E731" s="1">
        <v>48</v>
      </c>
      <c r="F731" s="7">
        <v>41032</v>
      </c>
      <c r="G731" s="8">
        <v>65340</v>
      </c>
      <c r="H731" s="9">
        <v>0</v>
      </c>
      <c r="I731" s="1" t="s">
        <v>34</v>
      </c>
      <c r="J731" s="1" t="s">
        <v>55</v>
      </c>
      <c r="K731" s="10">
        <v>43229</v>
      </c>
    </row>
    <row r="732" spans="1:11" x14ac:dyDescent="0.25">
      <c r="A732" s="6" t="s">
        <v>56</v>
      </c>
      <c r="B732" s="1" t="s">
        <v>57</v>
      </c>
      <c r="C732" s="1" t="s">
        <v>46</v>
      </c>
      <c r="D732" s="1" t="s">
        <v>33</v>
      </c>
      <c r="E732" s="1">
        <v>45</v>
      </c>
      <c r="F732" s="7">
        <v>42271</v>
      </c>
      <c r="G732" s="8">
        <v>202680</v>
      </c>
      <c r="H732" s="9">
        <v>0.32</v>
      </c>
      <c r="I732" s="1" t="s">
        <v>29</v>
      </c>
      <c r="J732" s="1" t="s">
        <v>43</v>
      </c>
      <c r="K732" s="10">
        <v>44790</v>
      </c>
    </row>
    <row r="733" spans="1:11" x14ac:dyDescent="0.25">
      <c r="A733" s="6" t="s">
        <v>41</v>
      </c>
      <c r="B733" s="1" t="s">
        <v>26</v>
      </c>
      <c r="C733" s="1" t="s">
        <v>32</v>
      </c>
      <c r="D733" s="1" t="s">
        <v>28</v>
      </c>
      <c r="E733" s="1">
        <v>46</v>
      </c>
      <c r="F733" s="7">
        <v>42849</v>
      </c>
      <c r="G733" s="8">
        <v>77461</v>
      </c>
      <c r="H733" s="9">
        <v>0.09</v>
      </c>
      <c r="I733" s="1" t="s">
        <v>59</v>
      </c>
      <c r="J733" s="1" t="s">
        <v>76</v>
      </c>
      <c r="K733" s="10" t="s">
        <v>36</v>
      </c>
    </row>
    <row r="734" spans="1:11" x14ac:dyDescent="0.25">
      <c r="A734" s="6" t="s">
        <v>73</v>
      </c>
      <c r="B734" s="1" t="s">
        <v>54</v>
      </c>
      <c r="C734" s="1" t="s">
        <v>27</v>
      </c>
      <c r="D734" s="1" t="s">
        <v>28</v>
      </c>
      <c r="E734" s="1">
        <v>40</v>
      </c>
      <c r="F734" s="7">
        <v>42622</v>
      </c>
      <c r="G734" s="8">
        <v>109680</v>
      </c>
      <c r="H734" s="9">
        <v>0</v>
      </c>
      <c r="I734" s="1" t="s">
        <v>34</v>
      </c>
      <c r="J734" s="1" t="s">
        <v>68</v>
      </c>
      <c r="K734" s="10" t="s">
        <v>36</v>
      </c>
    </row>
    <row r="735" spans="1:11" x14ac:dyDescent="0.25">
      <c r="A735" s="6" t="s">
        <v>37</v>
      </c>
      <c r="B735" s="1" t="s">
        <v>45</v>
      </c>
      <c r="C735" s="1" t="s">
        <v>32</v>
      </c>
      <c r="D735" s="1" t="s">
        <v>28</v>
      </c>
      <c r="E735" s="1">
        <v>61</v>
      </c>
      <c r="F735" s="7">
        <v>35661</v>
      </c>
      <c r="G735" s="8">
        <v>159567</v>
      </c>
      <c r="H735" s="9">
        <v>0.28000000000000003</v>
      </c>
      <c r="I735" s="1" t="s">
        <v>29</v>
      </c>
      <c r="J735" s="1" t="s">
        <v>43</v>
      </c>
      <c r="K735" s="10" t="s">
        <v>36</v>
      </c>
    </row>
    <row r="736" spans="1:11" x14ac:dyDescent="0.25">
      <c r="A736" s="6" t="s">
        <v>80</v>
      </c>
      <c r="B736" s="1" t="s">
        <v>54</v>
      </c>
      <c r="C736" s="1" t="s">
        <v>39</v>
      </c>
      <c r="D736" s="1" t="s">
        <v>33</v>
      </c>
      <c r="E736" s="1">
        <v>54</v>
      </c>
      <c r="F736" s="7">
        <v>41237</v>
      </c>
      <c r="G736" s="8">
        <v>94407</v>
      </c>
      <c r="H736" s="9">
        <v>0</v>
      </c>
      <c r="I736" s="1" t="s">
        <v>59</v>
      </c>
      <c r="J736" s="1" t="s">
        <v>76</v>
      </c>
      <c r="K736" s="10" t="s">
        <v>36</v>
      </c>
    </row>
    <row r="737" spans="1:11" x14ac:dyDescent="0.25">
      <c r="A737" s="6" t="s">
        <v>56</v>
      </c>
      <c r="B737" s="1" t="s">
        <v>52</v>
      </c>
      <c r="C737" s="1" t="s">
        <v>46</v>
      </c>
      <c r="D737" s="1" t="s">
        <v>33</v>
      </c>
      <c r="E737" s="1">
        <v>62</v>
      </c>
      <c r="F737" s="7">
        <v>37484</v>
      </c>
      <c r="G737" s="8">
        <v>234594</v>
      </c>
      <c r="H737" s="9">
        <v>0.33</v>
      </c>
      <c r="I737" s="1" t="s">
        <v>29</v>
      </c>
      <c r="J737" s="1" t="s">
        <v>30</v>
      </c>
      <c r="K737" s="10" t="s">
        <v>36</v>
      </c>
    </row>
    <row r="738" spans="1:11" x14ac:dyDescent="0.25">
      <c r="A738" s="6" t="s">
        <v>83</v>
      </c>
      <c r="B738" s="1" t="s">
        <v>26</v>
      </c>
      <c r="C738" s="1" t="s">
        <v>39</v>
      </c>
      <c r="D738" s="1" t="s">
        <v>33</v>
      </c>
      <c r="E738" s="1">
        <v>48</v>
      </c>
      <c r="F738" s="7">
        <v>37298</v>
      </c>
      <c r="G738" s="8">
        <v>43080</v>
      </c>
      <c r="H738" s="9">
        <v>0</v>
      </c>
      <c r="I738" s="1" t="s">
        <v>29</v>
      </c>
      <c r="J738" s="1" t="s">
        <v>51</v>
      </c>
      <c r="K738" s="10" t="s">
        <v>36</v>
      </c>
    </row>
    <row r="739" spans="1:11" x14ac:dyDescent="0.25">
      <c r="A739" s="6" t="s">
        <v>47</v>
      </c>
      <c r="B739" s="1" t="s">
        <v>57</v>
      </c>
      <c r="C739" s="1" t="s">
        <v>32</v>
      </c>
      <c r="D739" s="1" t="s">
        <v>28</v>
      </c>
      <c r="E739" s="1">
        <v>29</v>
      </c>
      <c r="F739" s="7">
        <v>44325</v>
      </c>
      <c r="G739" s="8">
        <v>129541</v>
      </c>
      <c r="H739" s="9">
        <v>0.08</v>
      </c>
      <c r="I739" s="1" t="s">
        <v>29</v>
      </c>
      <c r="J739" s="1" t="s">
        <v>43</v>
      </c>
      <c r="K739" s="10">
        <v>44340</v>
      </c>
    </row>
    <row r="740" spans="1:11" x14ac:dyDescent="0.25">
      <c r="A740" s="6" t="s">
        <v>37</v>
      </c>
      <c r="B740" s="1" t="s">
        <v>45</v>
      </c>
      <c r="C740" s="1" t="s">
        <v>27</v>
      </c>
      <c r="D740" s="1" t="s">
        <v>33</v>
      </c>
      <c r="E740" s="1">
        <v>39</v>
      </c>
      <c r="F740" s="7">
        <v>41635</v>
      </c>
      <c r="G740" s="8">
        <v>165756</v>
      </c>
      <c r="H740" s="9">
        <v>0.28000000000000003</v>
      </c>
      <c r="I740" s="1" t="s">
        <v>29</v>
      </c>
      <c r="J740" s="1" t="s">
        <v>58</v>
      </c>
      <c r="K740" s="10">
        <v>43991</v>
      </c>
    </row>
    <row r="741" spans="1:11" x14ac:dyDescent="0.25">
      <c r="A741" s="6" t="s">
        <v>25</v>
      </c>
      <c r="B741" s="1" t="s">
        <v>38</v>
      </c>
      <c r="C741" s="1" t="s">
        <v>39</v>
      </c>
      <c r="D741" s="1" t="s">
        <v>33</v>
      </c>
      <c r="E741" s="1">
        <v>44</v>
      </c>
      <c r="F741" s="7">
        <v>40274</v>
      </c>
      <c r="G741" s="8">
        <v>142878</v>
      </c>
      <c r="H741" s="9">
        <v>0.12</v>
      </c>
      <c r="I741" s="1" t="s">
        <v>29</v>
      </c>
      <c r="J741" s="1" t="s">
        <v>58</v>
      </c>
      <c r="K741" s="10" t="s">
        <v>36</v>
      </c>
    </row>
    <row r="742" spans="1:11" x14ac:dyDescent="0.25">
      <c r="A742" s="6" t="s">
        <v>37</v>
      </c>
      <c r="B742" s="1" t="s">
        <v>54</v>
      </c>
      <c r="C742" s="1" t="s">
        <v>32</v>
      </c>
      <c r="D742" s="1" t="s">
        <v>33</v>
      </c>
      <c r="E742" s="1">
        <v>52</v>
      </c>
      <c r="F742" s="7">
        <v>39018</v>
      </c>
      <c r="G742" s="8">
        <v>187992</v>
      </c>
      <c r="H742" s="9">
        <v>0.28000000000000003</v>
      </c>
      <c r="I742" s="1" t="s">
        <v>29</v>
      </c>
      <c r="J742" s="1" t="s">
        <v>49</v>
      </c>
      <c r="K742" s="10" t="s">
        <v>36</v>
      </c>
    </row>
    <row r="743" spans="1:11" x14ac:dyDescent="0.25">
      <c r="A743" s="6" t="s">
        <v>56</v>
      </c>
      <c r="B743" s="1" t="s">
        <v>52</v>
      </c>
      <c r="C743" s="1" t="s">
        <v>39</v>
      </c>
      <c r="D743" s="1" t="s">
        <v>28</v>
      </c>
      <c r="E743" s="1">
        <v>45</v>
      </c>
      <c r="F743" s="7">
        <v>43521</v>
      </c>
      <c r="G743" s="8">
        <v>249801</v>
      </c>
      <c r="H743" s="9">
        <v>0.39</v>
      </c>
      <c r="I743" s="1" t="s">
        <v>59</v>
      </c>
      <c r="J743" s="1" t="s">
        <v>76</v>
      </c>
      <c r="K743" s="10" t="s">
        <v>36</v>
      </c>
    </row>
    <row r="744" spans="1:11" x14ac:dyDescent="0.25">
      <c r="A744" s="6" t="s">
        <v>87</v>
      </c>
      <c r="B744" s="1" t="s">
        <v>26</v>
      </c>
      <c r="C744" s="1" t="s">
        <v>27</v>
      </c>
      <c r="D744" s="1" t="s">
        <v>33</v>
      </c>
      <c r="E744" s="1">
        <v>48</v>
      </c>
      <c r="F744" s="7">
        <v>38987</v>
      </c>
      <c r="G744" s="8">
        <v>76505</v>
      </c>
      <c r="H744" s="9">
        <v>0</v>
      </c>
      <c r="I744" s="1" t="s">
        <v>29</v>
      </c>
      <c r="J744" s="1" t="s">
        <v>30</v>
      </c>
      <c r="K744" s="10">
        <v>39180</v>
      </c>
    </row>
    <row r="745" spans="1:11" x14ac:dyDescent="0.25">
      <c r="A745" s="6" t="s">
        <v>86</v>
      </c>
      <c r="B745" s="1" t="s">
        <v>26</v>
      </c>
      <c r="C745" s="1" t="s">
        <v>46</v>
      </c>
      <c r="D745" s="1" t="s">
        <v>33</v>
      </c>
      <c r="E745" s="1">
        <v>39</v>
      </c>
      <c r="F745" s="7">
        <v>42664</v>
      </c>
      <c r="G745" s="8">
        <v>84297</v>
      </c>
      <c r="H745" s="9">
        <v>0</v>
      </c>
      <c r="I745" s="1" t="s">
        <v>59</v>
      </c>
      <c r="J745" s="1" t="s">
        <v>60</v>
      </c>
      <c r="K745" s="10" t="s">
        <v>36</v>
      </c>
    </row>
    <row r="746" spans="1:11" x14ac:dyDescent="0.25">
      <c r="A746" s="6" t="s">
        <v>42</v>
      </c>
      <c r="B746" s="1" t="s">
        <v>45</v>
      </c>
      <c r="C746" s="1" t="s">
        <v>39</v>
      </c>
      <c r="D746" s="1" t="s">
        <v>28</v>
      </c>
      <c r="E746" s="1">
        <v>53</v>
      </c>
      <c r="F746" s="7">
        <v>42744</v>
      </c>
      <c r="G746" s="8">
        <v>75769</v>
      </c>
      <c r="H746" s="9">
        <v>0</v>
      </c>
      <c r="I746" s="1" t="s">
        <v>59</v>
      </c>
      <c r="J746" s="1" t="s">
        <v>60</v>
      </c>
      <c r="K746" s="10">
        <v>44029</v>
      </c>
    </row>
    <row r="747" spans="1:11" x14ac:dyDescent="0.25">
      <c r="A747" s="6" t="s">
        <v>56</v>
      </c>
      <c r="B747" s="1" t="s">
        <v>50</v>
      </c>
      <c r="C747" s="1" t="s">
        <v>39</v>
      </c>
      <c r="D747" s="1" t="s">
        <v>33</v>
      </c>
      <c r="E747" s="1">
        <v>41</v>
      </c>
      <c r="F747" s="7">
        <v>41503</v>
      </c>
      <c r="G747" s="8">
        <v>235619</v>
      </c>
      <c r="H747" s="9">
        <v>0.3</v>
      </c>
      <c r="I747" s="1" t="s">
        <v>29</v>
      </c>
      <c r="J747" s="1" t="s">
        <v>30</v>
      </c>
      <c r="K747" s="10" t="s">
        <v>36</v>
      </c>
    </row>
    <row r="748" spans="1:11" x14ac:dyDescent="0.25">
      <c r="A748" s="6" t="s">
        <v>37</v>
      </c>
      <c r="B748" s="1" t="s">
        <v>54</v>
      </c>
      <c r="C748" s="1" t="s">
        <v>39</v>
      </c>
      <c r="D748" s="1" t="s">
        <v>33</v>
      </c>
      <c r="E748" s="1">
        <v>40</v>
      </c>
      <c r="F748" s="7">
        <v>43868</v>
      </c>
      <c r="G748" s="8">
        <v>187187</v>
      </c>
      <c r="H748" s="9">
        <v>0.18</v>
      </c>
      <c r="I748" s="1" t="s">
        <v>59</v>
      </c>
      <c r="J748" s="1" t="s">
        <v>60</v>
      </c>
      <c r="K748" s="10" t="s">
        <v>36</v>
      </c>
    </row>
    <row r="749" spans="1:11" x14ac:dyDescent="0.25">
      <c r="A749" s="6" t="s">
        <v>79</v>
      </c>
      <c r="B749" s="1" t="s">
        <v>26</v>
      </c>
      <c r="C749" s="1" t="s">
        <v>27</v>
      </c>
      <c r="D749" s="1" t="s">
        <v>33</v>
      </c>
      <c r="E749" s="1">
        <v>48</v>
      </c>
      <c r="F749" s="7">
        <v>38560</v>
      </c>
      <c r="G749" s="8">
        <v>68987</v>
      </c>
      <c r="H749" s="9">
        <v>0</v>
      </c>
      <c r="I749" s="1" t="s">
        <v>29</v>
      </c>
      <c r="J749" s="1" t="s">
        <v>40</v>
      </c>
      <c r="K749" s="10">
        <v>38829</v>
      </c>
    </row>
    <row r="750" spans="1:11" x14ac:dyDescent="0.25">
      <c r="A750" s="6" t="s">
        <v>37</v>
      </c>
      <c r="B750" s="1" t="s">
        <v>54</v>
      </c>
      <c r="C750" s="1" t="s">
        <v>39</v>
      </c>
      <c r="D750" s="1" t="s">
        <v>33</v>
      </c>
      <c r="E750" s="1">
        <v>41</v>
      </c>
      <c r="F750" s="7">
        <v>39156</v>
      </c>
      <c r="G750" s="8">
        <v>155926</v>
      </c>
      <c r="H750" s="9">
        <v>0.24</v>
      </c>
      <c r="I750" s="1" t="s">
        <v>29</v>
      </c>
      <c r="J750" s="1" t="s">
        <v>58</v>
      </c>
      <c r="K750" s="10">
        <v>39598</v>
      </c>
    </row>
    <row r="751" spans="1:11" x14ac:dyDescent="0.25">
      <c r="A751" s="6" t="s">
        <v>42</v>
      </c>
      <c r="B751" s="1" t="s">
        <v>50</v>
      </c>
      <c r="C751" s="1" t="s">
        <v>39</v>
      </c>
      <c r="D751" s="1" t="s">
        <v>33</v>
      </c>
      <c r="E751" s="1">
        <v>54</v>
      </c>
      <c r="F751" s="7">
        <v>42494</v>
      </c>
      <c r="G751" s="8">
        <v>93668</v>
      </c>
      <c r="H751" s="9">
        <v>0</v>
      </c>
      <c r="I751" s="1" t="s">
        <v>29</v>
      </c>
      <c r="J751" s="1" t="s">
        <v>40</v>
      </c>
      <c r="K751" s="10" t="s">
        <v>36</v>
      </c>
    </row>
    <row r="752" spans="1:11" x14ac:dyDescent="0.25">
      <c r="A752" s="6" t="s">
        <v>70</v>
      </c>
      <c r="B752" s="1" t="s">
        <v>52</v>
      </c>
      <c r="C752" s="1" t="s">
        <v>27</v>
      </c>
      <c r="D752" s="1" t="s">
        <v>33</v>
      </c>
      <c r="E752" s="1">
        <v>38</v>
      </c>
      <c r="F752" s="7">
        <v>43798</v>
      </c>
      <c r="G752" s="8">
        <v>69647</v>
      </c>
      <c r="H752" s="9">
        <v>0</v>
      </c>
      <c r="I752" s="1" t="s">
        <v>29</v>
      </c>
      <c r="J752" s="1" t="s">
        <v>49</v>
      </c>
      <c r="K752" s="10">
        <v>44671</v>
      </c>
    </row>
    <row r="753" spans="1:11" x14ac:dyDescent="0.25">
      <c r="A753" s="6" t="s">
        <v>82</v>
      </c>
      <c r="B753" s="1" t="s">
        <v>26</v>
      </c>
      <c r="C753" s="1" t="s">
        <v>46</v>
      </c>
      <c r="D753" s="1" t="s">
        <v>33</v>
      </c>
      <c r="E753" s="1">
        <v>57</v>
      </c>
      <c r="F753" s="7">
        <v>37798</v>
      </c>
      <c r="G753" s="8">
        <v>63318</v>
      </c>
      <c r="H753" s="9">
        <v>0</v>
      </c>
      <c r="I753" s="1" t="s">
        <v>29</v>
      </c>
      <c r="J753" s="1" t="s">
        <v>58</v>
      </c>
      <c r="K753" s="10" t="s">
        <v>36</v>
      </c>
    </row>
    <row r="754" spans="1:11" x14ac:dyDescent="0.25">
      <c r="A754" s="6" t="s">
        <v>42</v>
      </c>
      <c r="B754" s="1" t="s">
        <v>57</v>
      </c>
      <c r="C754" s="1" t="s">
        <v>32</v>
      </c>
      <c r="D754" s="1" t="s">
        <v>33</v>
      </c>
      <c r="E754" s="1">
        <v>63</v>
      </c>
      <c r="F754" s="7">
        <v>42778</v>
      </c>
      <c r="G754" s="8">
        <v>77629</v>
      </c>
      <c r="H754" s="9">
        <v>0</v>
      </c>
      <c r="I754" s="1" t="s">
        <v>34</v>
      </c>
      <c r="J754" s="1" t="s">
        <v>64</v>
      </c>
      <c r="K754" s="10" t="s">
        <v>36</v>
      </c>
    </row>
    <row r="755" spans="1:11" x14ac:dyDescent="0.25">
      <c r="A755" s="6" t="s">
        <v>25</v>
      </c>
      <c r="B755" s="1" t="s">
        <v>52</v>
      </c>
      <c r="C755" s="1" t="s">
        <v>32</v>
      </c>
      <c r="D755" s="1" t="s">
        <v>33</v>
      </c>
      <c r="E755" s="1">
        <v>62</v>
      </c>
      <c r="F755" s="7">
        <v>43061</v>
      </c>
      <c r="G755" s="8">
        <v>138808</v>
      </c>
      <c r="H755" s="9">
        <v>0.15</v>
      </c>
      <c r="I755" s="1" t="s">
        <v>34</v>
      </c>
      <c r="J755" s="1" t="s">
        <v>35</v>
      </c>
      <c r="K755" s="10" t="s">
        <v>36</v>
      </c>
    </row>
    <row r="756" spans="1:11" x14ac:dyDescent="0.25">
      <c r="A756" s="6" t="s">
        <v>67</v>
      </c>
      <c r="B756" s="1" t="s">
        <v>26</v>
      </c>
      <c r="C756" s="1" t="s">
        <v>27</v>
      </c>
      <c r="D756" s="1" t="s">
        <v>28</v>
      </c>
      <c r="E756" s="1">
        <v>49</v>
      </c>
      <c r="F756" s="7">
        <v>41703</v>
      </c>
      <c r="G756" s="8">
        <v>88777</v>
      </c>
      <c r="H756" s="9">
        <v>0</v>
      </c>
      <c r="I756" s="1" t="s">
        <v>29</v>
      </c>
      <c r="J756" s="1" t="s">
        <v>40</v>
      </c>
      <c r="K756" s="10" t="s">
        <v>36</v>
      </c>
    </row>
    <row r="757" spans="1:11" x14ac:dyDescent="0.25">
      <c r="A757" s="6" t="s">
        <v>37</v>
      </c>
      <c r="B757" s="1" t="s">
        <v>50</v>
      </c>
      <c r="C757" s="1" t="s">
        <v>46</v>
      </c>
      <c r="D757" s="1" t="s">
        <v>28</v>
      </c>
      <c r="E757" s="1">
        <v>60</v>
      </c>
      <c r="F757" s="7">
        <v>38121</v>
      </c>
      <c r="G757" s="8">
        <v>186378</v>
      </c>
      <c r="H757" s="9">
        <v>0.26</v>
      </c>
      <c r="I757" s="1" t="s">
        <v>34</v>
      </c>
      <c r="J757" s="1" t="s">
        <v>35</v>
      </c>
      <c r="K757" s="10" t="s">
        <v>36</v>
      </c>
    </row>
    <row r="758" spans="1:11" x14ac:dyDescent="0.25">
      <c r="A758" s="6" t="s">
        <v>62</v>
      </c>
      <c r="B758" s="1" t="s">
        <v>54</v>
      </c>
      <c r="C758" s="1" t="s">
        <v>27</v>
      </c>
      <c r="D758" s="1" t="s">
        <v>28</v>
      </c>
      <c r="E758" s="1">
        <v>45</v>
      </c>
      <c r="F758" s="7">
        <v>42117</v>
      </c>
      <c r="G758" s="8">
        <v>60017</v>
      </c>
      <c r="H758" s="9">
        <v>0</v>
      </c>
      <c r="I758" s="1" t="s">
        <v>29</v>
      </c>
      <c r="J758" s="1" t="s">
        <v>40</v>
      </c>
      <c r="K758" s="10" t="s">
        <v>36</v>
      </c>
    </row>
    <row r="759" spans="1:11" x14ac:dyDescent="0.25">
      <c r="A759" s="6" t="s">
        <v>25</v>
      </c>
      <c r="B759" s="1" t="s">
        <v>45</v>
      </c>
      <c r="C759" s="1" t="s">
        <v>39</v>
      </c>
      <c r="D759" s="1" t="s">
        <v>28</v>
      </c>
      <c r="E759" s="1">
        <v>45</v>
      </c>
      <c r="F759" s="7">
        <v>43305</v>
      </c>
      <c r="G759" s="8">
        <v>148991</v>
      </c>
      <c r="H759" s="9">
        <v>0.12</v>
      </c>
      <c r="I759" s="1" t="s">
        <v>59</v>
      </c>
      <c r="J759" s="1" t="s">
        <v>76</v>
      </c>
      <c r="K759" s="10" t="s">
        <v>36</v>
      </c>
    </row>
    <row r="760" spans="1:11" x14ac:dyDescent="0.25">
      <c r="A760" s="6" t="s">
        <v>71</v>
      </c>
      <c r="B760" s="1" t="s">
        <v>54</v>
      </c>
      <c r="C760" s="1" t="s">
        <v>39</v>
      </c>
      <c r="D760" s="1" t="s">
        <v>28</v>
      </c>
      <c r="E760" s="1">
        <v>52</v>
      </c>
      <c r="F760" s="7">
        <v>39532</v>
      </c>
      <c r="G760" s="8">
        <v>97398</v>
      </c>
      <c r="H760" s="9">
        <v>0</v>
      </c>
      <c r="I760" s="1" t="s">
        <v>59</v>
      </c>
      <c r="J760" s="1" t="s">
        <v>60</v>
      </c>
      <c r="K760" s="10" t="s">
        <v>36</v>
      </c>
    </row>
    <row r="761" spans="1:11" x14ac:dyDescent="0.25">
      <c r="A761" s="6" t="s">
        <v>69</v>
      </c>
      <c r="B761" s="1" t="s">
        <v>52</v>
      </c>
      <c r="C761" s="1" t="s">
        <v>32</v>
      </c>
      <c r="D761" s="1" t="s">
        <v>28</v>
      </c>
      <c r="E761" s="1">
        <v>63</v>
      </c>
      <c r="F761" s="7">
        <v>39204</v>
      </c>
      <c r="G761" s="8">
        <v>72805</v>
      </c>
      <c r="H761" s="9">
        <v>0</v>
      </c>
      <c r="I761" s="1" t="s">
        <v>34</v>
      </c>
      <c r="J761" s="1" t="s">
        <v>55</v>
      </c>
      <c r="K761" s="10" t="s">
        <v>36</v>
      </c>
    </row>
    <row r="762" spans="1:11" x14ac:dyDescent="0.25">
      <c r="A762" s="6" t="s">
        <v>81</v>
      </c>
      <c r="B762" s="1" t="s">
        <v>45</v>
      </c>
      <c r="C762" s="1" t="s">
        <v>27</v>
      </c>
      <c r="D762" s="1" t="s">
        <v>28</v>
      </c>
      <c r="E762" s="1">
        <v>46</v>
      </c>
      <c r="F762" s="7">
        <v>44213</v>
      </c>
      <c r="G762" s="8">
        <v>72131</v>
      </c>
      <c r="H762" s="9">
        <v>0</v>
      </c>
      <c r="I762" s="1" t="s">
        <v>34</v>
      </c>
      <c r="J762" s="1" t="s">
        <v>55</v>
      </c>
      <c r="K762" s="10" t="s">
        <v>36</v>
      </c>
    </row>
    <row r="763" spans="1:11" x14ac:dyDescent="0.25">
      <c r="A763" s="6" t="s">
        <v>47</v>
      </c>
      <c r="B763" s="1" t="s">
        <v>52</v>
      </c>
      <c r="C763" s="1" t="s">
        <v>32</v>
      </c>
      <c r="D763" s="1" t="s">
        <v>33</v>
      </c>
      <c r="E763" s="1">
        <v>64</v>
      </c>
      <c r="F763" s="7">
        <v>33964</v>
      </c>
      <c r="G763" s="8">
        <v>104668</v>
      </c>
      <c r="H763" s="9">
        <v>0.08</v>
      </c>
      <c r="I763" s="1" t="s">
        <v>29</v>
      </c>
      <c r="J763" s="1" t="s">
        <v>58</v>
      </c>
      <c r="K763" s="10" t="s">
        <v>36</v>
      </c>
    </row>
    <row r="764" spans="1:11" x14ac:dyDescent="0.25">
      <c r="A764" s="6" t="s">
        <v>42</v>
      </c>
      <c r="B764" s="1" t="s">
        <v>45</v>
      </c>
      <c r="C764" s="1" t="s">
        <v>32</v>
      </c>
      <c r="D764" s="1" t="s">
        <v>28</v>
      </c>
      <c r="E764" s="1">
        <v>53</v>
      </c>
      <c r="F764" s="7">
        <v>42952</v>
      </c>
      <c r="G764" s="8">
        <v>89769</v>
      </c>
      <c r="H764" s="9">
        <v>0</v>
      </c>
      <c r="I764" s="1" t="s">
        <v>29</v>
      </c>
      <c r="J764" s="1" t="s">
        <v>30</v>
      </c>
      <c r="K764" s="10" t="s">
        <v>36</v>
      </c>
    </row>
    <row r="765" spans="1:11" x14ac:dyDescent="0.25">
      <c r="A765" s="6" t="s">
        <v>47</v>
      </c>
      <c r="B765" s="1" t="s">
        <v>45</v>
      </c>
      <c r="C765" s="1" t="s">
        <v>46</v>
      </c>
      <c r="D765" s="1" t="s">
        <v>28</v>
      </c>
      <c r="E765" s="1">
        <v>27</v>
      </c>
      <c r="F765" s="7">
        <v>43358</v>
      </c>
      <c r="G765" s="8">
        <v>127616</v>
      </c>
      <c r="H765" s="9">
        <v>7.0000000000000007E-2</v>
      </c>
      <c r="I765" s="1" t="s">
        <v>29</v>
      </c>
      <c r="J765" s="1" t="s">
        <v>58</v>
      </c>
      <c r="K765" s="10" t="s">
        <v>36</v>
      </c>
    </row>
    <row r="766" spans="1:11" x14ac:dyDescent="0.25">
      <c r="A766" s="6" t="s">
        <v>47</v>
      </c>
      <c r="B766" s="1" t="s">
        <v>52</v>
      </c>
      <c r="C766" s="1" t="s">
        <v>46</v>
      </c>
      <c r="D766" s="1" t="s">
        <v>33</v>
      </c>
      <c r="E766" s="1">
        <v>45</v>
      </c>
      <c r="F766" s="7">
        <v>41099</v>
      </c>
      <c r="G766" s="8">
        <v>109883</v>
      </c>
      <c r="H766" s="9">
        <v>7.0000000000000007E-2</v>
      </c>
      <c r="I766" s="1" t="s">
        <v>29</v>
      </c>
      <c r="J766" s="1" t="s">
        <v>58</v>
      </c>
      <c r="K766" s="10" t="s">
        <v>36</v>
      </c>
    </row>
    <row r="767" spans="1:11" x14ac:dyDescent="0.25">
      <c r="A767" s="6" t="s">
        <v>74</v>
      </c>
      <c r="B767" s="1" t="s">
        <v>52</v>
      </c>
      <c r="C767" s="1" t="s">
        <v>32</v>
      </c>
      <c r="D767" s="1" t="s">
        <v>28</v>
      </c>
      <c r="E767" s="1">
        <v>25</v>
      </c>
      <c r="F767" s="7">
        <v>44270</v>
      </c>
      <c r="G767" s="8">
        <v>47974</v>
      </c>
      <c r="H767" s="9">
        <v>0</v>
      </c>
      <c r="I767" s="1" t="s">
        <v>34</v>
      </c>
      <c r="J767" s="1" t="s">
        <v>35</v>
      </c>
      <c r="K767" s="10" t="s">
        <v>36</v>
      </c>
    </row>
    <row r="768" spans="1:11" x14ac:dyDescent="0.25">
      <c r="A768" s="6" t="s">
        <v>25</v>
      </c>
      <c r="B768" s="1" t="s">
        <v>26</v>
      </c>
      <c r="C768" s="1" t="s">
        <v>39</v>
      </c>
      <c r="D768" s="1" t="s">
        <v>28</v>
      </c>
      <c r="E768" s="1">
        <v>43</v>
      </c>
      <c r="F768" s="7">
        <v>42090</v>
      </c>
      <c r="G768" s="8">
        <v>120321</v>
      </c>
      <c r="H768" s="9">
        <v>0.12</v>
      </c>
      <c r="I768" s="1" t="s">
        <v>29</v>
      </c>
      <c r="J768" s="1" t="s">
        <v>51</v>
      </c>
      <c r="K768" s="10" t="s">
        <v>36</v>
      </c>
    </row>
    <row r="769" spans="1:11" x14ac:dyDescent="0.25">
      <c r="A769" s="6" t="s">
        <v>65</v>
      </c>
      <c r="B769" s="1" t="s">
        <v>26</v>
      </c>
      <c r="C769" s="1" t="s">
        <v>32</v>
      </c>
      <c r="D769" s="1" t="s">
        <v>28</v>
      </c>
      <c r="E769" s="1">
        <v>61</v>
      </c>
      <c r="F769" s="7">
        <v>41861</v>
      </c>
      <c r="G769" s="8">
        <v>57446</v>
      </c>
      <c r="H769" s="9">
        <v>0</v>
      </c>
      <c r="I769" s="1" t="s">
        <v>29</v>
      </c>
      <c r="J769" s="1" t="s">
        <v>43</v>
      </c>
      <c r="K769" s="10" t="s">
        <v>36</v>
      </c>
    </row>
    <row r="770" spans="1:11" x14ac:dyDescent="0.25">
      <c r="A770" s="6" t="s">
        <v>37</v>
      </c>
      <c r="B770" s="1" t="s">
        <v>50</v>
      </c>
      <c r="C770" s="1" t="s">
        <v>27</v>
      </c>
      <c r="D770" s="1" t="s">
        <v>28</v>
      </c>
      <c r="E770" s="1">
        <v>42</v>
      </c>
      <c r="F770" s="7">
        <v>39968</v>
      </c>
      <c r="G770" s="8">
        <v>174099</v>
      </c>
      <c r="H770" s="9">
        <v>0.26</v>
      </c>
      <c r="I770" s="1" t="s">
        <v>29</v>
      </c>
      <c r="J770" s="1" t="s">
        <v>51</v>
      </c>
      <c r="K770" s="10" t="s">
        <v>36</v>
      </c>
    </row>
    <row r="771" spans="1:11" x14ac:dyDescent="0.25">
      <c r="A771" s="6" t="s">
        <v>25</v>
      </c>
      <c r="B771" s="1" t="s">
        <v>38</v>
      </c>
      <c r="C771" s="1" t="s">
        <v>32</v>
      </c>
      <c r="D771" s="1" t="s">
        <v>33</v>
      </c>
      <c r="E771" s="1">
        <v>63</v>
      </c>
      <c r="F771" s="7">
        <v>37295</v>
      </c>
      <c r="G771" s="8">
        <v>128703</v>
      </c>
      <c r="H771" s="9">
        <v>0.13</v>
      </c>
      <c r="I771" s="1" t="s">
        <v>29</v>
      </c>
      <c r="J771" s="1" t="s">
        <v>51</v>
      </c>
      <c r="K771" s="10" t="s">
        <v>36</v>
      </c>
    </row>
    <row r="772" spans="1:11" x14ac:dyDescent="0.25">
      <c r="A772" s="6" t="s">
        <v>71</v>
      </c>
      <c r="B772" s="1" t="s">
        <v>54</v>
      </c>
      <c r="C772" s="1" t="s">
        <v>46</v>
      </c>
      <c r="D772" s="1" t="s">
        <v>28</v>
      </c>
      <c r="E772" s="1">
        <v>32</v>
      </c>
      <c r="F772" s="7">
        <v>42317</v>
      </c>
      <c r="G772" s="8">
        <v>65247</v>
      </c>
      <c r="H772" s="9">
        <v>0</v>
      </c>
      <c r="I772" s="1" t="s">
        <v>29</v>
      </c>
      <c r="J772" s="1" t="s">
        <v>43</v>
      </c>
      <c r="K772" s="10" t="s">
        <v>36</v>
      </c>
    </row>
    <row r="773" spans="1:11" x14ac:dyDescent="0.25">
      <c r="A773" s="6" t="s">
        <v>62</v>
      </c>
      <c r="B773" s="1" t="s">
        <v>54</v>
      </c>
      <c r="C773" s="1" t="s">
        <v>27</v>
      </c>
      <c r="D773" s="1" t="s">
        <v>33</v>
      </c>
      <c r="E773" s="1">
        <v>27</v>
      </c>
      <c r="F773" s="7">
        <v>43371</v>
      </c>
      <c r="G773" s="8">
        <v>64247</v>
      </c>
      <c r="H773" s="9">
        <v>0</v>
      </c>
      <c r="I773" s="1" t="s">
        <v>59</v>
      </c>
      <c r="J773" s="1" t="s">
        <v>61</v>
      </c>
      <c r="K773" s="10" t="s">
        <v>36</v>
      </c>
    </row>
    <row r="774" spans="1:11" x14ac:dyDescent="0.25">
      <c r="A774" s="6" t="s">
        <v>47</v>
      </c>
      <c r="B774" s="1" t="s">
        <v>52</v>
      </c>
      <c r="C774" s="1" t="s">
        <v>27</v>
      </c>
      <c r="D774" s="1" t="s">
        <v>28</v>
      </c>
      <c r="E774" s="1">
        <v>33</v>
      </c>
      <c r="F774" s="7">
        <v>41071</v>
      </c>
      <c r="G774" s="8">
        <v>118253</v>
      </c>
      <c r="H774" s="9">
        <v>0.08</v>
      </c>
      <c r="I774" s="1" t="s">
        <v>29</v>
      </c>
      <c r="J774" s="1" t="s">
        <v>51</v>
      </c>
      <c r="K774" s="10" t="s">
        <v>36</v>
      </c>
    </row>
    <row r="775" spans="1:11" x14ac:dyDescent="0.25">
      <c r="A775" s="6" t="s">
        <v>73</v>
      </c>
      <c r="B775" s="1" t="s">
        <v>54</v>
      </c>
      <c r="C775" s="1" t="s">
        <v>32</v>
      </c>
      <c r="D775" s="1" t="s">
        <v>28</v>
      </c>
      <c r="E775" s="1">
        <v>45</v>
      </c>
      <c r="F775" s="7">
        <v>38057</v>
      </c>
      <c r="G775" s="8">
        <v>109422</v>
      </c>
      <c r="H775" s="9">
        <v>0</v>
      </c>
      <c r="I775" s="1" t="s">
        <v>34</v>
      </c>
      <c r="J775" s="1" t="s">
        <v>35</v>
      </c>
      <c r="K775" s="10" t="s">
        <v>36</v>
      </c>
    </row>
    <row r="776" spans="1:11" x14ac:dyDescent="0.25">
      <c r="A776" s="6" t="s">
        <v>47</v>
      </c>
      <c r="B776" s="1" t="s">
        <v>52</v>
      </c>
      <c r="C776" s="1" t="s">
        <v>46</v>
      </c>
      <c r="D776" s="1" t="s">
        <v>33</v>
      </c>
      <c r="E776" s="1">
        <v>41</v>
      </c>
      <c r="F776" s="7">
        <v>43502</v>
      </c>
      <c r="G776" s="8">
        <v>126950</v>
      </c>
      <c r="H776" s="9">
        <v>0.1</v>
      </c>
      <c r="I776" s="1" t="s">
        <v>29</v>
      </c>
      <c r="J776" s="1" t="s">
        <v>40</v>
      </c>
      <c r="K776" s="10" t="s">
        <v>36</v>
      </c>
    </row>
    <row r="777" spans="1:11" x14ac:dyDescent="0.25">
      <c r="A777" s="6" t="s">
        <v>67</v>
      </c>
      <c r="B777" s="1" t="s">
        <v>26</v>
      </c>
      <c r="C777" s="1" t="s">
        <v>32</v>
      </c>
      <c r="D777" s="1" t="s">
        <v>28</v>
      </c>
      <c r="E777" s="1">
        <v>36</v>
      </c>
      <c r="F777" s="7">
        <v>41964</v>
      </c>
      <c r="G777" s="8">
        <v>97500</v>
      </c>
      <c r="H777" s="9">
        <v>0</v>
      </c>
      <c r="I777" s="1" t="s">
        <v>29</v>
      </c>
      <c r="J777" s="1" t="s">
        <v>49</v>
      </c>
      <c r="K777" s="10" t="s">
        <v>36</v>
      </c>
    </row>
    <row r="778" spans="1:11" x14ac:dyDescent="0.25">
      <c r="A778" s="6" t="s">
        <v>65</v>
      </c>
      <c r="B778" s="1" t="s">
        <v>26</v>
      </c>
      <c r="C778" s="1" t="s">
        <v>32</v>
      </c>
      <c r="D778" s="1" t="s">
        <v>33</v>
      </c>
      <c r="E778" s="1">
        <v>25</v>
      </c>
      <c r="F778" s="7">
        <v>44213</v>
      </c>
      <c r="G778" s="8">
        <v>41844</v>
      </c>
      <c r="H778" s="9">
        <v>0</v>
      </c>
      <c r="I778" s="1" t="s">
        <v>34</v>
      </c>
      <c r="J778" s="1" t="s">
        <v>35</v>
      </c>
      <c r="K778" s="10" t="s">
        <v>36</v>
      </c>
    </row>
    <row r="779" spans="1:11" x14ac:dyDescent="0.25">
      <c r="A779" s="6" t="s">
        <v>66</v>
      </c>
      <c r="B779" s="1" t="s">
        <v>50</v>
      </c>
      <c r="C779" s="1" t="s">
        <v>27</v>
      </c>
      <c r="D779" s="1" t="s">
        <v>33</v>
      </c>
      <c r="E779" s="1">
        <v>43</v>
      </c>
      <c r="F779" s="7">
        <v>41680</v>
      </c>
      <c r="G779" s="8">
        <v>58875</v>
      </c>
      <c r="H779" s="9">
        <v>0</v>
      </c>
      <c r="I779" s="1" t="s">
        <v>34</v>
      </c>
      <c r="J779" s="1" t="s">
        <v>68</v>
      </c>
      <c r="K779" s="10" t="s">
        <v>36</v>
      </c>
    </row>
    <row r="780" spans="1:11" x14ac:dyDescent="0.25">
      <c r="A780" s="6" t="s">
        <v>44</v>
      </c>
      <c r="B780" s="1" t="s">
        <v>45</v>
      </c>
      <c r="C780" s="1" t="s">
        <v>32</v>
      </c>
      <c r="D780" s="1" t="s">
        <v>28</v>
      </c>
      <c r="E780" s="1">
        <v>37</v>
      </c>
      <c r="F780" s="7">
        <v>42318</v>
      </c>
      <c r="G780" s="8">
        <v>64204</v>
      </c>
      <c r="H780" s="9">
        <v>0</v>
      </c>
      <c r="I780" s="1" t="s">
        <v>29</v>
      </c>
      <c r="J780" s="1" t="s">
        <v>58</v>
      </c>
      <c r="K780" s="10">
        <v>44306</v>
      </c>
    </row>
    <row r="781" spans="1:11" x14ac:dyDescent="0.25">
      <c r="A781" s="6" t="s">
        <v>66</v>
      </c>
      <c r="B781" s="1" t="s">
        <v>45</v>
      </c>
      <c r="C781" s="1" t="s">
        <v>46</v>
      </c>
      <c r="D781" s="1" t="s">
        <v>28</v>
      </c>
      <c r="E781" s="1">
        <v>42</v>
      </c>
      <c r="F781" s="7">
        <v>40307</v>
      </c>
      <c r="G781" s="8">
        <v>67743</v>
      </c>
      <c r="H781" s="9">
        <v>0</v>
      </c>
      <c r="I781" s="1" t="s">
        <v>34</v>
      </c>
      <c r="J781" s="1" t="s">
        <v>64</v>
      </c>
      <c r="K781" s="10">
        <v>41998</v>
      </c>
    </row>
    <row r="782" spans="1:11" x14ac:dyDescent="0.25">
      <c r="A782" s="6" t="s">
        <v>81</v>
      </c>
      <c r="B782" s="1" t="s">
        <v>45</v>
      </c>
      <c r="C782" s="1" t="s">
        <v>39</v>
      </c>
      <c r="D782" s="1" t="s">
        <v>28</v>
      </c>
      <c r="E782" s="1">
        <v>60</v>
      </c>
      <c r="F782" s="7">
        <v>35641</v>
      </c>
      <c r="G782" s="8">
        <v>71677</v>
      </c>
      <c r="H782" s="9">
        <v>0</v>
      </c>
      <c r="I782" s="1" t="s">
        <v>29</v>
      </c>
      <c r="J782" s="1" t="s">
        <v>58</v>
      </c>
      <c r="K782" s="10" t="s">
        <v>36</v>
      </c>
    </row>
    <row r="783" spans="1:11" x14ac:dyDescent="0.25">
      <c r="A783" s="6" t="s">
        <v>65</v>
      </c>
      <c r="B783" s="1" t="s">
        <v>26</v>
      </c>
      <c r="C783" s="1" t="s">
        <v>39</v>
      </c>
      <c r="D783" s="1" t="s">
        <v>33</v>
      </c>
      <c r="E783" s="1">
        <v>61</v>
      </c>
      <c r="F783" s="7">
        <v>36793</v>
      </c>
      <c r="G783" s="8">
        <v>40063</v>
      </c>
      <c r="H783" s="9">
        <v>0</v>
      </c>
      <c r="I783" s="1" t="s">
        <v>29</v>
      </c>
      <c r="J783" s="1" t="s">
        <v>49</v>
      </c>
      <c r="K783" s="10" t="s">
        <v>36</v>
      </c>
    </row>
    <row r="784" spans="1:11" x14ac:dyDescent="0.25">
      <c r="A784" s="6" t="s">
        <v>65</v>
      </c>
      <c r="B784" s="1" t="s">
        <v>26</v>
      </c>
      <c r="C784" s="1" t="s">
        <v>32</v>
      </c>
      <c r="D784" s="1" t="s">
        <v>28</v>
      </c>
      <c r="E784" s="1">
        <v>55</v>
      </c>
      <c r="F784" s="7">
        <v>38107</v>
      </c>
      <c r="G784" s="8">
        <v>40124</v>
      </c>
      <c r="H784" s="9">
        <v>0</v>
      </c>
      <c r="I784" s="1" t="s">
        <v>29</v>
      </c>
      <c r="J784" s="1" t="s">
        <v>51</v>
      </c>
      <c r="K784" s="10" t="s">
        <v>36</v>
      </c>
    </row>
    <row r="785" spans="1:11" x14ac:dyDescent="0.25">
      <c r="A785" s="6" t="s">
        <v>72</v>
      </c>
      <c r="B785" s="1" t="s">
        <v>54</v>
      </c>
      <c r="C785" s="1" t="s">
        <v>32</v>
      </c>
      <c r="D785" s="1" t="s">
        <v>33</v>
      </c>
      <c r="E785" s="1">
        <v>57</v>
      </c>
      <c r="F785" s="7">
        <v>43157</v>
      </c>
      <c r="G785" s="8">
        <v>103183</v>
      </c>
      <c r="H785" s="9">
        <v>0</v>
      </c>
      <c r="I785" s="1" t="s">
        <v>29</v>
      </c>
      <c r="J785" s="1" t="s">
        <v>51</v>
      </c>
      <c r="K785" s="10">
        <v>44386</v>
      </c>
    </row>
    <row r="786" spans="1:11" x14ac:dyDescent="0.25">
      <c r="A786" s="6" t="s">
        <v>82</v>
      </c>
      <c r="B786" s="1" t="s">
        <v>26</v>
      </c>
      <c r="C786" s="1" t="s">
        <v>46</v>
      </c>
      <c r="D786" s="1" t="s">
        <v>33</v>
      </c>
      <c r="E786" s="1">
        <v>54</v>
      </c>
      <c r="F786" s="7">
        <v>35961</v>
      </c>
      <c r="G786" s="8">
        <v>95239</v>
      </c>
      <c r="H786" s="9">
        <v>0</v>
      </c>
      <c r="I786" s="1" t="s">
        <v>29</v>
      </c>
      <c r="J786" s="1" t="s">
        <v>43</v>
      </c>
      <c r="K786" s="10" t="s">
        <v>36</v>
      </c>
    </row>
    <row r="787" spans="1:11" x14ac:dyDescent="0.25">
      <c r="A787" s="6" t="s">
        <v>80</v>
      </c>
      <c r="B787" s="1" t="s">
        <v>54</v>
      </c>
      <c r="C787" s="1" t="s">
        <v>32</v>
      </c>
      <c r="D787" s="1" t="s">
        <v>28</v>
      </c>
      <c r="E787" s="1">
        <v>29</v>
      </c>
      <c r="F787" s="7">
        <v>43778</v>
      </c>
      <c r="G787" s="8">
        <v>75012</v>
      </c>
      <c r="H787" s="9">
        <v>0</v>
      </c>
      <c r="I787" s="1" t="s">
        <v>29</v>
      </c>
      <c r="J787" s="1" t="s">
        <v>40</v>
      </c>
      <c r="K787" s="10" t="s">
        <v>36</v>
      </c>
    </row>
    <row r="788" spans="1:11" x14ac:dyDescent="0.25">
      <c r="A788" s="6" t="s">
        <v>78</v>
      </c>
      <c r="B788" s="1" t="s">
        <v>26</v>
      </c>
      <c r="C788" s="1" t="s">
        <v>32</v>
      </c>
      <c r="D788" s="1" t="s">
        <v>28</v>
      </c>
      <c r="E788" s="1">
        <v>33</v>
      </c>
      <c r="F788" s="7">
        <v>41819</v>
      </c>
      <c r="G788" s="8">
        <v>96366</v>
      </c>
      <c r="H788" s="9">
        <v>0</v>
      </c>
      <c r="I788" s="1" t="s">
        <v>34</v>
      </c>
      <c r="J788" s="1" t="s">
        <v>68</v>
      </c>
      <c r="K788" s="10" t="s">
        <v>36</v>
      </c>
    </row>
    <row r="789" spans="1:11" x14ac:dyDescent="0.25">
      <c r="A789" s="6" t="s">
        <v>48</v>
      </c>
      <c r="B789" s="1" t="s">
        <v>57</v>
      </c>
      <c r="C789" s="1" t="s">
        <v>46</v>
      </c>
      <c r="D789" s="1" t="s">
        <v>28</v>
      </c>
      <c r="E789" s="1">
        <v>39</v>
      </c>
      <c r="F789" s="7">
        <v>41849</v>
      </c>
      <c r="G789" s="8">
        <v>40897</v>
      </c>
      <c r="H789" s="9">
        <v>0</v>
      </c>
      <c r="I789" s="1" t="s">
        <v>29</v>
      </c>
      <c r="J789" s="1" t="s">
        <v>30</v>
      </c>
      <c r="K789" s="10" t="s">
        <v>36</v>
      </c>
    </row>
    <row r="790" spans="1:11" x14ac:dyDescent="0.25">
      <c r="A790" s="6" t="s">
        <v>47</v>
      </c>
      <c r="B790" s="1" t="s">
        <v>38</v>
      </c>
      <c r="C790" s="1" t="s">
        <v>27</v>
      </c>
      <c r="D790" s="1" t="s">
        <v>28</v>
      </c>
      <c r="E790" s="1">
        <v>37</v>
      </c>
      <c r="F790" s="7">
        <v>42605</v>
      </c>
      <c r="G790" s="8">
        <v>124928</v>
      </c>
      <c r="H790" s="9">
        <v>0.06</v>
      </c>
      <c r="I790" s="1" t="s">
        <v>34</v>
      </c>
      <c r="J790" s="1" t="s">
        <v>35</v>
      </c>
      <c r="K790" s="10" t="s">
        <v>36</v>
      </c>
    </row>
    <row r="791" spans="1:11" x14ac:dyDescent="0.25">
      <c r="A791" s="6" t="s">
        <v>47</v>
      </c>
      <c r="B791" s="1" t="s">
        <v>38</v>
      </c>
      <c r="C791" s="1" t="s">
        <v>39</v>
      </c>
      <c r="D791" s="1" t="s">
        <v>28</v>
      </c>
      <c r="E791" s="1">
        <v>51</v>
      </c>
      <c r="F791" s="7">
        <v>41439</v>
      </c>
      <c r="G791" s="8">
        <v>108221</v>
      </c>
      <c r="H791" s="9">
        <v>0.05</v>
      </c>
      <c r="I791" s="1" t="s">
        <v>59</v>
      </c>
      <c r="J791" s="1" t="s">
        <v>60</v>
      </c>
      <c r="K791" s="10" t="s">
        <v>36</v>
      </c>
    </row>
    <row r="792" spans="1:11" x14ac:dyDescent="0.25">
      <c r="A792" s="6" t="s">
        <v>69</v>
      </c>
      <c r="B792" s="1" t="s">
        <v>52</v>
      </c>
      <c r="C792" s="1" t="s">
        <v>46</v>
      </c>
      <c r="D792" s="1" t="s">
        <v>33</v>
      </c>
      <c r="E792" s="1">
        <v>46</v>
      </c>
      <c r="F792" s="7">
        <v>39133</v>
      </c>
      <c r="G792" s="8">
        <v>75579</v>
      </c>
      <c r="H792" s="9">
        <v>0</v>
      </c>
      <c r="I792" s="1" t="s">
        <v>29</v>
      </c>
      <c r="J792" s="1" t="s">
        <v>30</v>
      </c>
      <c r="K792" s="10" t="s">
        <v>36</v>
      </c>
    </row>
    <row r="793" spans="1:11" x14ac:dyDescent="0.25">
      <c r="A793" s="6" t="s">
        <v>25</v>
      </c>
      <c r="B793" s="1" t="s">
        <v>52</v>
      </c>
      <c r="C793" s="1" t="s">
        <v>32</v>
      </c>
      <c r="D793" s="1" t="s">
        <v>33</v>
      </c>
      <c r="E793" s="1">
        <v>41</v>
      </c>
      <c r="F793" s="7">
        <v>42365</v>
      </c>
      <c r="G793" s="8">
        <v>129903</v>
      </c>
      <c r="H793" s="9">
        <v>0.13</v>
      </c>
      <c r="I793" s="1" t="s">
        <v>59</v>
      </c>
      <c r="J793" s="1" t="s">
        <v>76</v>
      </c>
      <c r="K793" s="10" t="s">
        <v>36</v>
      </c>
    </row>
    <row r="794" spans="1:11" x14ac:dyDescent="0.25">
      <c r="A794" s="6" t="s">
        <v>37</v>
      </c>
      <c r="B794" s="1" t="s">
        <v>38</v>
      </c>
      <c r="C794" s="1" t="s">
        <v>27</v>
      </c>
      <c r="D794" s="1" t="s">
        <v>28</v>
      </c>
      <c r="E794" s="1">
        <v>25</v>
      </c>
      <c r="F794" s="7">
        <v>44303</v>
      </c>
      <c r="G794" s="8">
        <v>186870</v>
      </c>
      <c r="H794" s="9">
        <v>0.2</v>
      </c>
      <c r="I794" s="1" t="s">
        <v>34</v>
      </c>
      <c r="J794" s="1" t="s">
        <v>55</v>
      </c>
      <c r="K794" s="10" t="s">
        <v>36</v>
      </c>
    </row>
    <row r="795" spans="1:11" x14ac:dyDescent="0.25">
      <c r="A795" s="6" t="s">
        <v>66</v>
      </c>
      <c r="B795" s="1" t="s">
        <v>45</v>
      </c>
      <c r="C795" s="1" t="s">
        <v>27</v>
      </c>
      <c r="D795" s="1" t="s">
        <v>33</v>
      </c>
      <c r="E795" s="1">
        <v>37</v>
      </c>
      <c r="F795" s="7">
        <v>40291</v>
      </c>
      <c r="G795" s="8">
        <v>57531</v>
      </c>
      <c r="H795" s="9">
        <v>0</v>
      </c>
      <c r="I795" s="1" t="s">
        <v>29</v>
      </c>
      <c r="J795" s="1" t="s">
        <v>40</v>
      </c>
      <c r="K795" s="10" t="s">
        <v>36</v>
      </c>
    </row>
    <row r="796" spans="1:11" x14ac:dyDescent="0.25">
      <c r="A796" s="6" t="s">
        <v>48</v>
      </c>
      <c r="B796" s="1" t="s">
        <v>38</v>
      </c>
      <c r="C796" s="1" t="s">
        <v>27</v>
      </c>
      <c r="D796" s="1" t="s">
        <v>33</v>
      </c>
      <c r="E796" s="1">
        <v>46</v>
      </c>
      <c r="F796" s="7">
        <v>40657</v>
      </c>
      <c r="G796" s="8">
        <v>55894</v>
      </c>
      <c r="H796" s="9">
        <v>0</v>
      </c>
      <c r="I796" s="1" t="s">
        <v>29</v>
      </c>
      <c r="J796" s="1" t="s">
        <v>30</v>
      </c>
      <c r="K796" s="10" t="s">
        <v>36</v>
      </c>
    </row>
    <row r="797" spans="1:11" x14ac:dyDescent="0.25">
      <c r="A797" s="6" t="s">
        <v>71</v>
      </c>
      <c r="B797" s="1" t="s">
        <v>54</v>
      </c>
      <c r="C797" s="1" t="s">
        <v>32</v>
      </c>
      <c r="D797" s="1" t="s">
        <v>28</v>
      </c>
      <c r="E797" s="1">
        <v>42</v>
      </c>
      <c r="F797" s="7">
        <v>41026</v>
      </c>
      <c r="G797" s="8">
        <v>72903</v>
      </c>
      <c r="H797" s="9">
        <v>0</v>
      </c>
      <c r="I797" s="1" t="s">
        <v>29</v>
      </c>
      <c r="J797" s="1" t="s">
        <v>43</v>
      </c>
      <c r="K797" s="10" t="s">
        <v>36</v>
      </c>
    </row>
    <row r="798" spans="1:11" x14ac:dyDescent="0.25">
      <c r="A798" s="6" t="s">
        <v>48</v>
      </c>
      <c r="B798" s="1" t="s">
        <v>38</v>
      </c>
      <c r="C798" s="1" t="s">
        <v>46</v>
      </c>
      <c r="D798" s="1" t="s">
        <v>33</v>
      </c>
      <c r="E798" s="1">
        <v>37</v>
      </c>
      <c r="F798" s="7">
        <v>42317</v>
      </c>
      <c r="G798" s="8">
        <v>45369</v>
      </c>
      <c r="H798" s="9">
        <v>0</v>
      </c>
      <c r="I798" s="1" t="s">
        <v>34</v>
      </c>
      <c r="J798" s="1" t="s">
        <v>64</v>
      </c>
      <c r="K798" s="10" t="s">
        <v>36</v>
      </c>
    </row>
    <row r="799" spans="1:11" x14ac:dyDescent="0.25">
      <c r="A799" s="6" t="s">
        <v>47</v>
      </c>
      <c r="B799" s="1" t="s">
        <v>38</v>
      </c>
      <c r="C799" s="1" t="s">
        <v>39</v>
      </c>
      <c r="D799" s="1" t="s">
        <v>33</v>
      </c>
      <c r="E799" s="1">
        <v>60</v>
      </c>
      <c r="F799" s="7">
        <v>40344</v>
      </c>
      <c r="G799" s="8">
        <v>106578</v>
      </c>
      <c r="H799" s="9">
        <v>0.09</v>
      </c>
      <c r="I799" s="1" t="s">
        <v>29</v>
      </c>
      <c r="J799" s="1" t="s">
        <v>49</v>
      </c>
      <c r="K799" s="10" t="s">
        <v>36</v>
      </c>
    </row>
    <row r="800" spans="1:11" x14ac:dyDescent="0.25">
      <c r="A800" s="6" t="s">
        <v>69</v>
      </c>
      <c r="B800" s="1" t="s">
        <v>52</v>
      </c>
      <c r="C800" s="1" t="s">
        <v>27</v>
      </c>
      <c r="D800" s="1" t="s">
        <v>28</v>
      </c>
      <c r="E800" s="1">
        <v>52</v>
      </c>
      <c r="F800" s="7">
        <v>36416</v>
      </c>
      <c r="G800" s="8">
        <v>92994</v>
      </c>
      <c r="H800" s="9">
        <v>0</v>
      </c>
      <c r="I800" s="1" t="s">
        <v>29</v>
      </c>
      <c r="J800" s="1" t="s">
        <v>40</v>
      </c>
      <c r="K800" s="10" t="s">
        <v>36</v>
      </c>
    </row>
    <row r="801" spans="1:11" x14ac:dyDescent="0.25">
      <c r="A801" s="6" t="s">
        <v>42</v>
      </c>
      <c r="B801" s="1" t="s">
        <v>45</v>
      </c>
      <c r="C801" s="1" t="s">
        <v>39</v>
      </c>
      <c r="D801" s="1" t="s">
        <v>33</v>
      </c>
      <c r="E801" s="1">
        <v>59</v>
      </c>
      <c r="F801" s="7">
        <v>35502</v>
      </c>
      <c r="G801" s="8">
        <v>83685</v>
      </c>
      <c r="H801" s="9">
        <v>0</v>
      </c>
      <c r="I801" s="1" t="s">
        <v>34</v>
      </c>
      <c r="J801" s="1" t="s">
        <v>64</v>
      </c>
      <c r="K801" s="10" t="s">
        <v>36</v>
      </c>
    </row>
    <row r="802" spans="1:11" x14ac:dyDescent="0.25">
      <c r="A802" s="6" t="s">
        <v>75</v>
      </c>
      <c r="B802" s="1" t="s">
        <v>26</v>
      </c>
      <c r="C802" s="1" t="s">
        <v>27</v>
      </c>
      <c r="D802" s="1" t="s">
        <v>33</v>
      </c>
      <c r="E802" s="1">
        <v>48</v>
      </c>
      <c r="F802" s="7">
        <v>40435</v>
      </c>
      <c r="G802" s="8">
        <v>99335</v>
      </c>
      <c r="H802" s="9">
        <v>0</v>
      </c>
      <c r="I802" s="1" t="s">
        <v>29</v>
      </c>
      <c r="J802" s="1" t="s">
        <v>43</v>
      </c>
      <c r="K802" s="10" t="s">
        <v>36</v>
      </c>
    </row>
    <row r="803" spans="1:11" x14ac:dyDescent="0.25">
      <c r="A803" s="6" t="s">
        <v>25</v>
      </c>
      <c r="B803" s="1" t="s">
        <v>52</v>
      </c>
      <c r="C803" s="1" t="s">
        <v>32</v>
      </c>
      <c r="D803" s="1" t="s">
        <v>33</v>
      </c>
      <c r="E803" s="1">
        <v>42</v>
      </c>
      <c r="F803" s="7">
        <v>41382</v>
      </c>
      <c r="G803" s="8">
        <v>131179</v>
      </c>
      <c r="H803" s="9">
        <v>0.15</v>
      </c>
      <c r="I803" s="1" t="s">
        <v>29</v>
      </c>
      <c r="J803" s="1" t="s">
        <v>58</v>
      </c>
      <c r="K803" s="10" t="s">
        <v>36</v>
      </c>
    </row>
    <row r="804" spans="1:11" x14ac:dyDescent="0.25">
      <c r="A804" s="6" t="s">
        <v>41</v>
      </c>
      <c r="B804" s="1" t="s">
        <v>26</v>
      </c>
      <c r="C804" s="1" t="s">
        <v>39</v>
      </c>
      <c r="D804" s="1" t="s">
        <v>33</v>
      </c>
      <c r="E804" s="1">
        <v>35</v>
      </c>
      <c r="F804" s="7">
        <v>42493</v>
      </c>
      <c r="G804" s="8">
        <v>73899</v>
      </c>
      <c r="H804" s="9">
        <v>0.05</v>
      </c>
      <c r="I804" s="1" t="s">
        <v>34</v>
      </c>
      <c r="J804" s="1" t="s">
        <v>68</v>
      </c>
      <c r="K804" s="10" t="s">
        <v>36</v>
      </c>
    </row>
    <row r="805" spans="1:11" x14ac:dyDescent="0.25">
      <c r="A805" s="6" t="s">
        <v>56</v>
      </c>
      <c r="B805" s="1" t="s">
        <v>50</v>
      </c>
      <c r="C805" s="1" t="s">
        <v>32</v>
      </c>
      <c r="D805" s="1" t="s">
        <v>33</v>
      </c>
      <c r="E805" s="1">
        <v>64</v>
      </c>
      <c r="F805" s="7">
        <v>41362</v>
      </c>
      <c r="G805" s="8">
        <v>252325</v>
      </c>
      <c r="H805" s="9">
        <v>0.4</v>
      </c>
      <c r="I805" s="1" t="s">
        <v>29</v>
      </c>
      <c r="J805" s="1" t="s">
        <v>58</v>
      </c>
      <c r="K805" s="10" t="s">
        <v>36</v>
      </c>
    </row>
    <row r="806" spans="1:11" x14ac:dyDescent="0.25">
      <c r="A806" s="6" t="s">
        <v>66</v>
      </c>
      <c r="B806" s="1" t="s">
        <v>38</v>
      </c>
      <c r="C806" s="1" t="s">
        <v>27</v>
      </c>
      <c r="D806" s="1" t="s">
        <v>28</v>
      </c>
      <c r="E806" s="1">
        <v>30</v>
      </c>
      <c r="F806" s="7">
        <v>42068</v>
      </c>
      <c r="G806" s="8">
        <v>52697</v>
      </c>
      <c r="H806" s="9">
        <v>0</v>
      </c>
      <c r="I806" s="1" t="s">
        <v>29</v>
      </c>
      <c r="J806" s="1" t="s">
        <v>30</v>
      </c>
      <c r="K806" s="10" t="s">
        <v>36</v>
      </c>
    </row>
    <row r="807" spans="1:11" x14ac:dyDescent="0.25">
      <c r="A807" s="6" t="s">
        <v>73</v>
      </c>
      <c r="B807" s="1" t="s">
        <v>54</v>
      </c>
      <c r="C807" s="1" t="s">
        <v>39</v>
      </c>
      <c r="D807" s="1" t="s">
        <v>28</v>
      </c>
      <c r="E807" s="1">
        <v>29</v>
      </c>
      <c r="F807" s="7">
        <v>44099</v>
      </c>
      <c r="G807" s="8">
        <v>123588</v>
      </c>
      <c r="H807" s="9">
        <v>0</v>
      </c>
      <c r="I807" s="1" t="s">
        <v>59</v>
      </c>
      <c r="J807" s="1" t="s">
        <v>76</v>
      </c>
      <c r="K807" s="10" t="s">
        <v>36</v>
      </c>
    </row>
    <row r="808" spans="1:11" x14ac:dyDescent="0.25">
      <c r="A808" s="6" t="s">
        <v>56</v>
      </c>
      <c r="B808" s="1" t="s">
        <v>50</v>
      </c>
      <c r="C808" s="1" t="s">
        <v>46</v>
      </c>
      <c r="D808" s="1" t="s">
        <v>28</v>
      </c>
      <c r="E808" s="1">
        <v>47</v>
      </c>
      <c r="F808" s="7">
        <v>44556</v>
      </c>
      <c r="G808" s="8">
        <v>243568</v>
      </c>
      <c r="H808" s="9">
        <v>0.33</v>
      </c>
      <c r="I808" s="1" t="s">
        <v>29</v>
      </c>
      <c r="J808" s="1" t="s">
        <v>51</v>
      </c>
      <c r="K808" s="10" t="s">
        <v>36</v>
      </c>
    </row>
    <row r="809" spans="1:11" x14ac:dyDescent="0.25">
      <c r="A809" s="6" t="s">
        <v>37</v>
      </c>
      <c r="B809" s="1" t="s">
        <v>45</v>
      </c>
      <c r="C809" s="1" t="s">
        <v>27</v>
      </c>
      <c r="D809" s="1" t="s">
        <v>33</v>
      </c>
      <c r="E809" s="1">
        <v>49</v>
      </c>
      <c r="F809" s="7">
        <v>37092</v>
      </c>
      <c r="G809" s="8">
        <v>199176</v>
      </c>
      <c r="H809" s="9">
        <v>0.24</v>
      </c>
      <c r="I809" s="1" t="s">
        <v>29</v>
      </c>
      <c r="J809" s="1" t="s">
        <v>43</v>
      </c>
      <c r="K809" s="10" t="s">
        <v>36</v>
      </c>
    </row>
    <row r="810" spans="1:11" x14ac:dyDescent="0.25">
      <c r="A810" s="6" t="s">
        <v>31</v>
      </c>
      <c r="B810" s="1" t="s">
        <v>26</v>
      </c>
      <c r="C810" s="1" t="s">
        <v>39</v>
      </c>
      <c r="D810" s="1" t="s">
        <v>28</v>
      </c>
      <c r="E810" s="1">
        <v>56</v>
      </c>
      <c r="F810" s="7">
        <v>35238</v>
      </c>
      <c r="G810" s="8">
        <v>82806</v>
      </c>
      <c r="H810" s="9">
        <v>0</v>
      </c>
      <c r="I810" s="1" t="s">
        <v>29</v>
      </c>
      <c r="J810" s="1" t="s">
        <v>30</v>
      </c>
      <c r="K810" s="10" t="s">
        <v>36</v>
      </c>
    </row>
    <row r="811" spans="1:11" x14ac:dyDescent="0.25">
      <c r="A811" s="6" t="s">
        <v>37</v>
      </c>
      <c r="B811" s="1" t="s">
        <v>57</v>
      </c>
      <c r="C811" s="1" t="s">
        <v>39</v>
      </c>
      <c r="D811" s="1" t="s">
        <v>28</v>
      </c>
      <c r="E811" s="1">
        <v>53</v>
      </c>
      <c r="F811" s="7">
        <v>35601</v>
      </c>
      <c r="G811" s="8">
        <v>164399</v>
      </c>
      <c r="H811" s="9">
        <v>0.25</v>
      </c>
      <c r="I811" s="1" t="s">
        <v>29</v>
      </c>
      <c r="J811" s="1" t="s">
        <v>30</v>
      </c>
      <c r="K811" s="10" t="s">
        <v>36</v>
      </c>
    </row>
    <row r="812" spans="1:11" x14ac:dyDescent="0.25">
      <c r="A812" s="6" t="s">
        <v>25</v>
      </c>
      <c r="B812" s="1" t="s">
        <v>52</v>
      </c>
      <c r="C812" s="1" t="s">
        <v>32</v>
      </c>
      <c r="D812" s="1" t="s">
        <v>28</v>
      </c>
      <c r="E812" s="1">
        <v>32</v>
      </c>
      <c r="F812" s="7">
        <v>42839</v>
      </c>
      <c r="G812" s="8">
        <v>154956</v>
      </c>
      <c r="H812" s="9">
        <v>0.13</v>
      </c>
      <c r="I812" s="1" t="s">
        <v>29</v>
      </c>
      <c r="J812" s="1" t="s">
        <v>43</v>
      </c>
      <c r="K812" s="10" t="s">
        <v>36</v>
      </c>
    </row>
    <row r="813" spans="1:11" x14ac:dyDescent="0.25">
      <c r="A813" s="6" t="s">
        <v>25</v>
      </c>
      <c r="B813" s="1" t="s">
        <v>57</v>
      </c>
      <c r="C813" s="1" t="s">
        <v>32</v>
      </c>
      <c r="D813" s="1" t="s">
        <v>33</v>
      </c>
      <c r="E813" s="1">
        <v>32</v>
      </c>
      <c r="F813" s="7">
        <v>42764</v>
      </c>
      <c r="G813" s="8">
        <v>143970</v>
      </c>
      <c r="H813" s="9">
        <v>0.12</v>
      </c>
      <c r="I813" s="1" t="s">
        <v>29</v>
      </c>
      <c r="J813" s="1" t="s">
        <v>30</v>
      </c>
      <c r="K813" s="10">
        <v>43078</v>
      </c>
    </row>
    <row r="814" spans="1:11" x14ac:dyDescent="0.25">
      <c r="A814" s="6" t="s">
        <v>37</v>
      </c>
      <c r="B814" s="1" t="s">
        <v>45</v>
      </c>
      <c r="C814" s="1" t="s">
        <v>46</v>
      </c>
      <c r="D814" s="1" t="s">
        <v>33</v>
      </c>
      <c r="E814" s="1">
        <v>52</v>
      </c>
      <c r="F814" s="7">
        <v>44099</v>
      </c>
      <c r="G814" s="8">
        <v>163143</v>
      </c>
      <c r="H814" s="9">
        <v>0.28000000000000003</v>
      </c>
      <c r="I814" s="1" t="s">
        <v>59</v>
      </c>
      <c r="J814" s="1" t="s">
        <v>76</v>
      </c>
      <c r="K814" s="10" t="s">
        <v>36</v>
      </c>
    </row>
    <row r="815" spans="1:11" x14ac:dyDescent="0.25">
      <c r="A815" s="6" t="s">
        <v>42</v>
      </c>
      <c r="B815" s="1" t="s">
        <v>50</v>
      </c>
      <c r="C815" s="1" t="s">
        <v>39</v>
      </c>
      <c r="D815" s="1" t="s">
        <v>28</v>
      </c>
      <c r="E815" s="1">
        <v>38</v>
      </c>
      <c r="F815" s="7">
        <v>44036</v>
      </c>
      <c r="G815" s="8">
        <v>89390</v>
      </c>
      <c r="H815" s="9">
        <v>0</v>
      </c>
      <c r="I815" s="1" t="s">
        <v>29</v>
      </c>
      <c r="J815" s="1" t="s">
        <v>30</v>
      </c>
      <c r="K815" s="10" t="s">
        <v>36</v>
      </c>
    </row>
    <row r="816" spans="1:11" x14ac:dyDescent="0.25">
      <c r="A816" s="6" t="s">
        <v>78</v>
      </c>
      <c r="B816" s="1" t="s">
        <v>26</v>
      </c>
      <c r="C816" s="1" t="s">
        <v>32</v>
      </c>
      <c r="D816" s="1" t="s">
        <v>33</v>
      </c>
      <c r="E816" s="1">
        <v>41</v>
      </c>
      <c r="F816" s="7">
        <v>43013</v>
      </c>
      <c r="G816" s="8">
        <v>67468</v>
      </c>
      <c r="H816" s="9">
        <v>0</v>
      </c>
      <c r="I816" s="1" t="s">
        <v>29</v>
      </c>
      <c r="J816" s="1" t="s">
        <v>49</v>
      </c>
      <c r="K816" s="10" t="s">
        <v>36</v>
      </c>
    </row>
    <row r="817" spans="1:11" x14ac:dyDescent="0.25">
      <c r="A817" s="6" t="s">
        <v>63</v>
      </c>
      <c r="B817" s="1" t="s">
        <v>54</v>
      </c>
      <c r="C817" s="1" t="s">
        <v>32</v>
      </c>
      <c r="D817" s="1" t="s">
        <v>28</v>
      </c>
      <c r="E817" s="1">
        <v>49</v>
      </c>
      <c r="F817" s="7">
        <v>42441</v>
      </c>
      <c r="G817" s="8">
        <v>100810</v>
      </c>
      <c r="H817" s="9">
        <v>0.12</v>
      </c>
      <c r="I817" s="1" t="s">
        <v>59</v>
      </c>
      <c r="J817" s="1" t="s">
        <v>61</v>
      </c>
      <c r="K817" s="10" t="s">
        <v>36</v>
      </c>
    </row>
    <row r="818" spans="1:11" x14ac:dyDescent="0.25">
      <c r="A818" s="6" t="s">
        <v>42</v>
      </c>
      <c r="B818" s="1" t="s">
        <v>38</v>
      </c>
      <c r="C818" s="1" t="s">
        <v>32</v>
      </c>
      <c r="D818" s="1" t="s">
        <v>28</v>
      </c>
      <c r="E818" s="1">
        <v>35</v>
      </c>
      <c r="F818" s="7">
        <v>43542</v>
      </c>
      <c r="G818" s="8">
        <v>74779</v>
      </c>
      <c r="H818" s="9">
        <v>0</v>
      </c>
      <c r="I818" s="1" t="s">
        <v>29</v>
      </c>
      <c r="J818" s="1" t="s">
        <v>43</v>
      </c>
      <c r="K818" s="10" t="s">
        <v>36</v>
      </c>
    </row>
    <row r="819" spans="1:11" x14ac:dyDescent="0.25">
      <c r="A819" s="6" t="s">
        <v>79</v>
      </c>
      <c r="B819" s="1" t="s">
        <v>26</v>
      </c>
      <c r="C819" s="1" t="s">
        <v>46</v>
      </c>
      <c r="D819" s="1" t="s">
        <v>28</v>
      </c>
      <c r="E819" s="1">
        <v>29</v>
      </c>
      <c r="F819" s="7">
        <v>43048</v>
      </c>
      <c r="G819" s="8">
        <v>63985</v>
      </c>
      <c r="H819" s="9">
        <v>0</v>
      </c>
      <c r="I819" s="1" t="s">
        <v>29</v>
      </c>
      <c r="J819" s="1" t="s">
        <v>49</v>
      </c>
      <c r="K819" s="10" t="s">
        <v>36</v>
      </c>
    </row>
    <row r="820" spans="1:11" x14ac:dyDescent="0.25">
      <c r="A820" s="6" t="s">
        <v>84</v>
      </c>
      <c r="B820" s="1" t="s">
        <v>26</v>
      </c>
      <c r="C820" s="1" t="s">
        <v>32</v>
      </c>
      <c r="D820" s="1" t="s">
        <v>28</v>
      </c>
      <c r="E820" s="1">
        <v>64</v>
      </c>
      <c r="F820" s="7">
        <v>38176</v>
      </c>
      <c r="G820" s="8">
        <v>77903</v>
      </c>
      <c r="H820" s="9">
        <v>0</v>
      </c>
      <c r="I820" s="1" t="s">
        <v>29</v>
      </c>
      <c r="J820" s="1" t="s">
        <v>30</v>
      </c>
      <c r="K820" s="10" t="s">
        <v>36</v>
      </c>
    </row>
    <row r="821" spans="1:11" x14ac:dyDescent="0.25">
      <c r="A821" s="6" t="s">
        <v>37</v>
      </c>
      <c r="B821" s="1" t="s">
        <v>57</v>
      </c>
      <c r="C821" s="1" t="s">
        <v>46</v>
      </c>
      <c r="D821" s="1" t="s">
        <v>33</v>
      </c>
      <c r="E821" s="1">
        <v>33</v>
      </c>
      <c r="F821" s="7">
        <v>42898</v>
      </c>
      <c r="G821" s="8">
        <v>164396</v>
      </c>
      <c r="H821" s="9">
        <v>0.28999999999999998</v>
      </c>
      <c r="I821" s="1" t="s">
        <v>29</v>
      </c>
      <c r="J821" s="1" t="s">
        <v>58</v>
      </c>
      <c r="K821" s="10" t="s">
        <v>36</v>
      </c>
    </row>
    <row r="822" spans="1:11" x14ac:dyDescent="0.25">
      <c r="A822" s="6" t="s">
        <v>85</v>
      </c>
      <c r="B822" s="1" t="s">
        <v>26</v>
      </c>
      <c r="C822" s="1" t="s">
        <v>46</v>
      </c>
      <c r="D822" s="1" t="s">
        <v>33</v>
      </c>
      <c r="E822" s="1">
        <v>29</v>
      </c>
      <c r="F822" s="7">
        <v>44375</v>
      </c>
      <c r="G822" s="8">
        <v>71234</v>
      </c>
      <c r="H822" s="9">
        <v>0</v>
      </c>
      <c r="I822" s="1" t="s">
        <v>29</v>
      </c>
      <c r="J822" s="1" t="s">
        <v>30</v>
      </c>
      <c r="K822" s="10" t="s">
        <v>36</v>
      </c>
    </row>
    <row r="823" spans="1:11" x14ac:dyDescent="0.25">
      <c r="A823" s="6" t="s">
        <v>47</v>
      </c>
      <c r="B823" s="1" t="s">
        <v>38</v>
      </c>
      <c r="C823" s="1" t="s">
        <v>46</v>
      </c>
      <c r="D823" s="1" t="s">
        <v>33</v>
      </c>
      <c r="E823" s="1">
        <v>63</v>
      </c>
      <c r="F823" s="7">
        <v>38096</v>
      </c>
      <c r="G823" s="8">
        <v>122487</v>
      </c>
      <c r="H823" s="9">
        <v>0.08</v>
      </c>
      <c r="I823" s="1" t="s">
        <v>34</v>
      </c>
      <c r="J823" s="1" t="s">
        <v>55</v>
      </c>
      <c r="K823" s="10" t="s">
        <v>36</v>
      </c>
    </row>
    <row r="824" spans="1:11" x14ac:dyDescent="0.25">
      <c r="A824" s="6" t="s">
        <v>47</v>
      </c>
      <c r="B824" s="1" t="s">
        <v>52</v>
      </c>
      <c r="C824" s="1" t="s">
        <v>39</v>
      </c>
      <c r="D824" s="1" t="s">
        <v>28</v>
      </c>
      <c r="E824" s="1">
        <v>32</v>
      </c>
      <c r="F824" s="7">
        <v>42738</v>
      </c>
      <c r="G824" s="8">
        <v>101870</v>
      </c>
      <c r="H824" s="9">
        <v>0.1</v>
      </c>
      <c r="I824" s="1" t="s">
        <v>29</v>
      </c>
      <c r="J824" s="1" t="s">
        <v>43</v>
      </c>
      <c r="K824" s="10" t="s">
        <v>36</v>
      </c>
    </row>
    <row r="825" spans="1:11" x14ac:dyDescent="0.25">
      <c r="A825" s="6" t="s">
        <v>83</v>
      </c>
      <c r="B825" s="1" t="s">
        <v>26</v>
      </c>
      <c r="C825" s="1" t="s">
        <v>27</v>
      </c>
      <c r="D825" s="1" t="s">
        <v>33</v>
      </c>
      <c r="E825" s="1">
        <v>64</v>
      </c>
      <c r="F825" s="7">
        <v>44009</v>
      </c>
      <c r="G825" s="8">
        <v>40316</v>
      </c>
      <c r="H825" s="9">
        <v>0</v>
      </c>
      <c r="I825" s="1" t="s">
        <v>59</v>
      </c>
      <c r="J825" s="1" t="s">
        <v>60</v>
      </c>
      <c r="K825" s="10" t="s">
        <v>36</v>
      </c>
    </row>
    <row r="826" spans="1:11" x14ac:dyDescent="0.25">
      <c r="A826" s="6" t="s">
        <v>47</v>
      </c>
      <c r="B826" s="1" t="s">
        <v>26</v>
      </c>
      <c r="C826" s="1" t="s">
        <v>27</v>
      </c>
      <c r="D826" s="1" t="s">
        <v>28</v>
      </c>
      <c r="E826" s="1">
        <v>55</v>
      </c>
      <c r="F826" s="7">
        <v>38391</v>
      </c>
      <c r="G826" s="8">
        <v>115145</v>
      </c>
      <c r="H826" s="9">
        <v>0.05</v>
      </c>
      <c r="I826" s="1" t="s">
        <v>34</v>
      </c>
      <c r="J826" s="1" t="s">
        <v>35</v>
      </c>
      <c r="K826" s="10" t="s">
        <v>36</v>
      </c>
    </row>
    <row r="827" spans="1:11" x14ac:dyDescent="0.25">
      <c r="A827" s="6" t="s">
        <v>75</v>
      </c>
      <c r="B827" s="1" t="s">
        <v>26</v>
      </c>
      <c r="C827" s="1" t="s">
        <v>32</v>
      </c>
      <c r="D827" s="1" t="s">
        <v>28</v>
      </c>
      <c r="E827" s="1">
        <v>43</v>
      </c>
      <c r="F827" s="7">
        <v>39885</v>
      </c>
      <c r="G827" s="8">
        <v>62335</v>
      </c>
      <c r="H827" s="9">
        <v>0</v>
      </c>
      <c r="I827" s="1" t="s">
        <v>59</v>
      </c>
      <c r="J827" s="1" t="s">
        <v>60</v>
      </c>
      <c r="K827" s="10" t="s">
        <v>36</v>
      </c>
    </row>
    <row r="828" spans="1:11" x14ac:dyDescent="0.25">
      <c r="A828" s="6" t="s">
        <v>48</v>
      </c>
      <c r="B828" s="1" t="s">
        <v>38</v>
      </c>
      <c r="C828" s="1" t="s">
        <v>32</v>
      </c>
      <c r="D828" s="1" t="s">
        <v>33</v>
      </c>
      <c r="E828" s="1">
        <v>56</v>
      </c>
      <c r="F828" s="7">
        <v>38847</v>
      </c>
      <c r="G828" s="8">
        <v>41561</v>
      </c>
      <c r="H828" s="9">
        <v>0</v>
      </c>
      <c r="I828" s="1" t="s">
        <v>29</v>
      </c>
      <c r="J828" s="1" t="s">
        <v>51</v>
      </c>
      <c r="K828" s="10" t="s">
        <v>36</v>
      </c>
    </row>
    <row r="829" spans="1:11" x14ac:dyDescent="0.25">
      <c r="A829" s="6" t="s">
        <v>25</v>
      </c>
      <c r="B829" s="1" t="s">
        <v>38</v>
      </c>
      <c r="C829" s="1" t="s">
        <v>39</v>
      </c>
      <c r="D829" s="1" t="s">
        <v>28</v>
      </c>
      <c r="E829" s="1">
        <v>37</v>
      </c>
      <c r="F829" s="7">
        <v>40657</v>
      </c>
      <c r="G829" s="8">
        <v>131183</v>
      </c>
      <c r="H829" s="9">
        <v>0.14000000000000001</v>
      </c>
      <c r="I829" s="1" t="s">
        <v>34</v>
      </c>
      <c r="J829" s="1" t="s">
        <v>55</v>
      </c>
      <c r="K829" s="10">
        <v>42445</v>
      </c>
    </row>
    <row r="830" spans="1:11" x14ac:dyDescent="0.25">
      <c r="A830" s="6" t="s">
        <v>31</v>
      </c>
      <c r="B830" s="1" t="s">
        <v>26</v>
      </c>
      <c r="C830" s="1" t="s">
        <v>32</v>
      </c>
      <c r="D830" s="1" t="s">
        <v>28</v>
      </c>
      <c r="E830" s="1">
        <v>45</v>
      </c>
      <c r="F830" s="7">
        <v>37445</v>
      </c>
      <c r="G830" s="8">
        <v>92655</v>
      </c>
      <c r="H830" s="9">
        <v>0</v>
      </c>
      <c r="I830" s="1" t="s">
        <v>34</v>
      </c>
      <c r="J830" s="1" t="s">
        <v>68</v>
      </c>
      <c r="K830" s="10" t="s">
        <v>36</v>
      </c>
    </row>
    <row r="831" spans="1:11" x14ac:dyDescent="0.25">
      <c r="A831" s="6" t="s">
        <v>25</v>
      </c>
      <c r="B831" s="1" t="s">
        <v>45</v>
      </c>
      <c r="C831" s="1" t="s">
        <v>32</v>
      </c>
      <c r="D831" s="1" t="s">
        <v>28</v>
      </c>
      <c r="E831" s="1">
        <v>49</v>
      </c>
      <c r="F831" s="7">
        <v>35157</v>
      </c>
      <c r="G831" s="8">
        <v>157057</v>
      </c>
      <c r="H831" s="9">
        <v>0.12</v>
      </c>
      <c r="I831" s="1" t="s">
        <v>29</v>
      </c>
      <c r="J831" s="1" t="s">
        <v>49</v>
      </c>
      <c r="K831" s="10" t="s">
        <v>36</v>
      </c>
    </row>
    <row r="832" spans="1:11" x14ac:dyDescent="0.25">
      <c r="A832" s="6" t="s">
        <v>67</v>
      </c>
      <c r="B832" s="1" t="s">
        <v>26</v>
      </c>
      <c r="C832" s="1" t="s">
        <v>39</v>
      </c>
      <c r="D832" s="1" t="s">
        <v>28</v>
      </c>
      <c r="E832" s="1">
        <v>61</v>
      </c>
      <c r="F832" s="7">
        <v>38392</v>
      </c>
      <c r="G832" s="8">
        <v>64462</v>
      </c>
      <c r="H832" s="9">
        <v>0</v>
      </c>
      <c r="I832" s="1" t="s">
        <v>29</v>
      </c>
      <c r="J832" s="1" t="s">
        <v>40</v>
      </c>
      <c r="K832" s="10" t="s">
        <v>36</v>
      </c>
    </row>
    <row r="833" spans="1:11" x14ac:dyDescent="0.25">
      <c r="A833" s="6" t="s">
        <v>62</v>
      </c>
      <c r="B833" s="1" t="s">
        <v>54</v>
      </c>
      <c r="C833" s="1" t="s">
        <v>46</v>
      </c>
      <c r="D833" s="1" t="s">
        <v>28</v>
      </c>
      <c r="E833" s="1">
        <v>41</v>
      </c>
      <c r="F833" s="7">
        <v>38632</v>
      </c>
      <c r="G833" s="8">
        <v>79352</v>
      </c>
      <c r="H833" s="9">
        <v>0</v>
      </c>
      <c r="I833" s="1" t="s">
        <v>29</v>
      </c>
      <c r="J833" s="1" t="s">
        <v>30</v>
      </c>
      <c r="K833" s="10" t="s">
        <v>36</v>
      </c>
    </row>
    <row r="834" spans="1:11" x14ac:dyDescent="0.25">
      <c r="A834" s="6" t="s">
        <v>25</v>
      </c>
      <c r="B834" s="1" t="s">
        <v>57</v>
      </c>
      <c r="C834" s="1" t="s">
        <v>39</v>
      </c>
      <c r="D834" s="1" t="s">
        <v>28</v>
      </c>
      <c r="E834" s="1">
        <v>55</v>
      </c>
      <c r="F834" s="7">
        <v>36977</v>
      </c>
      <c r="G834" s="8">
        <v>157812</v>
      </c>
      <c r="H834" s="9">
        <v>0.11</v>
      </c>
      <c r="I834" s="1" t="s">
        <v>29</v>
      </c>
      <c r="J834" s="1" t="s">
        <v>49</v>
      </c>
      <c r="K834" s="10" t="s">
        <v>36</v>
      </c>
    </row>
    <row r="835" spans="1:11" x14ac:dyDescent="0.25">
      <c r="A835" s="6" t="s">
        <v>62</v>
      </c>
      <c r="B835" s="1" t="s">
        <v>54</v>
      </c>
      <c r="C835" s="1" t="s">
        <v>46</v>
      </c>
      <c r="D835" s="1" t="s">
        <v>33</v>
      </c>
      <c r="E835" s="1">
        <v>27</v>
      </c>
      <c r="F835" s="7">
        <v>43354</v>
      </c>
      <c r="G835" s="8">
        <v>80745</v>
      </c>
      <c r="H835" s="9">
        <v>0</v>
      </c>
      <c r="I835" s="1" t="s">
        <v>29</v>
      </c>
      <c r="J835" s="1" t="s">
        <v>40</v>
      </c>
      <c r="K835" s="10" t="s">
        <v>36</v>
      </c>
    </row>
    <row r="836" spans="1:11" x14ac:dyDescent="0.25">
      <c r="A836" s="6" t="s">
        <v>82</v>
      </c>
      <c r="B836" s="1" t="s">
        <v>26</v>
      </c>
      <c r="C836" s="1" t="s">
        <v>32</v>
      </c>
      <c r="D836" s="1" t="s">
        <v>28</v>
      </c>
      <c r="E836" s="1">
        <v>57</v>
      </c>
      <c r="F836" s="7">
        <v>35113</v>
      </c>
      <c r="G836" s="8">
        <v>75354</v>
      </c>
      <c r="H836" s="9">
        <v>0</v>
      </c>
      <c r="I836" s="1" t="s">
        <v>29</v>
      </c>
      <c r="J836" s="1" t="s">
        <v>51</v>
      </c>
      <c r="K836" s="10">
        <v>35413</v>
      </c>
    </row>
    <row r="837" spans="1:11" x14ac:dyDescent="0.25">
      <c r="A837" s="6" t="s">
        <v>63</v>
      </c>
      <c r="B837" s="1" t="s">
        <v>54</v>
      </c>
      <c r="C837" s="1" t="s">
        <v>27</v>
      </c>
      <c r="D837" s="1" t="s">
        <v>33</v>
      </c>
      <c r="E837" s="1">
        <v>56</v>
      </c>
      <c r="F837" s="7">
        <v>43363</v>
      </c>
      <c r="G837" s="8">
        <v>78938</v>
      </c>
      <c r="H837" s="9">
        <v>0.14000000000000001</v>
      </c>
      <c r="I837" s="1" t="s">
        <v>29</v>
      </c>
      <c r="J837" s="1" t="s">
        <v>43</v>
      </c>
      <c r="K837" s="10" t="s">
        <v>36</v>
      </c>
    </row>
    <row r="838" spans="1:11" x14ac:dyDescent="0.25">
      <c r="A838" s="6" t="s">
        <v>73</v>
      </c>
      <c r="B838" s="1" t="s">
        <v>54</v>
      </c>
      <c r="C838" s="1" t="s">
        <v>46</v>
      </c>
      <c r="D838" s="1" t="s">
        <v>33</v>
      </c>
      <c r="E838" s="1">
        <v>59</v>
      </c>
      <c r="F838" s="7">
        <v>39701</v>
      </c>
      <c r="G838" s="8">
        <v>96313</v>
      </c>
      <c r="H838" s="9">
        <v>0</v>
      </c>
      <c r="I838" s="1" t="s">
        <v>29</v>
      </c>
      <c r="J838" s="1" t="s">
        <v>51</v>
      </c>
      <c r="K838" s="10" t="s">
        <v>36</v>
      </c>
    </row>
    <row r="839" spans="1:11" x14ac:dyDescent="0.25">
      <c r="A839" s="6" t="s">
        <v>37</v>
      </c>
      <c r="B839" s="1" t="s">
        <v>54</v>
      </c>
      <c r="C839" s="1" t="s">
        <v>39</v>
      </c>
      <c r="D839" s="1" t="s">
        <v>33</v>
      </c>
      <c r="E839" s="1">
        <v>45</v>
      </c>
      <c r="F839" s="7">
        <v>40511</v>
      </c>
      <c r="G839" s="8">
        <v>153767</v>
      </c>
      <c r="H839" s="9">
        <v>0.27</v>
      </c>
      <c r="I839" s="1" t="s">
        <v>29</v>
      </c>
      <c r="J839" s="1" t="s">
        <v>43</v>
      </c>
      <c r="K839" s="10" t="s">
        <v>36</v>
      </c>
    </row>
    <row r="840" spans="1:11" x14ac:dyDescent="0.25">
      <c r="A840" s="6" t="s">
        <v>47</v>
      </c>
      <c r="B840" s="1" t="s">
        <v>57</v>
      </c>
      <c r="C840" s="1" t="s">
        <v>27</v>
      </c>
      <c r="D840" s="1" t="s">
        <v>28</v>
      </c>
      <c r="E840" s="1">
        <v>42</v>
      </c>
      <c r="F840" s="7">
        <v>42266</v>
      </c>
      <c r="G840" s="8">
        <v>103423</v>
      </c>
      <c r="H840" s="9">
        <v>0.06</v>
      </c>
      <c r="I840" s="1" t="s">
        <v>29</v>
      </c>
      <c r="J840" s="1" t="s">
        <v>58</v>
      </c>
      <c r="K840" s="10" t="s">
        <v>36</v>
      </c>
    </row>
    <row r="841" spans="1:11" x14ac:dyDescent="0.25">
      <c r="A841" s="6" t="s">
        <v>53</v>
      </c>
      <c r="B841" s="1" t="s">
        <v>54</v>
      </c>
      <c r="C841" s="1" t="s">
        <v>46</v>
      </c>
      <c r="D841" s="1" t="s">
        <v>28</v>
      </c>
      <c r="E841" s="1">
        <v>25</v>
      </c>
      <c r="F841" s="7">
        <v>44370</v>
      </c>
      <c r="G841" s="8">
        <v>86464</v>
      </c>
      <c r="H841" s="9">
        <v>0</v>
      </c>
      <c r="I841" s="1" t="s">
        <v>34</v>
      </c>
      <c r="J841" s="1" t="s">
        <v>55</v>
      </c>
      <c r="K841" s="10" t="s">
        <v>36</v>
      </c>
    </row>
    <row r="842" spans="1:11" x14ac:dyDescent="0.25">
      <c r="A842" s="6" t="s">
        <v>53</v>
      </c>
      <c r="B842" s="1" t="s">
        <v>54</v>
      </c>
      <c r="C842" s="1" t="s">
        <v>46</v>
      </c>
      <c r="D842" s="1" t="s">
        <v>28</v>
      </c>
      <c r="E842" s="1">
        <v>29</v>
      </c>
      <c r="F842" s="7">
        <v>43114</v>
      </c>
      <c r="G842" s="8">
        <v>80516</v>
      </c>
      <c r="H842" s="9">
        <v>0</v>
      </c>
      <c r="I842" s="1" t="s">
        <v>59</v>
      </c>
      <c r="J842" s="1" t="s">
        <v>76</v>
      </c>
      <c r="K842" s="10" t="s">
        <v>36</v>
      </c>
    </row>
    <row r="843" spans="1:11" x14ac:dyDescent="0.25">
      <c r="A843" s="6" t="s">
        <v>47</v>
      </c>
      <c r="B843" s="1" t="s">
        <v>52</v>
      </c>
      <c r="C843" s="1" t="s">
        <v>39</v>
      </c>
      <c r="D843" s="1" t="s">
        <v>28</v>
      </c>
      <c r="E843" s="1">
        <v>33</v>
      </c>
      <c r="F843" s="7">
        <v>41507</v>
      </c>
      <c r="G843" s="8">
        <v>105390</v>
      </c>
      <c r="H843" s="9">
        <v>0.06</v>
      </c>
      <c r="I843" s="1" t="s">
        <v>29</v>
      </c>
      <c r="J843" s="1" t="s">
        <v>58</v>
      </c>
      <c r="K843" s="10" t="s">
        <v>36</v>
      </c>
    </row>
    <row r="844" spans="1:11" x14ac:dyDescent="0.25">
      <c r="A844" s="6" t="s">
        <v>75</v>
      </c>
      <c r="B844" s="1" t="s">
        <v>26</v>
      </c>
      <c r="C844" s="1" t="s">
        <v>32</v>
      </c>
      <c r="D844" s="1" t="s">
        <v>28</v>
      </c>
      <c r="E844" s="1">
        <v>50</v>
      </c>
      <c r="F844" s="7">
        <v>44445</v>
      </c>
      <c r="G844" s="8">
        <v>83418</v>
      </c>
      <c r="H844" s="9">
        <v>0</v>
      </c>
      <c r="I844" s="1" t="s">
        <v>34</v>
      </c>
      <c r="J844" s="1" t="s">
        <v>55</v>
      </c>
      <c r="K844" s="10" t="s">
        <v>36</v>
      </c>
    </row>
    <row r="845" spans="1:11" x14ac:dyDescent="0.25">
      <c r="A845" s="6" t="s">
        <v>84</v>
      </c>
      <c r="B845" s="1" t="s">
        <v>26</v>
      </c>
      <c r="C845" s="1" t="s">
        <v>39</v>
      </c>
      <c r="D845" s="1" t="s">
        <v>28</v>
      </c>
      <c r="E845" s="1">
        <v>45</v>
      </c>
      <c r="F845" s="7">
        <v>43042</v>
      </c>
      <c r="G845" s="8">
        <v>66660</v>
      </c>
      <c r="H845" s="9">
        <v>0</v>
      </c>
      <c r="I845" s="1" t="s">
        <v>29</v>
      </c>
      <c r="J845" s="1" t="s">
        <v>51</v>
      </c>
      <c r="K845" s="10" t="s">
        <v>36</v>
      </c>
    </row>
    <row r="846" spans="1:11" x14ac:dyDescent="0.25">
      <c r="A846" s="6" t="s">
        <v>47</v>
      </c>
      <c r="B846" s="1" t="s">
        <v>52</v>
      </c>
      <c r="C846" s="1" t="s">
        <v>39</v>
      </c>
      <c r="D846" s="1" t="s">
        <v>33</v>
      </c>
      <c r="E846" s="1">
        <v>59</v>
      </c>
      <c r="F846" s="7">
        <v>42165</v>
      </c>
      <c r="G846" s="8">
        <v>101985</v>
      </c>
      <c r="H846" s="9">
        <v>7.0000000000000007E-2</v>
      </c>
      <c r="I846" s="1" t="s">
        <v>29</v>
      </c>
      <c r="J846" s="1" t="s">
        <v>49</v>
      </c>
      <c r="K846" s="10" t="s">
        <v>36</v>
      </c>
    </row>
    <row r="847" spans="1:11" x14ac:dyDescent="0.25">
      <c r="A847" s="6" t="s">
        <v>56</v>
      </c>
      <c r="B847" s="1" t="s">
        <v>38</v>
      </c>
      <c r="C847" s="1" t="s">
        <v>46</v>
      </c>
      <c r="D847" s="1" t="s">
        <v>33</v>
      </c>
      <c r="E847" s="1">
        <v>29</v>
      </c>
      <c r="F847" s="7">
        <v>43439</v>
      </c>
      <c r="G847" s="8">
        <v>199504</v>
      </c>
      <c r="H847" s="9">
        <v>0.3</v>
      </c>
      <c r="I847" s="1" t="s">
        <v>29</v>
      </c>
      <c r="J847" s="1" t="s">
        <v>51</v>
      </c>
      <c r="K847" s="10" t="s">
        <v>36</v>
      </c>
    </row>
    <row r="848" spans="1:11" x14ac:dyDescent="0.25">
      <c r="A848" s="6" t="s">
        <v>25</v>
      </c>
      <c r="B848" s="1" t="s">
        <v>45</v>
      </c>
      <c r="C848" s="1" t="s">
        <v>46</v>
      </c>
      <c r="D848" s="1" t="s">
        <v>28</v>
      </c>
      <c r="E848" s="1">
        <v>52</v>
      </c>
      <c r="F848" s="7">
        <v>38995</v>
      </c>
      <c r="G848" s="8">
        <v>147966</v>
      </c>
      <c r="H848" s="9">
        <v>0.11</v>
      </c>
      <c r="I848" s="1" t="s">
        <v>59</v>
      </c>
      <c r="J848" s="1" t="s">
        <v>61</v>
      </c>
      <c r="K848" s="10">
        <v>43608</v>
      </c>
    </row>
    <row r="849" spans="1:11" x14ac:dyDescent="0.25">
      <c r="A849" s="6" t="s">
        <v>74</v>
      </c>
      <c r="B849" s="1" t="s">
        <v>52</v>
      </c>
      <c r="C849" s="1" t="s">
        <v>39</v>
      </c>
      <c r="D849" s="1" t="s">
        <v>33</v>
      </c>
      <c r="E849" s="1">
        <v>58</v>
      </c>
      <c r="F849" s="7">
        <v>41810</v>
      </c>
      <c r="G849" s="8">
        <v>41728</v>
      </c>
      <c r="H849" s="9">
        <v>0</v>
      </c>
      <c r="I849" s="1" t="s">
        <v>34</v>
      </c>
      <c r="J849" s="1" t="s">
        <v>35</v>
      </c>
      <c r="K849" s="10" t="s">
        <v>36</v>
      </c>
    </row>
    <row r="850" spans="1:11" x14ac:dyDescent="0.25">
      <c r="A850" s="6" t="s">
        <v>42</v>
      </c>
      <c r="B850" s="1" t="s">
        <v>50</v>
      </c>
      <c r="C850" s="1" t="s">
        <v>39</v>
      </c>
      <c r="D850" s="1" t="s">
        <v>33</v>
      </c>
      <c r="E850" s="1">
        <v>62</v>
      </c>
      <c r="F850" s="7">
        <v>40591</v>
      </c>
      <c r="G850" s="8">
        <v>94422</v>
      </c>
      <c r="H850" s="9">
        <v>0</v>
      </c>
      <c r="I850" s="1" t="s">
        <v>29</v>
      </c>
      <c r="J850" s="1" t="s">
        <v>43</v>
      </c>
      <c r="K850" s="10" t="s">
        <v>36</v>
      </c>
    </row>
    <row r="851" spans="1:11" x14ac:dyDescent="0.25">
      <c r="A851" s="6" t="s">
        <v>37</v>
      </c>
      <c r="B851" s="1" t="s">
        <v>45</v>
      </c>
      <c r="C851" s="1" t="s">
        <v>46</v>
      </c>
      <c r="D851" s="1" t="s">
        <v>33</v>
      </c>
      <c r="E851" s="1">
        <v>31</v>
      </c>
      <c r="F851" s="7">
        <v>42184</v>
      </c>
      <c r="G851" s="8">
        <v>191026</v>
      </c>
      <c r="H851" s="9">
        <v>0.16</v>
      </c>
      <c r="I851" s="1" t="s">
        <v>29</v>
      </c>
      <c r="J851" s="1" t="s">
        <v>58</v>
      </c>
      <c r="K851" s="10" t="s">
        <v>36</v>
      </c>
    </row>
    <row r="852" spans="1:11" x14ac:dyDescent="0.25">
      <c r="A852" s="6" t="s">
        <v>56</v>
      </c>
      <c r="B852" s="1" t="s">
        <v>26</v>
      </c>
      <c r="C852" s="1" t="s">
        <v>27</v>
      </c>
      <c r="D852" s="1" t="s">
        <v>33</v>
      </c>
      <c r="E852" s="1">
        <v>42</v>
      </c>
      <c r="F852" s="7">
        <v>40511</v>
      </c>
      <c r="G852" s="8">
        <v>186725</v>
      </c>
      <c r="H852" s="9">
        <v>0.32</v>
      </c>
      <c r="I852" s="1" t="s">
        <v>59</v>
      </c>
      <c r="J852" s="1" t="s">
        <v>60</v>
      </c>
      <c r="K852" s="10" t="s">
        <v>36</v>
      </c>
    </row>
    <row r="853" spans="1:11" x14ac:dyDescent="0.25">
      <c r="A853" s="6" t="s">
        <v>74</v>
      </c>
      <c r="B853" s="1" t="s">
        <v>52</v>
      </c>
      <c r="C853" s="1" t="s">
        <v>27</v>
      </c>
      <c r="D853" s="1" t="s">
        <v>28</v>
      </c>
      <c r="E853" s="1">
        <v>56</v>
      </c>
      <c r="F853" s="7">
        <v>40045</v>
      </c>
      <c r="G853" s="8">
        <v>52800</v>
      </c>
      <c r="H853" s="9">
        <v>0</v>
      </c>
      <c r="I853" s="1" t="s">
        <v>29</v>
      </c>
      <c r="J853" s="1" t="s">
        <v>43</v>
      </c>
      <c r="K853" s="10" t="s">
        <v>36</v>
      </c>
    </row>
    <row r="854" spans="1:11" x14ac:dyDescent="0.25">
      <c r="A854" s="6" t="s">
        <v>73</v>
      </c>
      <c r="B854" s="1" t="s">
        <v>54</v>
      </c>
      <c r="C854" s="1" t="s">
        <v>39</v>
      </c>
      <c r="D854" s="1" t="s">
        <v>33</v>
      </c>
      <c r="E854" s="1">
        <v>54</v>
      </c>
      <c r="F854" s="7">
        <v>40517</v>
      </c>
      <c r="G854" s="8">
        <v>113982</v>
      </c>
      <c r="H854" s="9">
        <v>0</v>
      </c>
      <c r="I854" s="1" t="s">
        <v>29</v>
      </c>
      <c r="J854" s="1" t="s">
        <v>30</v>
      </c>
      <c r="K854" s="10" t="s">
        <v>36</v>
      </c>
    </row>
    <row r="855" spans="1:11" x14ac:dyDescent="0.25">
      <c r="A855" s="6" t="s">
        <v>44</v>
      </c>
      <c r="B855" s="1" t="s">
        <v>45</v>
      </c>
      <c r="C855" s="1" t="s">
        <v>27</v>
      </c>
      <c r="D855" s="1" t="s">
        <v>28</v>
      </c>
      <c r="E855" s="1">
        <v>54</v>
      </c>
      <c r="F855" s="7">
        <v>44271</v>
      </c>
      <c r="G855" s="8">
        <v>56239</v>
      </c>
      <c r="H855" s="9">
        <v>0</v>
      </c>
      <c r="I855" s="1" t="s">
        <v>34</v>
      </c>
      <c r="J855" s="1" t="s">
        <v>35</v>
      </c>
      <c r="K855" s="10" t="s">
        <v>36</v>
      </c>
    </row>
    <row r="856" spans="1:11" x14ac:dyDescent="0.25">
      <c r="A856" s="6" t="s">
        <v>48</v>
      </c>
      <c r="B856" s="1" t="s">
        <v>45</v>
      </c>
      <c r="C856" s="1" t="s">
        <v>32</v>
      </c>
      <c r="D856" s="1" t="s">
        <v>33</v>
      </c>
      <c r="E856" s="1">
        <v>26</v>
      </c>
      <c r="F856" s="7">
        <v>44257</v>
      </c>
      <c r="G856" s="8">
        <v>44732</v>
      </c>
      <c r="H856" s="9">
        <v>0</v>
      </c>
      <c r="I856" s="1" t="s">
        <v>59</v>
      </c>
      <c r="J856" s="1" t="s">
        <v>61</v>
      </c>
      <c r="K856" s="10" t="s">
        <v>36</v>
      </c>
    </row>
    <row r="857" spans="1:11" x14ac:dyDescent="0.25">
      <c r="A857" s="6" t="s">
        <v>37</v>
      </c>
      <c r="B857" s="1" t="s">
        <v>57</v>
      </c>
      <c r="C857" s="1" t="s">
        <v>46</v>
      </c>
      <c r="D857" s="1" t="s">
        <v>33</v>
      </c>
      <c r="E857" s="1">
        <v>49</v>
      </c>
      <c r="F857" s="7">
        <v>41816</v>
      </c>
      <c r="G857" s="8">
        <v>153961</v>
      </c>
      <c r="H857" s="9">
        <v>0.25</v>
      </c>
      <c r="I857" s="1" t="s">
        <v>34</v>
      </c>
      <c r="J857" s="1" t="s">
        <v>55</v>
      </c>
      <c r="K857" s="10" t="s">
        <v>36</v>
      </c>
    </row>
    <row r="858" spans="1:11" x14ac:dyDescent="0.25">
      <c r="A858" s="6" t="s">
        <v>78</v>
      </c>
      <c r="B858" s="1" t="s">
        <v>26</v>
      </c>
      <c r="C858" s="1" t="s">
        <v>39</v>
      </c>
      <c r="D858" s="1" t="s">
        <v>28</v>
      </c>
      <c r="E858" s="1">
        <v>45</v>
      </c>
      <c r="F858" s="7">
        <v>39069</v>
      </c>
      <c r="G858" s="8">
        <v>68337</v>
      </c>
      <c r="H858" s="9">
        <v>0</v>
      </c>
      <c r="I858" s="1" t="s">
        <v>34</v>
      </c>
      <c r="J858" s="1" t="s">
        <v>35</v>
      </c>
      <c r="K858" s="10" t="s">
        <v>36</v>
      </c>
    </row>
    <row r="859" spans="1:11" x14ac:dyDescent="0.25">
      <c r="A859" s="6" t="s">
        <v>25</v>
      </c>
      <c r="B859" s="1" t="s">
        <v>52</v>
      </c>
      <c r="C859" s="1" t="s">
        <v>46</v>
      </c>
      <c r="D859" s="1" t="s">
        <v>33</v>
      </c>
      <c r="E859" s="1">
        <v>45</v>
      </c>
      <c r="F859" s="7">
        <v>40305</v>
      </c>
      <c r="G859" s="8">
        <v>145093</v>
      </c>
      <c r="H859" s="9">
        <v>0.12</v>
      </c>
      <c r="I859" s="1" t="s">
        <v>29</v>
      </c>
      <c r="J859" s="1" t="s">
        <v>40</v>
      </c>
      <c r="K859" s="10" t="s">
        <v>36</v>
      </c>
    </row>
    <row r="860" spans="1:11" x14ac:dyDescent="0.25">
      <c r="A860" s="6" t="s">
        <v>85</v>
      </c>
      <c r="B860" s="1" t="s">
        <v>26</v>
      </c>
      <c r="C860" s="1" t="s">
        <v>39</v>
      </c>
      <c r="D860" s="1" t="s">
        <v>28</v>
      </c>
      <c r="E860" s="1">
        <v>26</v>
      </c>
      <c r="F860" s="7">
        <v>44266</v>
      </c>
      <c r="G860" s="8">
        <v>74170</v>
      </c>
      <c r="H860" s="9">
        <v>0</v>
      </c>
      <c r="I860" s="1" t="s">
        <v>29</v>
      </c>
      <c r="J860" s="1" t="s">
        <v>51</v>
      </c>
      <c r="K860" s="10" t="s">
        <v>36</v>
      </c>
    </row>
    <row r="861" spans="1:11" x14ac:dyDescent="0.25">
      <c r="A861" s="6" t="s">
        <v>71</v>
      </c>
      <c r="B861" s="1" t="s">
        <v>54</v>
      </c>
      <c r="C861" s="1" t="s">
        <v>27</v>
      </c>
      <c r="D861" s="1" t="s">
        <v>33</v>
      </c>
      <c r="E861" s="1">
        <v>59</v>
      </c>
      <c r="F861" s="7">
        <v>35153</v>
      </c>
      <c r="G861" s="8">
        <v>62605</v>
      </c>
      <c r="H861" s="9">
        <v>0</v>
      </c>
      <c r="I861" s="1" t="s">
        <v>29</v>
      </c>
      <c r="J861" s="1" t="s">
        <v>51</v>
      </c>
      <c r="K861" s="10" t="s">
        <v>36</v>
      </c>
    </row>
    <row r="862" spans="1:11" x14ac:dyDescent="0.25">
      <c r="A862" s="6" t="s">
        <v>47</v>
      </c>
      <c r="B862" s="1" t="s">
        <v>26</v>
      </c>
      <c r="C862" s="1" t="s">
        <v>39</v>
      </c>
      <c r="D862" s="1" t="s">
        <v>28</v>
      </c>
      <c r="E862" s="1">
        <v>51</v>
      </c>
      <c r="F862" s="7">
        <v>43903</v>
      </c>
      <c r="G862" s="8">
        <v>107195</v>
      </c>
      <c r="H862" s="9">
        <v>0.09</v>
      </c>
      <c r="I862" s="1" t="s">
        <v>29</v>
      </c>
      <c r="J862" s="1" t="s">
        <v>51</v>
      </c>
      <c r="K862" s="10" t="s">
        <v>36</v>
      </c>
    </row>
    <row r="863" spans="1:11" x14ac:dyDescent="0.25">
      <c r="A863" s="6" t="s">
        <v>25</v>
      </c>
      <c r="B863" s="1" t="s">
        <v>57</v>
      </c>
      <c r="C863" s="1" t="s">
        <v>39</v>
      </c>
      <c r="D863" s="1" t="s">
        <v>33</v>
      </c>
      <c r="E863" s="1">
        <v>45</v>
      </c>
      <c r="F863" s="7">
        <v>43111</v>
      </c>
      <c r="G863" s="8">
        <v>127422</v>
      </c>
      <c r="H863" s="9">
        <v>0.15</v>
      </c>
      <c r="I863" s="1" t="s">
        <v>29</v>
      </c>
      <c r="J863" s="1" t="s">
        <v>58</v>
      </c>
      <c r="K863" s="10" t="s">
        <v>36</v>
      </c>
    </row>
    <row r="864" spans="1:11" x14ac:dyDescent="0.25">
      <c r="A864" s="6" t="s">
        <v>37</v>
      </c>
      <c r="B864" s="1" t="s">
        <v>50</v>
      </c>
      <c r="C864" s="1" t="s">
        <v>27</v>
      </c>
      <c r="D864" s="1" t="s">
        <v>28</v>
      </c>
      <c r="E864" s="1">
        <v>35</v>
      </c>
      <c r="F864" s="7">
        <v>42912</v>
      </c>
      <c r="G864" s="8">
        <v>161269</v>
      </c>
      <c r="H864" s="9">
        <v>0.27</v>
      </c>
      <c r="I864" s="1" t="s">
        <v>29</v>
      </c>
      <c r="J864" s="1" t="s">
        <v>49</v>
      </c>
      <c r="K864" s="10" t="s">
        <v>36</v>
      </c>
    </row>
    <row r="865" spans="1:11" x14ac:dyDescent="0.25">
      <c r="A865" s="6" t="s">
        <v>56</v>
      </c>
      <c r="B865" s="1" t="s">
        <v>57</v>
      </c>
      <c r="C865" s="1" t="s">
        <v>46</v>
      </c>
      <c r="D865" s="1" t="s">
        <v>28</v>
      </c>
      <c r="E865" s="1">
        <v>32</v>
      </c>
      <c r="F865" s="7">
        <v>41675</v>
      </c>
      <c r="G865" s="8">
        <v>203445</v>
      </c>
      <c r="H865" s="9">
        <v>0.34</v>
      </c>
      <c r="I865" s="1" t="s">
        <v>59</v>
      </c>
      <c r="J865" s="1" t="s">
        <v>60</v>
      </c>
      <c r="K865" s="10" t="s">
        <v>36</v>
      </c>
    </row>
    <row r="866" spans="1:11" x14ac:dyDescent="0.25">
      <c r="A866" s="6" t="s">
        <v>25</v>
      </c>
      <c r="B866" s="1" t="s">
        <v>52</v>
      </c>
      <c r="C866" s="1" t="s">
        <v>27</v>
      </c>
      <c r="D866" s="1" t="s">
        <v>28</v>
      </c>
      <c r="E866" s="1">
        <v>37</v>
      </c>
      <c r="F866" s="7">
        <v>40560</v>
      </c>
      <c r="G866" s="8">
        <v>131353</v>
      </c>
      <c r="H866" s="9">
        <v>0.11</v>
      </c>
      <c r="I866" s="1" t="s">
        <v>34</v>
      </c>
      <c r="J866" s="1" t="s">
        <v>55</v>
      </c>
      <c r="K866" s="10" t="s">
        <v>36</v>
      </c>
    </row>
    <row r="867" spans="1:11" x14ac:dyDescent="0.25">
      <c r="A867" s="6" t="s">
        <v>86</v>
      </c>
      <c r="B867" s="1" t="s">
        <v>26</v>
      </c>
      <c r="C867" s="1" t="s">
        <v>32</v>
      </c>
      <c r="D867" s="1" t="s">
        <v>33</v>
      </c>
      <c r="E867" s="1">
        <v>45</v>
      </c>
      <c r="F867" s="7">
        <v>40253</v>
      </c>
      <c r="G867" s="8">
        <v>88182</v>
      </c>
      <c r="H867" s="9">
        <v>0</v>
      </c>
      <c r="I867" s="1" t="s">
        <v>34</v>
      </c>
      <c r="J867" s="1" t="s">
        <v>68</v>
      </c>
      <c r="K867" s="10" t="s">
        <v>36</v>
      </c>
    </row>
    <row r="868" spans="1:11" x14ac:dyDescent="0.25">
      <c r="A868" s="6" t="s">
        <v>67</v>
      </c>
      <c r="B868" s="1" t="s">
        <v>26</v>
      </c>
      <c r="C868" s="1" t="s">
        <v>39</v>
      </c>
      <c r="D868" s="1" t="s">
        <v>33</v>
      </c>
      <c r="E868" s="1">
        <v>61</v>
      </c>
      <c r="F868" s="7">
        <v>43703</v>
      </c>
      <c r="G868" s="8">
        <v>75780</v>
      </c>
      <c r="H868" s="9">
        <v>0</v>
      </c>
      <c r="I868" s="1" t="s">
        <v>29</v>
      </c>
      <c r="J868" s="1" t="s">
        <v>30</v>
      </c>
      <c r="K868" s="10" t="s">
        <v>36</v>
      </c>
    </row>
    <row r="869" spans="1:11" x14ac:dyDescent="0.25">
      <c r="A869" s="6" t="s">
        <v>66</v>
      </c>
      <c r="B869" s="1" t="s">
        <v>45</v>
      </c>
      <c r="C869" s="1" t="s">
        <v>27</v>
      </c>
      <c r="D869" s="1" t="s">
        <v>28</v>
      </c>
      <c r="E869" s="1">
        <v>45</v>
      </c>
      <c r="F869" s="7">
        <v>43557</v>
      </c>
      <c r="G869" s="8">
        <v>52621</v>
      </c>
      <c r="H869" s="9">
        <v>0</v>
      </c>
      <c r="I869" s="1" t="s">
        <v>34</v>
      </c>
      <c r="J869" s="1" t="s">
        <v>64</v>
      </c>
      <c r="K869" s="10" t="s">
        <v>36</v>
      </c>
    </row>
    <row r="870" spans="1:11" x14ac:dyDescent="0.25">
      <c r="A870" s="6" t="s">
        <v>63</v>
      </c>
      <c r="B870" s="1" t="s">
        <v>54</v>
      </c>
      <c r="C870" s="1" t="s">
        <v>27</v>
      </c>
      <c r="D870" s="1" t="s">
        <v>33</v>
      </c>
      <c r="E870" s="1">
        <v>60</v>
      </c>
      <c r="F870" s="7">
        <v>43146</v>
      </c>
      <c r="G870" s="8">
        <v>106079</v>
      </c>
      <c r="H870" s="9">
        <v>0.14000000000000001</v>
      </c>
      <c r="I870" s="1" t="s">
        <v>29</v>
      </c>
      <c r="J870" s="1" t="s">
        <v>51</v>
      </c>
      <c r="K870" s="10">
        <v>44295</v>
      </c>
    </row>
    <row r="871" spans="1:11" x14ac:dyDescent="0.25">
      <c r="A871" s="6" t="s">
        <v>75</v>
      </c>
      <c r="B871" s="1" t="s">
        <v>26</v>
      </c>
      <c r="C871" s="1" t="s">
        <v>46</v>
      </c>
      <c r="D871" s="1" t="s">
        <v>33</v>
      </c>
      <c r="E871" s="1">
        <v>30</v>
      </c>
      <c r="F871" s="7">
        <v>42777</v>
      </c>
      <c r="G871" s="8">
        <v>92058</v>
      </c>
      <c r="H871" s="9">
        <v>0</v>
      </c>
      <c r="I871" s="1" t="s">
        <v>29</v>
      </c>
      <c r="J871" s="1" t="s">
        <v>51</v>
      </c>
      <c r="K871" s="10" t="s">
        <v>36</v>
      </c>
    </row>
    <row r="872" spans="1:11" x14ac:dyDescent="0.25">
      <c r="A872" s="6" t="s">
        <v>71</v>
      </c>
      <c r="B872" s="1" t="s">
        <v>54</v>
      </c>
      <c r="C872" s="1" t="s">
        <v>32</v>
      </c>
      <c r="D872" s="1" t="s">
        <v>33</v>
      </c>
      <c r="E872" s="1">
        <v>64</v>
      </c>
      <c r="F872" s="7">
        <v>43527</v>
      </c>
      <c r="G872" s="8">
        <v>67114</v>
      </c>
      <c r="H872" s="9">
        <v>0</v>
      </c>
      <c r="I872" s="1" t="s">
        <v>29</v>
      </c>
      <c r="J872" s="1" t="s">
        <v>43</v>
      </c>
      <c r="K872" s="10" t="s">
        <v>36</v>
      </c>
    </row>
    <row r="873" spans="1:11" x14ac:dyDescent="0.25">
      <c r="A873" s="6" t="s">
        <v>66</v>
      </c>
      <c r="B873" s="1" t="s">
        <v>38</v>
      </c>
      <c r="C873" s="1" t="s">
        <v>27</v>
      </c>
      <c r="D873" s="1" t="s">
        <v>28</v>
      </c>
      <c r="E873" s="1">
        <v>25</v>
      </c>
      <c r="F873" s="7">
        <v>44024</v>
      </c>
      <c r="G873" s="8">
        <v>56565</v>
      </c>
      <c r="H873" s="9">
        <v>0</v>
      </c>
      <c r="I873" s="1" t="s">
        <v>59</v>
      </c>
      <c r="J873" s="1" t="s">
        <v>76</v>
      </c>
      <c r="K873" s="10" t="s">
        <v>36</v>
      </c>
    </row>
    <row r="874" spans="1:11" x14ac:dyDescent="0.25">
      <c r="A874" s="6" t="s">
        <v>70</v>
      </c>
      <c r="B874" s="1" t="s">
        <v>52</v>
      </c>
      <c r="C874" s="1" t="s">
        <v>32</v>
      </c>
      <c r="D874" s="1" t="s">
        <v>28</v>
      </c>
      <c r="E874" s="1">
        <v>61</v>
      </c>
      <c r="F874" s="7">
        <v>40683</v>
      </c>
      <c r="G874" s="8">
        <v>64937</v>
      </c>
      <c r="H874" s="9">
        <v>0</v>
      </c>
      <c r="I874" s="1" t="s">
        <v>29</v>
      </c>
      <c r="J874" s="1" t="s">
        <v>43</v>
      </c>
      <c r="K874" s="10" t="s">
        <v>36</v>
      </c>
    </row>
    <row r="875" spans="1:11" x14ac:dyDescent="0.25">
      <c r="A875" s="6" t="s">
        <v>47</v>
      </c>
      <c r="B875" s="1" t="s">
        <v>57</v>
      </c>
      <c r="C875" s="1" t="s">
        <v>32</v>
      </c>
      <c r="D875" s="1" t="s">
        <v>28</v>
      </c>
      <c r="E875" s="1">
        <v>65</v>
      </c>
      <c r="F875" s="7">
        <v>38967</v>
      </c>
      <c r="G875" s="8">
        <v>127626</v>
      </c>
      <c r="H875" s="9">
        <v>0.1</v>
      </c>
      <c r="I875" s="1" t="s">
        <v>29</v>
      </c>
      <c r="J875" s="1" t="s">
        <v>49</v>
      </c>
      <c r="K875" s="10" t="s">
        <v>36</v>
      </c>
    </row>
    <row r="876" spans="1:11" x14ac:dyDescent="0.25">
      <c r="A876" s="6" t="s">
        <v>78</v>
      </c>
      <c r="B876" s="1" t="s">
        <v>26</v>
      </c>
      <c r="C876" s="1" t="s">
        <v>46</v>
      </c>
      <c r="D876" s="1" t="s">
        <v>33</v>
      </c>
      <c r="E876" s="1">
        <v>61</v>
      </c>
      <c r="F876" s="7">
        <v>38013</v>
      </c>
      <c r="G876" s="8">
        <v>88478</v>
      </c>
      <c r="H876" s="9">
        <v>0</v>
      </c>
      <c r="I876" s="1" t="s">
        <v>29</v>
      </c>
      <c r="J876" s="1" t="s">
        <v>51</v>
      </c>
      <c r="K876" s="10" t="s">
        <v>36</v>
      </c>
    </row>
    <row r="877" spans="1:11" x14ac:dyDescent="0.25">
      <c r="A877" s="6" t="s">
        <v>41</v>
      </c>
      <c r="B877" s="1" t="s">
        <v>26</v>
      </c>
      <c r="C877" s="1" t="s">
        <v>39</v>
      </c>
      <c r="D877" s="1" t="s">
        <v>28</v>
      </c>
      <c r="E877" s="1">
        <v>48</v>
      </c>
      <c r="F877" s="7">
        <v>41749</v>
      </c>
      <c r="G877" s="8">
        <v>91679</v>
      </c>
      <c r="H877" s="9">
        <v>7.0000000000000007E-2</v>
      </c>
      <c r="I877" s="1" t="s">
        <v>34</v>
      </c>
      <c r="J877" s="1" t="s">
        <v>35</v>
      </c>
      <c r="K877" s="10" t="s">
        <v>36</v>
      </c>
    </row>
    <row r="878" spans="1:11" x14ac:dyDescent="0.25">
      <c r="A878" s="6" t="s">
        <v>37</v>
      </c>
      <c r="B878" s="1" t="s">
        <v>45</v>
      </c>
      <c r="C878" s="1" t="s">
        <v>46</v>
      </c>
      <c r="D878" s="1" t="s">
        <v>33</v>
      </c>
      <c r="E878" s="1">
        <v>58</v>
      </c>
      <c r="F878" s="7">
        <v>33682</v>
      </c>
      <c r="G878" s="8">
        <v>199848</v>
      </c>
      <c r="H878" s="9">
        <v>0.16</v>
      </c>
      <c r="I878" s="1" t="s">
        <v>34</v>
      </c>
      <c r="J878" s="1" t="s">
        <v>35</v>
      </c>
      <c r="K878" s="10" t="s">
        <v>36</v>
      </c>
    </row>
    <row r="879" spans="1:11" x14ac:dyDescent="0.25">
      <c r="A879" s="6" t="s">
        <v>79</v>
      </c>
      <c r="B879" s="1" t="s">
        <v>26</v>
      </c>
      <c r="C879" s="1" t="s">
        <v>32</v>
      </c>
      <c r="D879" s="1" t="s">
        <v>33</v>
      </c>
      <c r="E879" s="1">
        <v>34</v>
      </c>
      <c r="F879" s="7">
        <v>43414</v>
      </c>
      <c r="G879" s="8">
        <v>61944</v>
      </c>
      <c r="H879" s="9">
        <v>0</v>
      </c>
      <c r="I879" s="1" t="s">
        <v>34</v>
      </c>
      <c r="J879" s="1" t="s">
        <v>55</v>
      </c>
      <c r="K879" s="10" t="s">
        <v>36</v>
      </c>
    </row>
    <row r="880" spans="1:11" x14ac:dyDescent="0.25">
      <c r="A880" s="6" t="s">
        <v>25</v>
      </c>
      <c r="B880" s="1" t="s">
        <v>45</v>
      </c>
      <c r="C880" s="1" t="s">
        <v>39</v>
      </c>
      <c r="D880" s="1" t="s">
        <v>28</v>
      </c>
      <c r="E880" s="1">
        <v>30</v>
      </c>
      <c r="F880" s="7">
        <v>42960</v>
      </c>
      <c r="G880" s="8">
        <v>154624</v>
      </c>
      <c r="H880" s="9">
        <v>0.15</v>
      </c>
      <c r="I880" s="1" t="s">
        <v>29</v>
      </c>
      <c r="J880" s="1" t="s">
        <v>51</v>
      </c>
      <c r="K880" s="10" t="s">
        <v>36</v>
      </c>
    </row>
    <row r="881" spans="1:11" x14ac:dyDescent="0.25">
      <c r="A881" s="6" t="s">
        <v>42</v>
      </c>
      <c r="B881" s="1" t="s">
        <v>50</v>
      </c>
      <c r="C881" s="1" t="s">
        <v>27</v>
      </c>
      <c r="D881" s="1" t="s">
        <v>33</v>
      </c>
      <c r="E881" s="1">
        <v>50</v>
      </c>
      <c r="F881" s="7">
        <v>40109</v>
      </c>
      <c r="G881" s="8">
        <v>79447</v>
      </c>
      <c r="H881" s="9">
        <v>0</v>
      </c>
      <c r="I881" s="1" t="s">
        <v>34</v>
      </c>
      <c r="J881" s="1" t="s">
        <v>55</v>
      </c>
      <c r="K881" s="10" t="s">
        <v>36</v>
      </c>
    </row>
    <row r="882" spans="1:11" x14ac:dyDescent="0.25">
      <c r="A882" s="6" t="s">
        <v>42</v>
      </c>
      <c r="B882" s="1" t="s">
        <v>45</v>
      </c>
      <c r="C882" s="1" t="s">
        <v>32</v>
      </c>
      <c r="D882" s="1" t="s">
        <v>33</v>
      </c>
      <c r="E882" s="1">
        <v>51</v>
      </c>
      <c r="F882" s="7">
        <v>35852</v>
      </c>
      <c r="G882" s="8">
        <v>71111</v>
      </c>
      <c r="H882" s="9">
        <v>0</v>
      </c>
      <c r="I882" s="1" t="s">
        <v>59</v>
      </c>
      <c r="J882" s="1" t="s">
        <v>61</v>
      </c>
      <c r="K882" s="10" t="s">
        <v>36</v>
      </c>
    </row>
    <row r="883" spans="1:11" x14ac:dyDescent="0.25">
      <c r="A883" s="6" t="s">
        <v>25</v>
      </c>
      <c r="B883" s="1" t="s">
        <v>45</v>
      </c>
      <c r="C883" s="1" t="s">
        <v>27</v>
      </c>
      <c r="D883" s="1" t="s">
        <v>33</v>
      </c>
      <c r="E883" s="1">
        <v>53</v>
      </c>
      <c r="F883" s="7">
        <v>41931</v>
      </c>
      <c r="G883" s="8">
        <v>159538</v>
      </c>
      <c r="H883" s="9">
        <v>0.11</v>
      </c>
      <c r="I883" s="1" t="s">
        <v>29</v>
      </c>
      <c r="J883" s="1" t="s">
        <v>49</v>
      </c>
      <c r="K883" s="10" t="s">
        <v>36</v>
      </c>
    </row>
    <row r="884" spans="1:11" x14ac:dyDescent="0.25">
      <c r="A884" s="6" t="s">
        <v>53</v>
      </c>
      <c r="B884" s="1" t="s">
        <v>54</v>
      </c>
      <c r="C884" s="1" t="s">
        <v>46</v>
      </c>
      <c r="D884" s="1" t="s">
        <v>28</v>
      </c>
      <c r="E884" s="1">
        <v>47</v>
      </c>
      <c r="F884" s="7">
        <v>43375</v>
      </c>
      <c r="G884" s="8">
        <v>111404</v>
      </c>
      <c r="H884" s="9">
        <v>0</v>
      </c>
      <c r="I884" s="1" t="s">
        <v>59</v>
      </c>
      <c r="J884" s="1" t="s">
        <v>61</v>
      </c>
      <c r="K884" s="10" t="s">
        <v>36</v>
      </c>
    </row>
    <row r="885" spans="1:11" x14ac:dyDescent="0.25">
      <c r="A885" s="6" t="s">
        <v>37</v>
      </c>
      <c r="B885" s="1" t="s">
        <v>57</v>
      </c>
      <c r="C885" s="1" t="s">
        <v>39</v>
      </c>
      <c r="D885" s="1" t="s">
        <v>33</v>
      </c>
      <c r="E885" s="1">
        <v>25</v>
      </c>
      <c r="F885" s="7">
        <v>44058</v>
      </c>
      <c r="G885" s="8">
        <v>172007</v>
      </c>
      <c r="H885" s="9">
        <v>0.26</v>
      </c>
      <c r="I885" s="1" t="s">
        <v>29</v>
      </c>
      <c r="J885" s="1" t="s">
        <v>49</v>
      </c>
      <c r="K885" s="10" t="s">
        <v>36</v>
      </c>
    </row>
    <row r="886" spans="1:11" x14ac:dyDescent="0.25">
      <c r="A886" s="6" t="s">
        <v>56</v>
      </c>
      <c r="B886" s="1" t="s">
        <v>57</v>
      </c>
      <c r="C886" s="1" t="s">
        <v>32</v>
      </c>
      <c r="D886" s="1" t="s">
        <v>28</v>
      </c>
      <c r="E886" s="1">
        <v>37</v>
      </c>
      <c r="F886" s="7">
        <v>40745</v>
      </c>
      <c r="G886" s="8">
        <v>219474</v>
      </c>
      <c r="H886" s="9">
        <v>0.36</v>
      </c>
      <c r="I886" s="1" t="s">
        <v>59</v>
      </c>
      <c r="J886" s="1" t="s">
        <v>60</v>
      </c>
      <c r="K886" s="10" t="s">
        <v>36</v>
      </c>
    </row>
    <row r="887" spans="1:11" x14ac:dyDescent="0.25">
      <c r="A887" s="6" t="s">
        <v>37</v>
      </c>
      <c r="B887" s="1" t="s">
        <v>38</v>
      </c>
      <c r="C887" s="1" t="s">
        <v>46</v>
      </c>
      <c r="D887" s="1" t="s">
        <v>33</v>
      </c>
      <c r="E887" s="1">
        <v>41</v>
      </c>
      <c r="F887" s="7">
        <v>43600</v>
      </c>
      <c r="G887" s="8">
        <v>174415</v>
      </c>
      <c r="H887" s="9">
        <v>0.23</v>
      </c>
      <c r="I887" s="1" t="s">
        <v>29</v>
      </c>
      <c r="J887" s="1" t="s">
        <v>49</v>
      </c>
      <c r="K887" s="10" t="s">
        <v>36</v>
      </c>
    </row>
    <row r="888" spans="1:11" x14ac:dyDescent="0.25">
      <c r="A888" s="6" t="s">
        <v>78</v>
      </c>
      <c r="B888" s="1" t="s">
        <v>26</v>
      </c>
      <c r="C888" s="1" t="s">
        <v>39</v>
      </c>
      <c r="D888" s="1" t="s">
        <v>28</v>
      </c>
      <c r="E888" s="1">
        <v>36</v>
      </c>
      <c r="F888" s="7">
        <v>44217</v>
      </c>
      <c r="G888" s="8">
        <v>90333</v>
      </c>
      <c r="H888" s="9">
        <v>0</v>
      </c>
      <c r="I888" s="1" t="s">
        <v>59</v>
      </c>
      <c r="J888" s="1" t="s">
        <v>61</v>
      </c>
      <c r="K888" s="10" t="s">
        <v>36</v>
      </c>
    </row>
    <row r="889" spans="1:11" x14ac:dyDescent="0.25">
      <c r="A889" s="6" t="s">
        <v>70</v>
      </c>
      <c r="B889" s="1" t="s">
        <v>52</v>
      </c>
      <c r="C889" s="1" t="s">
        <v>39</v>
      </c>
      <c r="D889" s="1" t="s">
        <v>33</v>
      </c>
      <c r="E889" s="1">
        <v>25</v>
      </c>
      <c r="F889" s="7">
        <v>44217</v>
      </c>
      <c r="G889" s="8">
        <v>67299</v>
      </c>
      <c r="H889" s="9">
        <v>0</v>
      </c>
      <c r="I889" s="1" t="s">
        <v>29</v>
      </c>
      <c r="J889" s="1" t="s">
        <v>43</v>
      </c>
      <c r="K889" s="10" t="s">
        <v>36</v>
      </c>
    </row>
    <row r="890" spans="1:11" x14ac:dyDescent="0.25">
      <c r="A890" s="6" t="s">
        <v>83</v>
      </c>
      <c r="B890" s="1" t="s">
        <v>26</v>
      </c>
      <c r="C890" s="1" t="s">
        <v>27</v>
      </c>
      <c r="D890" s="1" t="s">
        <v>28</v>
      </c>
      <c r="E890" s="1">
        <v>52</v>
      </c>
      <c r="F890" s="7">
        <v>38406</v>
      </c>
      <c r="G890" s="8">
        <v>45286</v>
      </c>
      <c r="H890" s="9">
        <v>0</v>
      </c>
      <c r="I890" s="1" t="s">
        <v>29</v>
      </c>
      <c r="J890" s="1" t="s">
        <v>40</v>
      </c>
      <c r="K890" s="10" t="s">
        <v>36</v>
      </c>
    </row>
    <row r="891" spans="1:11" x14ac:dyDescent="0.25">
      <c r="A891" s="6" t="s">
        <v>37</v>
      </c>
      <c r="B891" s="1" t="s">
        <v>57</v>
      </c>
      <c r="C891" s="1" t="s">
        <v>27</v>
      </c>
      <c r="D891" s="1" t="s">
        <v>33</v>
      </c>
      <c r="E891" s="1">
        <v>48</v>
      </c>
      <c r="F891" s="7">
        <v>39302</v>
      </c>
      <c r="G891" s="8">
        <v>194723</v>
      </c>
      <c r="H891" s="9">
        <v>0.25</v>
      </c>
      <c r="I891" s="1" t="s">
        <v>29</v>
      </c>
      <c r="J891" s="1" t="s">
        <v>43</v>
      </c>
      <c r="K891" s="10" t="s">
        <v>36</v>
      </c>
    </row>
    <row r="892" spans="1:11" x14ac:dyDescent="0.25">
      <c r="A892" s="6" t="s">
        <v>47</v>
      </c>
      <c r="B892" s="1" t="s">
        <v>45</v>
      </c>
      <c r="C892" s="1" t="s">
        <v>27</v>
      </c>
      <c r="D892" s="1" t="s">
        <v>33</v>
      </c>
      <c r="E892" s="1">
        <v>49</v>
      </c>
      <c r="F892" s="7">
        <v>41131</v>
      </c>
      <c r="G892" s="8">
        <v>109850</v>
      </c>
      <c r="H892" s="9">
        <v>7.0000000000000007E-2</v>
      </c>
      <c r="I892" s="1" t="s">
        <v>34</v>
      </c>
      <c r="J892" s="1" t="s">
        <v>64</v>
      </c>
      <c r="K892" s="10">
        <v>43865</v>
      </c>
    </row>
    <row r="893" spans="1:11" x14ac:dyDescent="0.25">
      <c r="A893" s="6" t="s">
        <v>74</v>
      </c>
      <c r="B893" s="1" t="s">
        <v>52</v>
      </c>
      <c r="C893" s="1" t="s">
        <v>27</v>
      </c>
      <c r="D893" s="1" t="s">
        <v>28</v>
      </c>
      <c r="E893" s="1">
        <v>62</v>
      </c>
      <c r="F893" s="7">
        <v>41748</v>
      </c>
      <c r="G893" s="8">
        <v>45295</v>
      </c>
      <c r="H893" s="9">
        <v>0</v>
      </c>
      <c r="I893" s="1" t="s">
        <v>59</v>
      </c>
      <c r="J893" s="1" t="s">
        <v>76</v>
      </c>
      <c r="K893" s="10" t="s">
        <v>36</v>
      </c>
    </row>
    <row r="894" spans="1:11" x14ac:dyDescent="0.25">
      <c r="A894" s="6" t="s">
        <v>87</v>
      </c>
      <c r="B894" s="1" t="s">
        <v>26</v>
      </c>
      <c r="C894" s="1" t="s">
        <v>32</v>
      </c>
      <c r="D894" s="1" t="s">
        <v>28</v>
      </c>
      <c r="E894" s="1">
        <v>36</v>
      </c>
      <c r="F894" s="7">
        <v>40413</v>
      </c>
      <c r="G894" s="8">
        <v>61310</v>
      </c>
      <c r="H894" s="9">
        <v>0</v>
      </c>
      <c r="I894" s="1" t="s">
        <v>29</v>
      </c>
      <c r="J894" s="1" t="s">
        <v>43</v>
      </c>
      <c r="K894" s="10" t="s">
        <v>36</v>
      </c>
    </row>
    <row r="895" spans="1:11" x14ac:dyDescent="0.25">
      <c r="A895" s="6" t="s">
        <v>82</v>
      </c>
      <c r="B895" s="1" t="s">
        <v>26</v>
      </c>
      <c r="C895" s="1" t="s">
        <v>27</v>
      </c>
      <c r="D895" s="1" t="s">
        <v>33</v>
      </c>
      <c r="E895" s="1">
        <v>55</v>
      </c>
      <c r="F895" s="7">
        <v>42683</v>
      </c>
      <c r="G895" s="8">
        <v>87851</v>
      </c>
      <c r="H895" s="9">
        <v>0</v>
      </c>
      <c r="I895" s="1" t="s">
        <v>34</v>
      </c>
      <c r="J895" s="1" t="s">
        <v>35</v>
      </c>
      <c r="K895" s="10" t="s">
        <v>36</v>
      </c>
    </row>
    <row r="896" spans="1:11" x14ac:dyDescent="0.25">
      <c r="A896" s="6" t="s">
        <v>74</v>
      </c>
      <c r="B896" s="1" t="s">
        <v>52</v>
      </c>
      <c r="C896" s="1" t="s">
        <v>39</v>
      </c>
      <c r="D896" s="1" t="s">
        <v>28</v>
      </c>
      <c r="E896" s="1">
        <v>31</v>
      </c>
      <c r="F896" s="7">
        <v>43171</v>
      </c>
      <c r="G896" s="8">
        <v>47913</v>
      </c>
      <c r="H896" s="9">
        <v>0</v>
      </c>
      <c r="I896" s="1" t="s">
        <v>29</v>
      </c>
      <c r="J896" s="1" t="s">
        <v>30</v>
      </c>
      <c r="K896" s="10" t="s">
        <v>36</v>
      </c>
    </row>
    <row r="897" spans="1:11" x14ac:dyDescent="0.25">
      <c r="A897" s="6" t="s">
        <v>74</v>
      </c>
      <c r="B897" s="1" t="s">
        <v>52</v>
      </c>
      <c r="C897" s="1" t="s">
        <v>39</v>
      </c>
      <c r="D897" s="1" t="s">
        <v>28</v>
      </c>
      <c r="E897" s="1">
        <v>53</v>
      </c>
      <c r="F897" s="7">
        <v>42985</v>
      </c>
      <c r="G897" s="8">
        <v>46727</v>
      </c>
      <c r="H897" s="9">
        <v>0</v>
      </c>
      <c r="I897" s="1" t="s">
        <v>29</v>
      </c>
      <c r="J897" s="1" t="s">
        <v>58</v>
      </c>
      <c r="K897" s="10">
        <v>43251</v>
      </c>
    </row>
    <row r="898" spans="1:11" x14ac:dyDescent="0.25">
      <c r="A898" s="6" t="s">
        <v>25</v>
      </c>
      <c r="B898" s="1" t="s">
        <v>52</v>
      </c>
      <c r="C898" s="1" t="s">
        <v>39</v>
      </c>
      <c r="D898" s="1" t="s">
        <v>33</v>
      </c>
      <c r="E898" s="1">
        <v>27</v>
      </c>
      <c r="F898" s="7">
        <v>44302</v>
      </c>
      <c r="G898" s="8">
        <v>133400</v>
      </c>
      <c r="H898" s="9">
        <v>0.11</v>
      </c>
      <c r="I898" s="1" t="s">
        <v>29</v>
      </c>
      <c r="J898" s="1" t="s">
        <v>43</v>
      </c>
      <c r="K898" s="10" t="s">
        <v>36</v>
      </c>
    </row>
    <row r="899" spans="1:11" x14ac:dyDescent="0.25">
      <c r="A899" s="6" t="s">
        <v>84</v>
      </c>
      <c r="B899" s="1" t="s">
        <v>26</v>
      </c>
      <c r="C899" s="1" t="s">
        <v>39</v>
      </c>
      <c r="D899" s="1" t="s">
        <v>28</v>
      </c>
      <c r="E899" s="1">
        <v>39</v>
      </c>
      <c r="F899" s="7">
        <v>43943</v>
      </c>
      <c r="G899" s="8">
        <v>90535</v>
      </c>
      <c r="H899" s="9">
        <v>0</v>
      </c>
      <c r="I899" s="1" t="s">
        <v>29</v>
      </c>
      <c r="J899" s="1" t="s">
        <v>49</v>
      </c>
      <c r="K899" s="10" t="s">
        <v>36</v>
      </c>
    </row>
    <row r="900" spans="1:11" x14ac:dyDescent="0.25">
      <c r="A900" s="6" t="s">
        <v>42</v>
      </c>
      <c r="B900" s="1" t="s">
        <v>57</v>
      </c>
      <c r="C900" s="1" t="s">
        <v>39</v>
      </c>
      <c r="D900" s="1" t="s">
        <v>33</v>
      </c>
      <c r="E900" s="1">
        <v>55</v>
      </c>
      <c r="F900" s="7">
        <v>38909</v>
      </c>
      <c r="G900" s="8">
        <v>93343</v>
      </c>
      <c r="H900" s="9">
        <v>0</v>
      </c>
      <c r="I900" s="1" t="s">
        <v>34</v>
      </c>
      <c r="J900" s="1" t="s">
        <v>35</v>
      </c>
      <c r="K900" s="10" t="s">
        <v>36</v>
      </c>
    </row>
    <row r="901" spans="1:11" x14ac:dyDescent="0.25">
      <c r="A901" s="6" t="s">
        <v>70</v>
      </c>
      <c r="B901" s="1" t="s">
        <v>52</v>
      </c>
      <c r="C901" s="1" t="s">
        <v>46</v>
      </c>
      <c r="D901" s="1" t="s">
        <v>28</v>
      </c>
      <c r="E901" s="1">
        <v>44</v>
      </c>
      <c r="F901" s="7">
        <v>38771</v>
      </c>
      <c r="G901" s="8">
        <v>63705</v>
      </c>
      <c r="H901" s="9">
        <v>0</v>
      </c>
      <c r="I901" s="1" t="s">
        <v>29</v>
      </c>
      <c r="J901" s="1" t="s">
        <v>49</v>
      </c>
      <c r="K901" s="10" t="s">
        <v>36</v>
      </c>
    </row>
    <row r="902" spans="1:11" x14ac:dyDescent="0.25">
      <c r="A902" s="6" t="s">
        <v>56</v>
      </c>
      <c r="B902" s="1" t="s">
        <v>45</v>
      </c>
      <c r="C902" s="1" t="s">
        <v>46</v>
      </c>
      <c r="D902" s="1" t="s">
        <v>33</v>
      </c>
      <c r="E902" s="1">
        <v>48</v>
      </c>
      <c r="F902" s="7">
        <v>36584</v>
      </c>
      <c r="G902" s="8">
        <v>258081</v>
      </c>
      <c r="H902" s="9">
        <v>0.3</v>
      </c>
      <c r="I902" s="1" t="s">
        <v>29</v>
      </c>
      <c r="J902" s="1" t="s">
        <v>40</v>
      </c>
      <c r="K902" s="10" t="s">
        <v>36</v>
      </c>
    </row>
    <row r="903" spans="1:11" x14ac:dyDescent="0.25">
      <c r="A903" s="6" t="s">
        <v>74</v>
      </c>
      <c r="B903" s="1" t="s">
        <v>52</v>
      </c>
      <c r="C903" s="1" t="s">
        <v>27</v>
      </c>
      <c r="D903" s="1" t="s">
        <v>33</v>
      </c>
      <c r="E903" s="1">
        <v>48</v>
      </c>
      <c r="F903" s="7">
        <v>44095</v>
      </c>
      <c r="G903" s="8">
        <v>54654</v>
      </c>
      <c r="H903" s="9">
        <v>0</v>
      </c>
      <c r="I903" s="1" t="s">
        <v>29</v>
      </c>
      <c r="J903" s="1" t="s">
        <v>43</v>
      </c>
      <c r="K903" s="10" t="s">
        <v>36</v>
      </c>
    </row>
    <row r="904" spans="1:11" x14ac:dyDescent="0.25">
      <c r="A904" s="6" t="s">
        <v>48</v>
      </c>
      <c r="B904" s="1" t="s">
        <v>45</v>
      </c>
      <c r="C904" s="1" t="s">
        <v>32</v>
      </c>
      <c r="D904" s="1" t="s">
        <v>33</v>
      </c>
      <c r="E904" s="1">
        <v>54</v>
      </c>
      <c r="F904" s="7">
        <v>36062</v>
      </c>
      <c r="G904" s="8">
        <v>58006</v>
      </c>
      <c r="H904" s="9">
        <v>0</v>
      </c>
      <c r="I904" s="1" t="s">
        <v>29</v>
      </c>
      <c r="J904" s="1" t="s">
        <v>30</v>
      </c>
      <c r="K904" s="10" t="s">
        <v>36</v>
      </c>
    </row>
    <row r="905" spans="1:11" x14ac:dyDescent="0.25">
      <c r="A905" s="6" t="s">
        <v>25</v>
      </c>
      <c r="B905" s="1" t="s">
        <v>38</v>
      </c>
      <c r="C905" s="1" t="s">
        <v>32</v>
      </c>
      <c r="D905" s="1" t="s">
        <v>28</v>
      </c>
      <c r="E905" s="1">
        <v>42</v>
      </c>
      <c r="F905" s="7">
        <v>40620</v>
      </c>
      <c r="G905" s="8">
        <v>150034</v>
      </c>
      <c r="H905" s="9">
        <v>0.12</v>
      </c>
      <c r="I905" s="1" t="s">
        <v>34</v>
      </c>
      <c r="J905" s="1" t="s">
        <v>64</v>
      </c>
      <c r="K905" s="10" t="s">
        <v>36</v>
      </c>
    </row>
    <row r="906" spans="1:11" x14ac:dyDescent="0.25">
      <c r="A906" s="6" t="s">
        <v>37</v>
      </c>
      <c r="B906" s="1" t="s">
        <v>52</v>
      </c>
      <c r="C906" s="1" t="s">
        <v>39</v>
      </c>
      <c r="D906" s="1" t="s">
        <v>28</v>
      </c>
      <c r="E906" s="1">
        <v>38</v>
      </c>
      <c r="F906" s="7">
        <v>39232</v>
      </c>
      <c r="G906" s="8">
        <v>198562</v>
      </c>
      <c r="H906" s="9">
        <v>0.22</v>
      </c>
      <c r="I906" s="1" t="s">
        <v>29</v>
      </c>
      <c r="J906" s="1" t="s">
        <v>30</v>
      </c>
      <c r="K906" s="10" t="s">
        <v>36</v>
      </c>
    </row>
    <row r="907" spans="1:11" x14ac:dyDescent="0.25">
      <c r="A907" s="6" t="s">
        <v>44</v>
      </c>
      <c r="B907" s="1" t="s">
        <v>45</v>
      </c>
      <c r="C907" s="1" t="s">
        <v>27</v>
      </c>
      <c r="D907" s="1" t="s">
        <v>28</v>
      </c>
      <c r="E907" s="1">
        <v>40</v>
      </c>
      <c r="F907" s="7">
        <v>39960</v>
      </c>
      <c r="G907" s="8">
        <v>62411</v>
      </c>
      <c r="H907" s="9">
        <v>0</v>
      </c>
      <c r="I907" s="1" t="s">
        <v>29</v>
      </c>
      <c r="J907" s="1" t="s">
        <v>49</v>
      </c>
      <c r="K907" s="10">
        <v>44422</v>
      </c>
    </row>
    <row r="908" spans="1:11" x14ac:dyDescent="0.25">
      <c r="A908" s="6" t="s">
        <v>63</v>
      </c>
      <c r="B908" s="1" t="s">
        <v>54</v>
      </c>
      <c r="C908" s="1" t="s">
        <v>27</v>
      </c>
      <c r="D908" s="1" t="s">
        <v>33</v>
      </c>
      <c r="E908" s="1">
        <v>57</v>
      </c>
      <c r="F908" s="7">
        <v>33612</v>
      </c>
      <c r="G908" s="8">
        <v>111299</v>
      </c>
      <c r="H908" s="9">
        <v>0.12</v>
      </c>
      <c r="I908" s="1" t="s">
        <v>29</v>
      </c>
      <c r="J908" s="1" t="s">
        <v>49</v>
      </c>
      <c r="K908" s="10" t="s">
        <v>36</v>
      </c>
    </row>
    <row r="909" spans="1:11" x14ac:dyDescent="0.25">
      <c r="A909" s="6" t="s">
        <v>48</v>
      </c>
      <c r="B909" s="1" t="s">
        <v>57</v>
      </c>
      <c r="C909" s="1" t="s">
        <v>27</v>
      </c>
      <c r="D909" s="1" t="s">
        <v>28</v>
      </c>
      <c r="E909" s="1">
        <v>43</v>
      </c>
      <c r="F909" s="7">
        <v>43659</v>
      </c>
      <c r="G909" s="8">
        <v>41545</v>
      </c>
      <c r="H909" s="9">
        <v>0</v>
      </c>
      <c r="I909" s="1" t="s">
        <v>29</v>
      </c>
      <c r="J909" s="1" t="s">
        <v>49</v>
      </c>
      <c r="K909" s="10" t="s">
        <v>36</v>
      </c>
    </row>
    <row r="910" spans="1:11" x14ac:dyDescent="0.25">
      <c r="A910" s="6" t="s">
        <v>79</v>
      </c>
      <c r="B910" s="1" t="s">
        <v>26</v>
      </c>
      <c r="C910" s="1" t="s">
        <v>32</v>
      </c>
      <c r="D910" s="1" t="s">
        <v>33</v>
      </c>
      <c r="E910" s="1">
        <v>26</v>
      </c>
      <c r="F910" s="7">
        <v>43569</v>
      </c>
      <c r="G910" s="8">
        <v>74467</v>
      </c>
      <c r="H910" s="9">
        <v>0</v>
      </c>
      <c r="I910" s="1" t="s">
        <v>29</v>
      </c>
      <c r="J910" s="1" t="s">
        <v>58</v>
      </c>
      <c r="K910" s="10">
        <v>44211</v>
      </c>
    </row>
    <row r="911" spans="1:11" x14ac:dyDescent="0.25">
      <c r="A911" s="6" t="s">
        <v>47</v>
      </c>
      <c r="B911" s="1" t="s">
        <v>50</v>
      </c>
      <c r="C911" s="1" t="s">
        <v>27</v>
      </c>
      <c r="D911" s="1" t="s">
        <v>33</v>
      </c>
      <c r="E911" s="1">
        <v>44</v>
      </c>
      <c r="F911" s="7">
        <v>37296</v>
      </c>
      <c r="G911" s="8">
        <v>117545</v>
      </c>
      <c r="H911" s="9">
        <v>0.06</v>
      </c>
      <c r="I911" s="1" t="s">
        <v>29</v>
      </c>
      <c r="J911" s="1" t="s">
        <v>43</v>
      </c>
      <c r="K911" s="10" t="s">
        <v>36</v>
      </c>
    </row>
    <row r="912" spans="1:11" x14ac:dyDescent="0.25">
      <c r="A912" s="6" t="s">
        <v>47</v>
      </c>
      <c r="B912" s="1" t="s">
        <v>52</v>
      </c>
      <c r="C912" s="1" t="s">
        <v>39</v>
      </c>
      <c r="D912" s="1" t="s">
        <v>33</v>
      </c>
      <c r="E912" s="1">
        <v>50</v>
      </c>
      <c r="F912" s="7">
        <v>40983</v>
      </c>
      <c r="G912" s="8">
        <v>117226</v>
      </c>
      <c r="H912" s="9">
        <v>0.08</v>
      </c>
      <c r="I912" s="1" t="s">
        <v>29</v>
      </c>
      <c r="J912" s="1" t="s">
        <v>43</v>
      </c>
      <c r="K912" s="10" t="s">
        <v>36</v>
      </c>
    </row>
    <row r="913" spans="1:11" x14ac:dyDescent="0.25">
      <c r="A913" s="6" t="s">
        <v>48</v>
      </c>
      <c r="B913" s="1" t="s">
        <v>50</v>
      </c>
      <c r="C913" s="1" t="s">
        <v>46</v>
      </c>
      <c r="D913" s="1" t="s">
        <v>28</v>
      </c>
      <c r="E913" s="1">
        <v>26</v>
      </c>
      <c r="F913" s="7">
        <v>43489</v>
      </c>
      <c r="G913" s="8">
        <v>55767</v>
      </c>
      <c r="H913" s="9">
        <v>0</v>
      </c>
      <c r="I913" s="1" t="s">
        <v>29</v>
      </c>
      <c r="J913" s="1" t="s">
        <v>43</v>
      </c>
      <c r="K913" s="10" t="s">
        <v>36</v>
      </c>
    </row>
    <row r="914" spans="1:11" x14ac:dyDescent="0.25">
      <c r="A914" s="6" t="s">
        <v>66</v>
      </c>
      <c r="B914" s="1" t="s">
        <v>45</v>
      </c>
      <c r="C914" s="1" t="s">
        <v>32</v>
      </c>
      <c r="D914" s="1" t="s">
        <v>28</v>
      </c>
      <c r="E914" s="1">
        <v>29</v>
      </c>
      <c r="F914" s="7">
        <v>42691</v>
      </c>
      <c r="G914" s="8">
        <v>60930</v>
      </c>
      <c r="H914" s="9">
        <v>0</v>
      </c>
      <c r="I914" s="1" t="s">
        <v>29</v>
      </c>
      <c r="J914" s="1" t="s">
        <v>51</v>
      </c>
      <c r="K914" s="10" t="s">
        <v>36</v>
      </c>
    </row>
    <row r="915" spans="1:11" x14ac:dyDescent="0.25">
      <c r="A915" s="6" t="s">
        <v>37</v>
      </c>
      <c r="B915" s="1" t="s">
        <v>45</v>
      </c>
      <c r="C915" s="1" t="s">
        <v>39</v>
      </c>
      <c r="D915" s="1" t="s">
        <v>28</v>
      </c>
      <c r="E915" s="1">
        <v>27</v>
      </c>
      <c r="F915" s="7">
        <v>43397</v>
      </c>
      <c r="G915" s="8">
        <v>154973</v>
      </c>
      <c r="H915" s="9">
        <v>0.28999999999999998</v>
      </c>
      <c r="I915" s="1" t="s">
        <v>59</v>
      </c>
      <c r="J915" s="1" t="s">
        <v>76</v>
      </c>
      <c r="K915" s="10" t="s">
        <v>36</v>
      </c>
    </row>
    <row r="916" spans="1:11" x14ac:dyDescent="0.25">
      <c r="A916" s="6" t="s">
        <v>75</v>
      </c>
      <c r="B916" s="1" t="s">
        <v>26</v>
      </c>
      <c r="C916" s="1" t="s">
        <v>32</v>
      </c>
      <c r="D916" s="1" t="s">
        <v>28</v>
      </c>
      <c r="E916" s="1">
        <v>33</v>
      </c>
      <c r="F916" s="7">
        <v>43029</v>
      </c>
      <c r="G916" s="8">
        <v>69332</v>
      </c>
      <c r="H916" s="9">
        <v>0</v>
      </c>
      <c r="I916" s="1" t="s">
        <v>29</v>
      </c>
      <c r="J916" s="1" t="s">
        <v>58</v>
      </c>
      <c r="K916" s="10" t="s">
        <v>36</v>
      </c>
    </row>
    <row r="917" spans="1:11" x14ac:dyDescent="0.25">
      <c r="A917" s="6" t="s">
        <v>53</v>
      </c>
      <c r="B917" s="1" t="s">
        <v>54</v>
      </c>
      <c r="C917" s="1" t="s">
        <v>27</v>
      </c>
      <c r="D917" s="1" t="s">
        <v>28</v>
      </c>
      <c r="E917" s="1">
        <v>59</v>
      </c>
      <c r="F917" s="7">
        <v>36990</v>
      </c>
      <c r="G917" s="8">
        <v>119699</v>
      </c>
      <c r="H917" s="9">
        <v>0</v>
      </c>
      <c r="I917" s="1" t="s">
        <v>34</v>
      </c>
      <c r="J917" s="1" t="s">
        <v>55</v>
      </c>
      <c r="K917" s="10" t="s">
        <v>36</v>
      </c>
    </row>
    <row r="918" spans="1:11" x14ac:dyDescent="0.25">
      <c r="A918" s="6" t="s">
        <v>37</v>
      </c>
      <c r="B918" s="1" t="s">
        <v>52</v>
      </c>
      <c r="C918" s="1" t="s">
        <v>39</v>
      </c>
      <c r="D918" s="1" t="s">
        <v>28</v>
      </c>
      <c r="E918" s="1">
        <v>40</v>
      </c>
      <c r="F918" s="7">
        <v>44094</v>
      </c>
      <c r="G918" s="8">
        <v>198176</v>
      </c>
      <c r="H918" s="9">
        <v>0.17</v>
      </c>
      <c r="I918" s="1" t="s">
        <v>59</v>
      </c>
      <c r="J918" s="1" t="s">
        <v>60</v>
      </c>
      <c r="K918" s="10" t="s">
        <v>36</v>
      </c>
    </row>
    <row r="919" spans="1:11" x14ac:dyDescent="0.25">
      <c r="A919" s="6" t="s">
        <v>66</v>
      </c>
      <c r="B919" s="1" t="s">
        <v>38</v>
      </c>
      <c r="C919" s="1" t="s">
        <v>27</v>
      </c>
      <c r="D919" s="1" t="s">
        <v>28</v>
      </c>
      <c r="E919" s="1">
        <v>45</v>
      </c>
      <c r="F919" s="7">
        <v>41127</v>
      </c>
      <c r="G919" s="8">
        <v>58586</v>
      </c>
      <c r="H919" s="9">
        <v>0</v>
      </c>
      <c r="I919" s="1" t="s">
        <v>59</v>
      </c>
      <c r="J919" s="1" t="s">
        <v>76</v>
      </c>
      <c r="K919" s="10" t="s">
        <v>36</v>
      </c>
    </row>
    <row r="920" spans="1:11" x14ac:dyDescent="0.25">
      <c r="A920" s="6" t="s">
        <v>81</v>
      </c>
      <c r="B920" s="1" t="s">
        <v>45</v>
      </c>
      <c r="C920" s="1" t="s">
        <v>46</v>
      </c>
      <c r="D920" s="1" t="s">
        <v>33</v>
      </c>
      <c r="E920" s="1">
        <v>38</v>
      </c>
      <c r="F920" s="7">
        <v>40875</v>
      </c>
      <c r="G920" s="8">
        <v>74010</v>
      </c>
      <c r="H920" s="9">
        <v>0</v>
      </c>
      <c r="I920" s="1" t="s">
        <v>29</v>
      </c>
      <c r="J920" s="1" t="s">
        <v>40</v>
      </c>
      <c r="K920" s="10" t="s">
        <v>36</v>
      </c>
    </row>
    <row r="921" spans="1:11" x14ac:dyDescent="0.25">
      <c r="A921" s="6" t="s">
        <v>81</v>
      </c>
      <c r="B921" s="1" t="s">
        <v>45</v>
      </c>
      <c r="C921" s="1" t="s">
        <v>39</v>
      </c>
      <c r="D921" s="1" t="s">
        <v>33</v>
      </c>
      <c r="E921" s="1">
        <v>32</v>
      </c>
      <c r="F921" s="7">
        <v>43864</v>
      </c>
      <c r="G921" s="8">
        <v>96598</v>
      </c>
      <c r="H921" s="9">
        <v>0</v>
      </c>
      <c r="I921" s="1" t="s">
        <v>29</v>
      </c>
      <c r="J921" s="1" t="s">
        <v>43</v>
      </c>
      <c r="K921" s="10" t="s">
        <v>36</v>
      </c>
    </row>
    <row r="922" spans="1:11" x14ac:dyDescent="0.25">
      <c r="A922" s="6" t="s">
        <v>47</v>
      </c>
      <c r="B922" s="1" t="s">
        <v>45</v>
      </c>
      <c r="C922" s="1" t="s">
        <v>39</v>
      </c>
      <c r="D922" s="1" t="s">
        <v>28</v>
      </c>
      <c r="E922" s="1">
        <v>64</v>
      </c>
      <c r="F922" s="7">
        <v>37762</v>
      </c>
      <c r="G922" s="8">
        <v>106444</v>
      </c>
      <c r="H922" s="9">
        <v>0.05</v>
      </c>
      <c r="I922" s="1" t="s">
        <v>29</v>
      </c>
      <c r="J922" s="1" t="s">
        <v>43</v>
      </c>
      <c r="K922" s="10" t="s">
        <v>36</v>
      </c>
    </row>
    <row r="923" spans="1:11" x14ac:dyDescent="0.25">
      <c r="A923" s="6" t="s">
        <v>37</v>
      </c>
      <c r="B923" s="1" t="s">
        <v>38</v>
      </c>
      <c r="C923" s="1" t="s">
        <v>46</v>
      </c>
      <c r="D923" s="1" t="s">
        <v>33</v>
      </c>
      <c r="E923" s="1">
        <v>31</v>
      </c>
      <c r="F923" s="7">
        <v>42957</v>
      </c>
      <c r="G923" s="8">
        <v>156931</v>
      </c>
      <c r="H923" s="9">
        <v>0.28000000000000003</v>
      </c>
      <c r="I923" s="1" t="s">
        <v>29</v>
      </c>
      <c r="J923" s="1" t="s">
        <v>30</v>
      </c>
      <c r="K923" s="10" t="s">
        <v>36</v>
      </c>
    </row>
    <row r="924" spans="1:11" x14ac:dyDescent="0.25">
      <c r="A924" s="6" t="s">
        <v>37</v>
      </c>
      <c r="B924" s="1" t="s">
        <v>57</v>
      </c>
      <c r="C924" s="1" t="s">
        <v>27</v>
      </c>
      <c r="D924" s="1" t="s">
        <v>28</v>
      </c>
      <c r="E924" s="1">
        <v>43</v>
      </c>
      <c r="F924" s="7">
        <v>41928</v>
      </c>
      <c r="G924" s="8">
        <v>171360</v>
      </c>
      <c r="H924" s="9">
        <v>0.23</v>
      </c>
      <c r="I924" s="1" t="s">
        <v>59</v>
      </c>
      <c r="J924" s="1" t="s">
        <v>60</v>
      </c>
      <c r="K924" s="10" t="s">
        <v>36</v>
      </c>
    </row>
    <row r="925" spans="1:11" x14ac:dyDescent="0.25">
      <c r="A925" s="6" t="s">
        <v>67</v>
      </c>
      <c r="B925" s="1" t="s">
        <v>26</v>
      </c>
      <c r="C925" s="1" t="s">
        <v>27</v>
      </c>
      <c r="D925" s="1" t="s">
        <v>28</v>
      </c>
      <c r="E925" s="1">
        <v>45</v>
      </c>
      <c r="F925" s="7">
        <v>39908</v>
      </c>
      <c r="G925" s="8">
        <v>64505</v>
      </c>
      <c r="H925" s="9">
        <v>0</v>
      </c>
      <c r="I925" s="1" t="s">
        <v>29</v>
      </c>
      <c r="J925" s="1" t="s">
        <v>49</v>
      </c>
      <c r="K925" s="10" t="s">
        <v>36</v>
      </c>
    </row>
    <row r="926" spans="1:11" x14ac:dyDescent="0.25">
      <c r="A926" s="6" t="s">
        <v>63</v>
      </c>
      <c r="B926" s="1" t="s">
        <v>54</v>
      </c>
      <c r="C926" s="1" t="s">
        <v>39</v>
      </c>
      <c r="D926" s="1" t="s">
        <v>33</v>
      </c>
      <c r="E926" s="1">
        <v>32</v>
      </c>
      <c r="F926" s="7">
        <v>44478</v>
      </c>
      <c r="G926" s="8">
        <v>102298</v>
      </c>
      <c r="H926" s="9">
        <v>0.13</v>
      </c>
      <c r="I926" s="1" t="s">
        <v>59</v>
      </c>
      <c r="J926" s="1" t="s">
        <v>61</v>
      </c>
      <c r="K926" s="10" t="s">
        <v>36</v>
      </c>
    </row>
    <row r="927" spans="1:11" x14ac:dyDescent="0.25">
      <c r="A927" s="6" t="s">
        <v>25</v>
      </c>
      <c r="B927" s="1" t="s">
        <v>45</v>
      </c>
      <c r="C927" s="1" t="s">
        <v>46</v>
      </c>
      <c r="D927" s="1" t="s">
        <v>28</v>
      </c>
      <c r="E927" s="1">
        <v>27</v>
      </c>
      <c r="F927" s="7">
        <v>43721</v>
      </c>
      <c r="G927" s="8">
        <v>133297</v>
      </c>
      <c r="H927" s="9">
        <v>0.13</v>
      </c>
      <c r="I927" s="1" t="s">
        <v>59</v>
      </c>
      <c r="J927" s="1" t="s">
        <v>61</v>
      </c>
      <c r="K927" s="10" t="s">
        <v>36</v>
      </c>
    </row>
    <row r="928" spans="1:11" x14ac:dyDescent="0.25">
      <c r="A928" s="6" t="s">
        <v>25</v>
      </c>
      <c r="B928" s="1" t="s">
        <v>52</v>
      </c>
      <c r="C928" s="1" t="s">
        <v>39</v>
      </c>
      <c r="D928" s="1" t="s">
        <v>28</v>
      </c>
      <c r="E928" s="1">
        <v>25</v>
      </c>
      <c r="F928" s="7">
        <v>44272</v>
      </c>
      <c r="G928" s="8">
        <v>155080</v>
      </c>
      <c r="H928" s="9">
        <v>0.1</v>
      </c>
      <c r="I928" s="1" t="s">
        <v>29</v>
      </c>
      <c r="J928" s="1" t="s">
        <v>51</v>
      </c>
      <c r="K928" s="10" t="s">
        <v>36</v>
      </c>
    </row>
    <row r="929" spans="1:11" x14ac:dyDescent="0.25">
      <c r="A929" s="6" t="s">
        <v>42</v>
      </c>
      <c r="B929" s="1" t="s">
        <v>45</v>
      </c>
      <c r="C929" s="1" t="s">
        <v>39</v>
      </c>
      <c r="D929" s="1" t="s">
        <v>33</v>
      </c>
      <c r="E929" s="1">
        <v>31</v>
      </c>
      <c r="F929" s="7">
        <v>43325</v>
      </c>
      <c r="G929" s="8">
        <v>81828</v>
      </c>
      <c r="H929" s="9">
        <v>0</v>
      </c>
      <c r="I929" s="1" t="s">
        <v>29</v>
      </c>
      <c r="J929" s="1" t="s">
        <v>49</v>
      </c>
      <c r="K929" s="10" t="s">
        <v>36</v>
      </c>
    </row>
    <row r="930" spans="1:11" x14ac:dyDescent="0.25">
      <c r="A930" s="6" t="s">
        <v>25</v>
      </c>
      <c r="B930" s="1" t="s">
        <v>57</v>
      </c>
      <c r="C930" s="1" t="s">
        <v>46</v>
      </c>
      <c r="D930" s="1" t="s">
        <v>28</v>
      </c>
      <c r="E930" s="1">
        <v>65</v>
      </c>
      <c r="F930" s="7">
        <v>36823</v>
      </c>
      <c r="G930" s="8">
        <v>149417</v>
      </c>
      <c r="H930" s="9">
        <v>0.13</v>
      </c>
      <c r="I930" s="1" t="s">
        <v>34</v>
      </c>
      <c r="J930" s="1" t="s">
        <v>68</v>
      </c>
      <c r="K930" s="10" t="s">
        <v>36</v>
      </c>
    </row>
    <row r="931" spans="1:11" x14ac:dyDescent="0.25">
      <c r="A931" s="6" t="s">
        <v>47</v>
      </c>
      <c r="B931" s="1" t="s">
        <v>45</v>
      </c>
      <c r="C931" s="1" t="s">
        <v>46</v>
      </c>
      <c r="D931" s="1" t="s">
        <v>33</v>
      </c>
      <c r="E931" s="1">
        <v>50</v>
      </c>
      <c r="F931" s="7">
        <v>41024</v>
      </c>
      <c r="G931" s="8">
        <v>113269</v>
      </c>
      <c r="H931" s="9">
        <v>0.09</v>
      </c>
      <c r="I931" s="1" t="s">
        <v>59</v>
      </c>
      <c r="J931" s="1" t="s">
        <v>76</v>
      </c>
      <c r="K931" s="10" t="s">
        <v>36</v>
      </c>
    </row>
    <row r="932" spans="1:11" x14ac:dyDescent="0.25">
      <c r="A932" s="6" t="s">
        <v>25</v>
      </c>
      <c r="B932" s="1" t="s">
        <v>26</v>
      </c>
      <c r="C932" s="1" t="s">
        <v>32</v>
      </c>
      <c r="D932" s="1" t="s">
        <v>33</v>
      </c>
      <c r="E932" s="1">
        <v>46</v>
      </c>
      <c r="F932" s="7">
        <v>43085</v>
      </c>
      <c r="G932" s="8">
        <v>136716</v>
      </c>
      <c r="H932" s="9">
        <v>0.12</v>
      </c>
      <c r="I932" s="1" t="s">
        <v>29</v>
      </c>
      <c r="J932" s="1" t="s">
        <v>51</v>
      </c>
      <c r="K932" s="10" t="s">
        <v>36</v>
      </c>
    </row>
    <row r="933" spans="1:11" x14ac:dyDescent="0.25">
      <c r="A933" s="6" t="s">
        <v>25</v>
      </c>
      <c r="B933" s="1" t="s">
        <v>45</v>
      </c>
      <c r="C933" s="1" t="s">
        <v>39</v>
      </c>
      <c r="D933" s="1" t="s">
        <v>33</v>
      </c>
      <c r="E933" s="1">
        <v>54</v>
      </c>
      <c r="F933" s="7">
        <v>40836</v>
      </c>
      <c r="G933" s="8">
        <v>122644</v>
      </c>
      <c r="H933" s="9">
        <v>0.12</v>
      </c>
      <c r="I933" s="1" t="s">
        <v>29</v>
      </c>
      <c r="J933" s="1" t="s">
        <v>51</v>
      </c>
      <c r="K933" s="10" t="s">
        <v>36</v>
      </c>
    </row>
    <row r="934" spans="1:11" x14ac:dyDescent="0.25">
      <c r="A934" s="6" t="s">
        <v>47</v>
      </c>
      <c r="B934" s="1" t="s">
        <v>45</v>
      </c>
      <c r="C934" s="1" t="s">
        <v>27</v>
      </c>
      <c r="D934" s="1" t="s">
        <v>28</v>
      </c>
      <c r="E934" s="1">
        <v>50</v>
      </c>
      <c r="F934" s="7">
        <v>36653</v>
      </c>
      <c r="G934" s="8">
        <v>106428</v>
      </c>
      <c r="H934" s="9">
        <v>7.0000000000000007E-2</v>
      </c>
      <c r="I934" s="1" t="s">
        <v>29</v>
      </c>
      <c r="J934" s="1" t="s">
        <v>40</v>
      </c>
      <c r="K934" s="10" t="s">
        <v>36</v>
      </c>
    </row>
    <row r="935" spans="1:11" x14ac:dyDescent="0.25">
      <c r="A935" s="6" t="s">
        <v>56</v>
      </c>
      <c r="B935" s="1" t="s">
        <v>38</v>
      </c>
      <c r="C935" s="1" t="s">
        <v>46</v>
      </c>
      <c r="D935" s="1" t="s">
        <v>33</v>
      </c>
      <c r="E935" s="1">
        <v>36</v>
      </c>
      <c r="F935" s="7">
        <v>39830</v>
      </c>
      <c r="G935" s="8">
        <v>238236</v>
      </c>
      <c r="H935" s="9">
        <v>0.31</v>
      </c>
      <c r="I935" s="1" t="s">
        <v>29</v>
      </c>
      <c r="J935" s="1" t="s">
        <v>30</v>
      </c>
      <c r="K935" s="10" t="s">
        <v>36</v>
      </c>
    </row>
    <row r="936" spans="1:11" x14ac:dyDescent="0.25">
      <c r="A936" s="6" t="s">
        <v>37</v>
      </c>
      <c r="B936" s="1" t="s">
        <v>38</v>
      </c>
      <c r="C936" s="1" t="s">
        <v>46</v>
      </c>
      <c r="D936" s="1" t="s">
        <v>28</v>
      </c>
      <c r="E936" s="1">
        <v>64</v>
      </c>
      <c r="F936" s="7">
        <v>41264</v>
      </c>
      <c r="G936" s="8">
        <v>153253</v>
      </c>
      <c r="H936" s="9">
        <v>0.24</v>
      </c>
      <c r="I936" s="1" t="s">
        <v>29</v>
      </c>
      <c r="J936" s="1" t="s">
        <v>51</v>
      </c>
      <c r="K936" s="10" t="s">
        <v>36</v>
      </c>
    </row>
    <row r="937" spans="1:11" x14ac:dyDescent="0.25">
      <c r="A937" s="6" t="s">
        <v>47</v>
      </c>
      <c r="B937" s="1" t="s">
        <v>50</v>
      </c>
      <c r="C937" s="1" t="s">
        <v>32</v>
      </c>
      <c r="D937" s="1" t="s">
        <v>28</v>
      </c>
      <c r="E937" s="1">
        <v>34</v>
      </c>
      <c r="F937" s="7">
        <v>41915</v>
      </c>
      <c r="G937" s="8">
        <v>103707</v>
      </c>
      <c r="H937" s="9">
        <v>0.09</v>
      </c>
      <c r="I937" s="1" t="s">
        <v>29</v>
      </c>
      <c r="J937" s="1" t="s">
        <v>58</v>
      </c>
      <c r="K937" s="10" t="s">
        <v>36</v>
      </c>
    </row>
    <row r="938" spans="1:11" x14ac:dyDescent="0.25">
      <c r="A938" s="6" t="s">
        <v>56</v>
      </c>
      <c r="B938" s="1" t="s">
        <v>50</v>
      </c>
      <c r="C938" s="1" t="s">
        <v>39</v>
      </c>
      <c r="D938" s="1" t="s">
        <v>28</v>
      </c>
      <c r="E938" s="1">
        <v>41</v>
      </c>
      <c r="F938" s="7">
        <v>41130</v>
      </c>
      <c r="G938" s="8">
        <v>245360</v>
      </c>
      <c r="H938" s="9">
        <v>0.37</v>
      </c>
      <c r="I938" s="1" t="s">
        <v>29</v>
      </c>
      <c r="J938" s="1" t="s">
        <v>51</v>
      </c>
      <c r="K938" s="10" t="s">
        <v>36</v>
      </c>
    </row>
    <row r="939" spans="1:11" x14ac:dyDescent="0.25">
      <c r="A939" s="6" t="s">
        <v>80</v>
      </c>
      <c r="B939" s="1" t="s">
        <v>54</v>
      </c>
      <c r="C939" s="1" t="s">
        <v>39</v>
      </c>
      <c r="D939" s="1" t="s">
        <v>33</v>
      </c>
      <c r="E939" s="1">
        <v>25</v>
      </c>
      <c r="F939" s="7">
        <v>44385</v>
      </c>
      <c r="G939" s="8">
        <v>67275</v>
      </c>
      <c r="H939" s="9">
        <v>0</v>
      </c>
      <c r="I939" s="1" t="s">
        <v>29</v>
      </c>
      <c r="J939" s="1" t="s">
        <v>58</v>
      </c>
      <c r="K939" s="10" t="s">
        <v>36</v>
      </c>
    </row>
    <row r="940" spans="1:11" x14ac:dyDescent="0.25">
      <c r="A940" s="6" t="s">
        <v>47</v>
      </c>
      <c r="B940" s="1" t="s">
        <v>26</v>
      </c>
      <c r="C940" s="1" t="s">
        <v>32</v>
      </c>
      <c r="D940" s="1" t="s">
        <v>33</v>
      </c>
      <c r="E940" s="1">
        <v>45</v>
      </c>
      <c r="F940" s="7">
        <v>42026</v>
      </c>
      <c r="G940" s="8">
        <v>101288</v>
      </c>
      <c r="H940" s="9">
        <v>0.1</v>
      </c>
      <c r="I940" s="1" t="s">
        <v>29</v>
      </c>
      <c r="J940" s="1" t="s">
        <v>43</v>
      </c>
      <c r="K940" s="10" t="s">
        <v>36</v>
      </c>
    </row>
    <row r="941" spans="1:11" x14ac:dyDescent="0.25">
      <c r="A941" s="6" t="s">
        <v>37</v>
      </c>
      <c r="B941" s="1" t="s">
        <v>52</v>
      </c>
      <c r="C941" s="1" t="s">
        <v>39</v>
      </c>
      <c r="D941" s="1" t="s">
        <v>28</v>
      </c>
      <c r="E941" s="1">
        <v>52</v>
      </c>
      <c r="F941" s="7">
        <v>34209</v>
      </c>
      <c r="G941" s="8">
        <v>177443</v>
      </c>
      <c r="H941" s="9">
        <v>0.25</v>
      </c>
      <c r="I941" s="1" t="s">
        <v>59</v>
      </c>
      <c r="J941" s="1" t="s">
        <v>76</v>
      </c>
      <c r="K941" s="10" t="s">
        <v>36</v>
      </c>
    </row>
    <row r="942" spans="1:11" x14ac:dyDescent="0.25">
      <c r="A942" s="6" t="s">
        <v>75</v>
      </c>
      <c r="B942" s="1" t="s">
        <v>26</v>
      </c>
      <c r="C942" s="1" t="s">
        <v>32</v>
      </c>
      <c r="D942" s="1" t="s">
        <v>28</v>
      </c>
      <c r="E942" s="1">
        <v>37</v>
      </c>
      <c r="F942" s="7">
        <v>42487</v>
      </c>
      <c r="G942" s="8">
        <v>91400</v>
      </c>
      <c r="H942" s="9">
        <v>0</v>
      </c>
      <c r="I942" s="1" t="s">
        <v>29</v>
      </c>
      <c r="J942" s="1" t="s">
        <v>40</v>
      </c>
      <c r="K942" s="10" t="s">
        <v>36</v>
      </c>
    </row>
    <row r="943" spans="1:11" x14ac:dyDescent="0.25">
      <c r="A943" s="6" t="s">
        <v>56</v>
      </c>
      <c r="B943" s="1" t="s">
        <v>52</v>
      </c>
      <c r="C943" s="1" t="s">
        <v>46</v>
      </c>
      <c r="D943" s="1" t="s">
        <v>33</v>
      </c>
      <c r="E943" s="1">
        <v>44</v>
      </c>
      <c r="F943" s="7">
        <v>39335</v>
      </c>
      <c r="G943" s="8">
        <v>181247</v>
      </c>
      <c r="H943" s="9">
        <v>0.33</v>
      </c>
      <c r="I943" s="1" t="s">
        <v>59</v>
      </c>
      <c r="J943" s="1" t="s">
        <v>76</v>
      </c>
      <c r="K943" s="10" t="s">
        <v>36</v>
      </c>
    </row>
    <row r="944" spans="1:11" x14ac:dyDescent="0.25">
      <c r="A944" s="6" t="s">
        <v>25</v>
      </c>
      <c r="B944" s="1" t="s">
        <v>52</v>
      </c>
      <c r="C944" s="1" t="s">
        <v>27</v>
      </c>
      <c r="D944" s="1" t="s">
        <v>33</v>
      </c>
      <c r="E944" s="1">
        <v>42</v>
      </c>
      <c r="F944" s="7">
        <v>37914</v>
      </c>
      <c r="G944" s="8">
        <v>135558</v>
      </c>
      <c r="H944" s="9">
        <v>0.14000000000000001</v>
      </c>
      <c r="I944" s="1" t="s">
        <v>29</v>
      </c>
      <c r="J944" s="1" t="s">
        <v>43</v>
      </c>
      <c r="K944" s="10" t="s">
        <v>36</v>
      </c>
    </row>
    <row r="945" spans="1:11" x14ac:dyDescent="0.25">
      <c r="A945" s="6" t="s">
        <v>48</v>
      </c>
      <c r="B945" s="1" t="s">
        <v>50</v>
      </c>
      <c r="C945" s="1" t="s">
        <v>39</v>
      </c>
      <c r="D945" s="1" t="s">
        <v>33</v>
      </c>
      <c r="E945" s="1">
        <v>49</v>
      </c>
      <c r="F945" s="7">
        <v>40894</v>
      </c>
      <c r="G945" s="8">
        <v>56878</v>
      </c>
      <c r="H945" s="9">
        <v>0</v>
      </c>
      <c r="I945" s="1" t="s">
        <v>29</v>
      </c>
      <c r="J945" s="1" t="s">
        <v>30</v>
      </c>
      <c r="K945" s="10" t="s">
        <v>36</v>
      </c>
    </row>
    <row r="946" spans="1:11" x14ac:dyDescent="0.25">
      <c r="A946" s="6" t="s">
        <v>85</v>
      </c>
      <c r="B946" s="1" t="s">
        <v>26</v>
      </c>
      <c r="C946" s="1" t="s">
        <v>39</v>
      </c>
      <c r="D946" s="1" t="s">
        <v>33</v>
      </c>
      <c r="E946" s="1">
        <v>34</v>
      </c>
      <c r="F946" s="7">
        <v>43728</v>
      </c>
      <c r="G946" s="8">
        <v>94735</v>
      </c>
      <c r="H946" s="9">
        <v>0</v>
      </c>
      <c r="I946" s="1" t="s">
        <v>34</v>
      </c>
      <c r="J946" s="1" t="s">
        <v>64</v>
      </c>
      <c r="K946" s="10" t="s">
        <v>36</v>
      </c>
    </row>
    <row r="947" spans="1:11" x14ac:dyDescent="0.25">
      <c r="A947" s="6" t="s">
        <v>66</v>
      </c>
      <c r="B947" s="1" t="s">
        <v>45</v>
      </c>
      <c r="C947" s="1" t="s">
        <v>32</v>
      </c>
      <c r="D947" s="1" t="s">
        <v>33</v>
      </c>
      <c r="E947" s="1">
        <v>39</v>
      </c>
      <c r="F947" s="7">
        <v>39229</v>
      </c>
      <c r="G947" s="8">
        <v>51234</v>
      </c>
      <c r="H947" s="9">
        <v>0</v>
      </c>
      <c r="I947" s="1" t="s">
        <v>29</v>
      </c>
      <c r="J947" s="1" t="s">
        <v>30</v>
      </c>
      <c r="K947" s="10" t="s">
        <v>36</v>
      </c>
    </row>
    <row r="948" spans="1:11" x14ac:dyDescent="0.25">
      <c r="A948" s="6" t="s">
        <v>56</v>
      </c>
      <c r="B948" s="1" t="s">
        <v>52</v>
      </c>
      <c r="C948" s="1" t="s">
        <v>39</v>
      </c>
      <c r="D948" s="1" t="s">
        <v>33</v>
      </c>
      <c r="E948" s="1">
        <v>31</v>
      </c>
      <c r="F948" s="7">
        <v>42018</v>
      </c>
      <c r="G948" s="8">
        <v>230025</v>
      </c>
      <c r="H948" s="9">
        <v>0.34</v>
      </c>
      <c r="I948" s="1" t="s">
        <v>29</v>
      </c>
      <c r="J948" s="1" t="s">
        <v>43</v>
      </c>
      <c r="K948" s="10" t="s">
        <v>36</v>
      </c>
    </row>
    <row r="949" spans="1:11" x14ac:dyDescent="0.25">
      <c r="A949" s="6" t="s">
        <v>25</v>
      </c>
      <c r="B949" s="1" t="s">
        <v>52</v>
      </c>
      <c r="C949" s="1" t="s">
        <v>39</v>
      </c>
      <c r="D949" s="1" t="s">
        <v>28</v>
      </c>
      <c r="E949" s="1">
        <v>36</v>
      </c>
      <c r="F949" s="7">
        <v>40248</v>
      </c>
      <c r="G949" s="8">
        <v>134006</v>
      </c>
      <c r="H949" s="9">
        <v>0.13</v>
      </c>
      <c r="I949" s="1" t="s">
        <v>34</v>
      </c>
      <c r="J949" s="1" t="s">
        <v>64</v>
      </c>
      <c r="K949" s="10" t="s">
        <v>36</v>
      </c>
    </row>
    <row r="950" spans="1:11" x14ac:dyDescent="0.25">
      <c r="A950" s="6" t="s">
        <v>47</v>
      </c>
      <c r="B950" s="1" t="s">
        <v>38</v>
      </c>
      <c r="C950" s="1" t="s">
        <v>46</v>
      </c>
      <c r="D950" s="1" t="s">
        <v>28</v>
      </c>
      <c r="E950" s="1">
        <v>61</v>
      </c>
      <c r="F950" s="7">
        <v>40092</v>
      </c>
      <c r="G950" s="8">
        <v>103096</v>
      </c>
      <c r="H950" s="9">
        <v>7.0000000000000007E-2</v>
      </c>
      <c r="I950" s="1" t="s">
        <v>34</v>
      </c>
      <c r="J950" s="1" t="s">
        <v>64</v>
      </c>
      <c r="K950" s="10" t="s">
        <v>36</v>
      </c>
    </row>
    <row r="951" spans="1:11" x14ac:dyDescent="0.25">
      <c r="A951" s="6" t="s">
        <v>48</v>
      </c>
      <c r="B951" s="1" t="s">
        <v>50</v>
      </c>
      <c r="C951" s="1" t="s">
        <v>32</v>
      </c>
      <c r="D951" s="1" t="s">
        <v>33</v>
      </c>
      <c r="E951" s="1">
        <v>29</v>
      </c>
      <c r="F951" s="7">
        <v>42602</v>
      </c>
      <c r="G951" s="8">
        <v>58703</v>
      </c>
      <c r="H951" s="9">
        <v>0</v>
      </c>
      <c r="I951" s="1" t="s">
        <v>29</v>
      </c>
      <c r="J951" s="1" t="s">
        <v>58</v>
      </c>
      <c r="K951" s="10" t="s">
        <v>36</v>
      </c>
    </row>
    <row r="952" spans="1:11" x14ac:dyDescent="0.25">
      <c r="A952" s="6" t="s">
        <v>25</v>
      </c>
      <c r="B952" s="1" t="s">
        <v>26</v>
      </c>
      <c r="C952" s="1" t="s">
        <v>39</v>
      </c>
      <c r="D952" s="1" t="s">
        <v>33</v>
      </c>
      <c r="E952" s="1">
        <v>33</v>
      </c>
      <c r="F952" s="7">
        <v>41267</v>
      </c>
      <c r="G952" s="8">
        <v>132544</v>
      </c>
      <c r="H952" s="9">
        <v>0.1</v>
      </c>
      <c r="I952" s="1" t="s">
        <v>59</v>
      </c>
      <c r="J952" s="1" t="s">
        <v>61</v>
      </c>
      <c r="K952" s="10" t="s">
        <v>36</v>
      </c>
    </row>
    <row r="953" spans="1:11" x14ac:dyDescent="0.25">
      <c r="A953" s="6" t="s">
        <v>47</v>
      </c>
      <c r="B953" s="1" t="s">
        <v>38</v>
      </c>
      <c r="C953" s="1" t="s">
        <v>32</v>
      </c>
      <c r="D953" s="1" t="s">
        <v>33</v>
      </c>
      <c r="E953" s="1">
        <v>32</v>
      </c>
      <c r="F953" s="7">
        <v>43936</v>
      </c>
      <c r="G953" s="8">
        <v>126671</v>
      </c>
      <c r="H953" s="9">
        <v>0.09</v>
      </c>
      <c r="I953" s="1" t="s">
        <v>29</v>
      </c>
      <c r="J953" s="1" t="s">
        <v>49</v>
      </c>
      <c r="K953" s="10" t="s">
        <v>36</v>
      </c>
    </row>
    <row r="954" spans="1:11" x14ac:dyDescent="0.25">
      <c r="A954" s="6" t="s">
        <v>44</v>
      </c>
      <c r="B954" s="1" t="s">
        <v>45</v>
      </c>
      <c r="C954" s="1" t="s">
        <v>27</v>
      </c>
      <c r="D954" s="1" t="s">
        <v>28</v>
      </c>
      <c r="E954" s="1">
        <v>33</v>
      </c>
      <c r="F954" s="7">
        <v>44218</v>
      </c>
      <c r="G954" s="8">
        <v>56405</v>
      </c>
      <c r="H954" s="9">
        <v>0</v>
      </c>
      <c r="I954" s="1" t="s">
        <v>29</v>
      </c>
      <c r="J954" s="1" t="s">
        <v>40</v>
      </c>
      <c r="K954" s="10" t="s">
        <v>36</v>
      </c>
    </row>
    <row r="955" spans="1:11" x14ac:dyDescent="0.25">
      <c r="A955" s="6" t="s">
        <v>41</v>
      </c>
      <c r="B955" s="1" t="s">
        <v>26</v>
      </c>
      <c r="C955" s="1" t="s">
        <v>39</v>
      </c>
      <c r="D955" s="1" t="s">
        <v>28</v>
      </c>
      <c r="E955" s="1">
        <v>36</v>
      </c>
      <c r="F955" s="7">
        <v>41972</v>
      </c>
      <c r="G955" s="8">
        <v>88730</v>
      </c>
      <c r="H955" s="9">
        <v>0.08</v>
      </c>
      <c r="I955" s="1" t="s">
        <v>34</v>
      </c>
      <c r="J955" s="1" t="s">
        <v>35</v>
      </c>
      <c r="K955" s="10" t="s">
        <v>36</v>
      </c>
    </row>
    <row r="956" spans="1:11" x14ac:dyDescent="0.25">
      <c r="A956" s="6" t="s">
        <v>66</v>
      </c>
      <c r="B956" s="1" t="s">
        <v>38</v>
      </c>
      <c r="C956" s="1" t="s">
        <v>32</v>
      </c>
      <c r="D956" s="1" t="s">
        <v>33</v>
      </c>
      <c r="E956" s="1">
        <v>39</v>
      </c>
      <c r="F956" s="7">
        <v>39708</v>
      </c>
      <c r="G956" s="8">
        <v>62861</v>
      </c>
      <c r="H956" s="9">
        <v>0</v>
      </c>
      <c r="I956" s="1" t="s">
        <v>29</v>
      </c>
      <c r="J956" s="1" t="s">
        <v>30</v>
      </c>
      <c r="K956" s="10" t="s">
        <v>36</v>
      </c>
    </row>
    <row r="957" spans="1:11" x14ac:dyDescent="0.25">
      <c r="A957" s="6" t="s">
        <v>37</v>
      </c>
      <c r="B957" s="1" t="s">
        <v>52</v>
      </c>
      <c r="C957" s="1" t="s">
        <v>46</v>
      </c>
      <c r="D957" s="1" t="s">
        <v>28</v>
      </c>
      <c r="E957" s="1">
        <v>53</v>
      </c>
      <c r="F957" s="7">
        <v>38919</v>
      </c>
      <c r="G957" s="8">
        <v>151246</v>
      </c>
      <c r="H957" s="9">
        <v>0.21</v>
      </c>
      <c r="I957" s="1" t="s">
        <v>59</v>
      </c>
      <c r="J957" s="1" t="s">
        <v>76</v>
      </c>
      <c r="K957" s="10" t="s">
        <v>36</v>
      </c>
    </row>
    <row r="958" spans="1:11" x14ac:dyDescent="0.25">
      <c r="A958" s="6" t="s">
        <v>25</v>
      </c>
      <c r="B958" s="1" t="s">
        <v>26</v>
      </c>
      <c r="C958" s="1" t="s">
        <v>32</v>
      </c>
      <c r="D958" s="1" t="s">
        <v>28</v>
      </c>
      <c r="E958" s="1">
        <v>53</v>
      </c>
      <c r="F958" s="7">
        <v>35532</v>
      </c>
      <c r="G958" s="8">
        <v>154388</v>
      </c>
      <c r="H958" s="9">
        <v>0.1</v>
      </c>
      <c r="I958" s="1" t="s">
        <v>29</v>
      </c>
      <c r="J958" s="1" t="s">
        <v>30</v>
      </c>
      <c r="K958" s="10" t="s">
        <v>36</v>
      </c>
    </row>
    <row r="959" spans="1:11" x14ac:dyDescent="0.25">
      <c r="A959" s="6" t="s">
        <v>37</v>
      </c>
      <c r="B959" s="1" t="s">
        <v>52</v>
      </c>
      <c r="C959" s="1" t="s">
        <v>32</v>
      </c>
      <c r="D959" s="1" t="s">
        <v>28</v>
      </c>
      <c r="E959" s="1">
        <v>54</v>
      </c>
      <c r="F959" s="7">
        <v>34603</v>
      </c>
      <c r="G959" s="8">
        <v>162978</v>
      </c>
      <c r="H959" s="9">
        <v>0.17</v>
      </c>
      <c r="I959" s="1" t="s">
        <v>29</v>
      </c>
      <c r="J959" s="1" t="s">
        <v>49</v>
      </c>
      <c r="K959" s="10">
        <v>38131</v>
      </c>
    </row>
    <row r="960" spans="1:11" x14ac:dyDescent="0.25">
      <c r="A960" s="6" t="s">
        <v>84</v>
      </c>
      <c r="B960" s="1" t="s">
        <v>26</v>
      </c>
      <c r="C960" s="1" t="s">
        <v>39</v>
      </c>
      <c r="D960" s="1" t="s">
        <v>33</v>
      </c>
      <c r="E960" s="1">
        <v>55</v>
      </c>
      <c r="F960" s="7">
        <v>34290</v>
      </c>
      <c r="G960" s="8">
        <v>80170</v>
      </c>
      <c r="H960" s="9">
        <v>0</v>
      </c>
      <c r="I960" s="1" t="s">
        <v>29</v>
      </c>
      <c r="J960" s="1" t="s">
        <v>49</v>
      </c>
      <c r="K960" s="10" t="s">
        <v>36</v>
      </c>
    </row>
    <row r="961" spans="1:11" x14ac:dyDescent="0.25">
      <c r="A961" s="6" t="s">
        <v>42</v>
      </c>
      <c r="B961" s="1" t="s">
        <v>50</v>
      </c>
      <c r="C961" s="1" t="s">
        <v>32</v>
      </c>
      <c r="D961" s="1" t="s">
        <v>28</v>
      </c>
      <c r="E961" s="1">
        <v>44</v>
      </c>
      <c r="F961" s="7">
        <v>44314</v>
      </c>
      <c r="G961" s="8">
        <v>98520</v>
      </c>
      <c r="H961" s="9">
        <v>0</v>
      </c>
      <c r="I961" s="1" t="s">
        <v>29</v>
      </c>
      <c r="J961" s="1" t="s">
        <v>49</v>
      </c>
      <c r="K961" s="10" t="s">
        <v>36</v>
      </c>
    </row>
    <row r="962" spans="1:11" x14ac:dyDescent="0.25">
      <c r="A962" s="6" t="s">
        <v>47</v>
      </c>
      <c r="B962" s="1" t="s">
        <v>38</v>
      </c>
      <c r="C962" s="1" t="s">
        <v>32</v>
      </c>
      <c r="D962" s="1" t="s">
        <v>33</v>
      </c>
      <c r="E962" s="1">
        <v>52</v>
      </c>
      <c r="F962" s="7">
        <v>36523</v>
      </c>
      <c r="G962" s="8">
        <v>116527</v>
      </c>
      <c r="H962" s="9">
        <v>7.0000000000000007E-2</v>
      </c>
      <c r="I962" s="1" t="s">
        <v>29</v>
      </c>
      <c r="J962" s="1" t="s">
        <v>43</v>
      </c>
      <c r="K962" s="10" t="s">
        <v>36</v>
      </c>
    </row>
    <row r="963" spans="1:11" x14ac:dyDescent="0.25">
      <c r="A963" s="6" t="s">
        <v>37</v>
      </c>
      <c r="B963" s="1" t="s">
        <v>45</v>
      </c>
      <c r="C963" s="1" t="s">
        <v>27</v>
      </c>
      <c r="D963" s="1" t="s">
        <v>33</v>
      </c>
      <c r="E963" s="1">
        <v>27</v>
      </c>
      <c r="F963" s="7">
        <v>43776</v>
      </c>
      <c r="G963" s="8">
        <v>174607</v>
      </c>
      <c r="H963" s="9">
        <v>0.28999999999999998</v>
      </c>
      <c r="I963" s="1" t="s">
        <v>29</v>
      </c>
      <c r="J963" s="1" t="s">
        <v>58</v>
      </c>
      <c r="K963" s="10" t="s">
        <v>36</v>
      </c>
    </row>
    <row r="964" spans="1:11" x14ac:dyDescent="0.25">
      <c r="A964" s="6" t="s">
        <v>66</v>
      </c>
      <c r="B964" s="1" t="s">
        <v>50</v>
      </c>
      <c r="C964" s="1" t="s">
        <v>27</v>
      </c>
      <c r="D964" s="1" t="s">
        <v>33</v>
      </c>
      <c r="E964" s="1">
        <v>58</v>
      </c>
      <c r="F964" s="7">
        <v>38819</v>
      </c>
      <c r="G964" s="8">
        <v>64202</v>
      </c>
      <c r="H964" s="9">
        <v>0</v>
      </c>
      <c r="I964" s="1" t="s">
        <v>29</v>
      </c>
      <c r="J964" s="1" t="s">
        <v>58</v>
      </c>
      <c r="K964" s="10" t="s">
        <v>36</v>
      </c>
    </row>
    <row r="965" spans="1:11" x14ac:dyDescent="0.25">
      <c r="A965" s="6" t="s">
        <v>66</v>
      </c>
      <c r="B965" s="1" t="s">
        <v>50</v>
      </c>
      <c r="C965" s="1" t="s">
        <v>46</v>
      </c>
      <c r="D965" s="1" t="s">
        <v>33</v>
      </c>
      <c r="E965" s="1">
        <v>49</v>
      </c>
      <c r="F965" s="7">
        <v>43671</v>
      </c>
      <c r="G965" s="8">
        <v>50883</v>
      </c>
      <c r="H965" s="9">
        <v>0</v>
      </c>
      <c r="I965" s="1" t="s">
        <v>34</v>
      </c>
      <c r="J965" s="1" t="s">
        <v>35</v>
      </c>
      <c r="K965" s="10">
        <v>44257</v>
      </c>
    </row>
    <row r="966" spans="1:11" x14ac:dyDescent="0.25">
      <c r="A966" s="6" t="s">
        <v>78</v>
      </c>
      <c r="B966" s="1" t="s">
        <v>26</v>
      </c>
      <c r="C966" s="1" t="s">
        <v>39</v>
      </c>
      <c r="D966" s="1" t="s">
        <v>28</v>
      </c>
      <c r="E966" s="1">
        <v>36</v>
      </c>
      <c r="F966" s="7">
        <v>42677</v>
      </c>
      <c r="G966" s="8">
        <v>94618</v>
      </c>
      <c r="H966" s="9">
        <v>0</v>
      </c>
      <c r="I966" s="1" t="s">
        <v>29</v>
      </c>
      <c r="J966" s="1" t="s">
        <v>58</v>
      </c>
      <c r="K966" s="10" t="s">
        <v>36</v>
      </c>
    </row>
    <row r="967" spans="1:11" x14ac:dyDescent="0.25">
      <c r="A967" s="6" t="s">
        <v>37</v>
      </c>
      <c r="B967" s="1" t="s">
        <v>57</v>
      </c>
      <c r="C967" s="1" t="s">
        <v>27</v>
      </c>
      <c r="D967" s="1" t="s">
        <v>33</v>
      </c>
      <c r="E967" s="1">
        <v>26</v>
      </c>
      <c r="F967" s="7">
        <v>43753</v>
      </c>
      <c r="G967" s="8">
        <v>151556</v>
      </c>
      <c r="H967" s="9">
        <v>0.2</v>
      </c>
      <c r="I967" s="1" t="s">
        <v>29</v>
      </c>
      <c r="J967" s="1" t="s">
        <v>49</v>
      </c>
      <c r="K967" s="10" t="s">
        <v>36</v>
      </c>
    </row>
    <row r="968" spans="1:11" x14ac:dyDescent="0.25">
      <c r="A968" s="6" t="s">
        <v>80</v>
      </c>
      <c r="B968" s="1" t="s">
        <v>54</v>
      </c>
      <c r="C968" s="1" t="s">
        <v>27</v>
      </c>
      <c r="D968" s="1" t="s">
        <v>28</v>
      </c>
      <c r="E968" s="1">
        <v>37</v>
      </c>
      <c r="F968" s="7">
        <v>43898</v>
      </c>
      <c r="G968" s="8">
        <v>80659</v>
      </c>
      <c r="H968" s="9">
        <v>0</v>
      </c>
      <c r="I968" s="1" t="s">
        <v>29</v>
      </c>
      <c r="J968" s="1" t="s">
        <v>43</v>
      </c>
      <c r="K968" s="10" t="s">
        <v>36</v>
      </c>
    </row>
    <row r="969" spans="1:11" x14ac:dyDescent="0.25">
      <c r="A969" s="6" t="s">
        <v>37</v>
      </c>
      <c r="B969" s="1" t="s">
        <v>52</v>
      </c>
      <c r="C969" s="1" t="s">
        <v>39</v>
      </c>
      <c r="D969" s="1" t="s">
        <v>33</v>
      </c>
      <c r="E969" s="1">
        <v>47</v>
      </c>
      <c r="F969" s="7">
        <v>43772</v>
      </c>
      <c r="G969" s="8">
        <v>195385</v>
      </c>
      <c r="H969" s="9">
        <v>0.21</v>
      </c>
      <c r="I969" s="1" t="s">
        <v>34</v>
      </c>
      <c r="J969" s="1" t="s">
        <v>68</v>
      </c>
      <c r="K969" s="10" t="s">
        <v>36</v>
      </c>
    </row>
    <row r="970" spans="1:11" x14ac:dyDescent="0.25">
      <c r="A970" s="6" t="s">
        <v>83</v>
      </c>
      <c r="B970" s="1" t="s">
        <v>26</v>
      </c>
      <c r="C970" s="1" t="s">
        <v>39</v>
      </c>
      <c r="D970" s="1" t="s">
        <v>33</v>
      </c>
      <c r="E970" s="1">
        <v>29</v>
      </c>
      <c r="F970" s="7">
        <v>42509</v>
      </c>
      <c r="G970" s="8">
        <v>52693</v>
      </c>
      <c r="H970" s="9">
        <v>0</v>
      </c>
      <c r="I970" s="1" t="s">
        <v>59</v>
      </c>
      <c r="J970" s="1" t="s">
        <v>61</v>
      </c>
      <c r="K970" s="10" t="s">
        <v>36</v>
      </c>
    </row>
    <row r="971" spans="1:11" x14ac:dyDescent="0.25">
      <c r="A971" s="6" t="s">
        <v>87</v>
      </c>
      <c r="B971" s="1" t="s">
        <v>26</v>
      </c>
      <c r="C971" s="1" t="s">
        <v>27</v>
      </c>
      <c r="D971" s="1" t="s">
        <v>28</v>
      </c>
      <c r="E971" s="1">
        <v>58</v>
      </c>
      <c r="F971" s="7">
        <v>42486</v>
      </c>
      <c r="G971" s="8">
        <v>72045</v>
      </c>
      <c r="H971" s="9">
        <v>0</v>
      </c>
      <c r="I971" s="1" t="s">
        <v>29</v>
      </c>
      <c r="J971" s="1" t="s">
        <v>43</v>
      </c>
      <c r="K971" s="10" t="s">
        <v>36</v>
      </c>
    </row>
    <row r="972" spans="1:11" x14ac:dyDescent="0.25">
      <c r="A972" s="6" t="s">
        <v>66</v>
      </c>
      <c r="B972" s="1" t="s">
        <v>57</v>
      </c>
      <c r="C972" s="1" t="s">
        <v>32</v>
      </c>
      <c r="D972" s="1" t="s">
        <v>33</v>
      </c>
      <c r="E972" s="1">
        <v>47</v>
      </c>
      <c r="F972" s="7">
        <v>38684</v>
      </c>
      <c r="G972" s="8">
        <v>62749</v>
      </c>
      <c r="H972" s="9">
        <v>0</v>
      </c>
      <c r="I972" s="1" t="s">
        <v>59</v>
      </c>
      <c r="J972" s="1" t="s">
        <v>60</v>
      </c>
      <c r="K972" s="10" t="s">
        <v>36</v>
      </c>
    </row>
    <row r="973" spans="1:11" x14ac:dyDescent="0.25">
      <c r="A973" s="6" t="s">
        <v>25</v>
      </c>
      <c r="B973" s="1" t="s">
        <v>57</v>
      </c>
      <c r="C973" s="1" t="s">
        <v>39</v>
      </c>
      <c r="D973" s="1" t="s">
        <v>33</v>
      </c>
      <c r="E973" s="1">
        <v>52</v>
      </c>
      <c r="F973" s="7">
        <v>43255</v>
      </c>
      <c r="G973" s="8">
        <v>154884</v>
      </c>
      <c r="H973" s="9">
        <v>0.1</v>
      </c>
      <c r="I973" s="1" t="s">
        <v>34</v>
      </c>
      <c r="J973" s="1" t="s">
        <v>55</v>
      </c>
      <c r="K973" s="10" t="s">
        <v>36</v>
      </c>
    </row>
    <row r="974" spans="1:11" x14ac:dyDescent="0.25">
      <c r="A974" s="6" t="s">
        <v>78</v>
      </c>
      <c r="B974" s="1" t="s">
        <v>26</v>
      </c>
      <c r="C974" s="1" t="s">
        <v>27</v>
      </c>
      <c r="D974" s="1" t="s">
        <v>33</v>
      </c>
      <c r="E974" s="1">
        <v>61</v>
      </c>
      <c r="F974" s="7">
        <v>42437</v>
      </c>
      <c r="G974" s="8">
        <v>96566</v>
      </c>
      <c r="H974" s="9">
        <v>0</v>
      </c>
      <c r="I974" s="1" t="s">
        <v>29</v>
      </c>
      <c r="J974" s="1" t="s">
        <v>58</v>
      </c>
      <c r="K974" s="10" t="s">
        <v>36</v>
      </c>
    </row>
    <row r="975" spans="1:11" x14ac:dyDescent="0.25">
      <c r="A975" s="6" t="s">
        <v>83</v>
      </c>
      <c r="B975" s="1" t="s">
        <v>26</v>
      </c>
      <c r="C975" s="1" t="s">
        <v>27</v>
      </c>
      <c r="D975" s="1" t="s">
        <v>33</v>
      </c>
      <c r="E975" s="1">
        <v>45</v>
      </c>
      <c r="F975" s="7">
        <v>37126</v>
      </c>
      <c r="G975" s="8">
        <v>54994</v>
      </c>
      <c r="H975" s="9">
        <v>0</v>
      </c>
      <c r="I975" s="1" t="s">
        <v>29</v>
      </c>
      <c r="J975" s="1" t="s">
        <v>58</v>
      </c>
      <c r="K975" s="10" t="s">
        <v>36</v>
      </c>
    </row>
    <row r="976" spans="1:11" x14ac:dyDescent="0.25">
      <c r="A976" s="6" t="s">
        <v>87</v>
      </c>
      <c r="B976" s="1" t="s">
        <v>26</v>
      </c>
      <c r="C976" s="1" t="s">
        <v>46</v>
      </c>
      <c r="D976" s="1" t="s">
        <v>28</v>
      </c>
      <c r="E976" s="1">
        <v>40</v>
      </c>
      <c r="F976" s="7">
        <v>40944</v>
      </c>
      <c r="G976" s="8">
        <v>61523</v>
      </c>
      <c r="H976" s="9">
        <v>0</v>
      </c>
      <c r="I976" s="1" t="s">
        <v>29</v>
      </c>
      <c r="J976" s="1" t="s">
        <v>58</v>
      </c>
      <c r="K976" s="10" t="s">
        <v>36</v>
      </c>
    </row>
    <row r="977" spans="1:11" x14ac:dyDescent="0.25">
      <c r="A977" s="6" t="s">
        <v>56</v>
      </c>
      <c r="B977" s="1" t="s">
        <v>52</v>
      </c>
      <c r="C977" s="1" t="s">
        <v>46</v>
      </c>
      <c r="D977" s="1" t="s">
        <v>33</v>
      </c>
      <c r="E977" s="1">
        <v>45</v>
      </c>
      <c r="F977" s="7">
        <v>40524</v>
      </c>
      <c r="G977" s="8">
        <v>190512</v>
      </c>
      <c r="H977" s="9">
        <v>0.32</v>
      </c>
      <c r="I977" s="1" t="s">
        <v>29</v>
      </c>
      <c r="J977" s="1" t="s">
        <v>58</v>
      </c>
      <c r="K977" s="10" t="s">
        <v>36</v>
      </c>
    </row>
    <row r="978" spans="1:11" x14ac:dyDescent="0.25">
      <c r="A978" s="6" t="s">
        <v>53</v>
      </c>
      <c r="B978" s="1" t="s">
        <v>54</v>
      </c>
      <c r="C978" s="1" t="s">
        <v>39</v>
      </c>
      <c r="D978" s="1" t="s">
        <v>28</v>
      </c>
      <c r="E978" s="1">
        <v>37</v>
      </c>
      <c r="F978" s="7">
        <v>41318</v>
      </c>
      <c r="G978" s="8">
        <v>124827</v>
      </c>
      <c r="H978" s="9">
        <v>0</v>
      </c>
      <c r="I978" s="1" t="s">
        <v>34</v>
      </c>
      <c r="J978" s="1" t="s">
        <v>64</v>
      </c>
      <c r="K978" s="10" t="s">
        <v>36</v>
      </c>
    </row>
    <row r="979" spans="1:11" x14ac:dyDescent="0.25">
      <c r="A979" s="6" t="s">
        <v>47</v>
      </c>
      <c r="B979" s="1" t="s">
        <v>50</v>
      </c>
      <c r="C979" s="1" t="s">
        <v>32</v>
      </c>
      <c r="D979" s="1" t="s">
        <v>33</v>
      </c>
      <c r="E979" s="1">
        <v>57</v>
      </c>
      <c r="F979" s="7">
        <v>43484</v>
      </c>
      <c r="G979" s="8">
        <v>101577</v>
      </c>
      <c r="H979" s="9">
        <v>0.05</v>
      </c>
      <c r="I979" s="1" t="s">
        <v>29</v>
      </c>
      <c r="J979" s="1" t="s">
        <v>40</v>
      </c>
      <c r="K979" s="10" t="s">
        <v>36</v>
      </c>
    </row>
    <row r="980" spans="1:11" x14ac:dyDescent="0.25">
      <c r="A980" s="6" t="s">
        <v>47</v>
      </c>
      <c r="B980" s="1" t="s">
        <v>50</v>
      </c>
      <c r="C980" s="1" t="s">
        <v>32</v>
      </c>
      <c r="D980" s="1" t="s">
        <v>28</v>
      </c>
      <c r="E980" s="1">
        <v>44</v>
      </c>
      <c r="F980" s="7">
        <v>38642</v>
      </c>
      <c r="G980" s="8">
        <v>105223</v>
      </c>
      <c r="H980" s="9">
        <v>0.1</v>
      </c>
      <c r="I980" s="1" t="s">
        <v>29</v>
      </c>
      <c r="J980" s="1" t="s">
        <v>43</v>
      </c>
      <c r="K980" s="10" t="s">
        <v>36</v>
      </c>
    </row>
    <row r="981" spans="1:11" x14ac:dyDescent="0.25">
      <c r="A981" s="6" t="s">
        <v>85</v>
      </c>
      <c r="B981" s="1" t="s">
        <v>26</v>
      </c>
      <c r="C981" s="1" t="s">
        <v>46</v>
      </c>
      <c r="D981" s="1" t="s">
        <v>33</v>
      </c>
      <c r="E981" s="1">
        <v>48</v>
      </c>
      <c r="F981" s="7">
        <v>39635</v>
      </c>
      <c r="G981" s="8">
        <v>94815</v>
      </c>
      <c r="H981" s="9">
        <v>0</v>
      </c>
      <c r="I981" s="1" t="s">
        <v>29</v>
      </c>
      <c r="J981" s="1" t="s">
        <v>40</v>
      </c>
      <c r="K981" s="10" t="s">
        <v>36</v>
      </c>
    </row>
    <row r="982" spans="1:11" x14ac:dyDescent="0.25">
      <c r="A982" s="6" t="s">
        <v>47</v>
      </c>
      <c r="B982" s="1" t="s">
        <v>50</v>
      </c>
      <c r="C982" s="1" t="s">
        <v>39</v>
      </c>
      <c r="D982" s="1" t="s">
        <v>28</v>
      </c>
      <c r="E982" s="1">
        <v>25</v>
      </c>
      <c r="F982" s="7">
        <v>44545</v>
      </c>
      <c r="G982" s="8">
        <v>114893</v>
      </c>
      <c r="H982" s="9">
        <v>0.06</v>
      </c>
      <c r="I982" s="1" t="s">
        <v>34</v>
      </c>
      <c r="J982" s="1" t="s">
        <v>68</v>
      </c>
      <c r="K982" s="10" t="s">
        <v>36</v>
      </c>
    </row>
    <row r="983" spans="1:11" x14ac:dyDescent="0.25">
      <c r="A983" s="6" t="s">
        <v>42</v>
      </c>
      <c r="B983" s="1" t="s">
        <v>57</v>
      </c>
      <c r="C983" s="1" t="s">
        <v>39</v>
      </c>
      <c r="D983" s="1" t="s">
        <v>28</v>
      </c>
      <c r="E983" s="1">
        <v>35</v>
      </c>
      <c r="F983" s="7">
        <v>42745</v>
      </c>
      <c r="G983" s="8">
        <v>80622</v>
      </c>
      <c r="H983" s="9">
        <v>0</v>
      </c>
      <c r="I983" s="1" t="s">
        <v>29</v>
      </c>
      <c r="J983" s="1" t="s">
        <v>51</v>
      </c>
      <c r="K983" s="10" t="s">
        <v>36</v>
      </c>
    </row>
    <row r="984" spans="1:11" x14ac:dyDescent="0.25">
      <c r="A984" s="6" t="s">
        <v>56</v>
      </c>
      <c r="B984" s="1" t="s">
        <v>26</v>
      </c>
      <c r="C984" s="1" t="s">
        <v>39</v>
      </c>
      <c r="D984" s="1" t="s">
        <v>28</v>
      </c>
      <c r="E984" s="1">
        <v>57</v>
      </c>
      <c r="F984" s="7">
        <v>42685</v>
      </c>
      <c r="G984" s="8">
        <v>246589</v>
      </c>
      <c r="H984" s="9">
        <v>0.33</v>
      </c>
      <c r="I984" s="1" t="s">
        <v>29</v>
      </c>
      <c r="J984" s="1" t="s">
        <v>43</v>
      </c>
      <c r="K984" s="10">
        <v>42820</v>
      </c>
    </row>
    <row r="985" spans="1:11" x14ac:dyDescent="0.25">
      <c r="A985" s="6" t="s">
        <v>47</v>
      </c>
      <c r="B985" s="1" t="s">
        <v>57</v>
      </c>
      <c r="C985" s="1" t="s">
        <v>39</v>
      </c>
      <c r="D985" s="1" t="s">
        <v>33</v>
      </c>
      <c r="E985" s="1">
        <v>49</v>
      </c>
      <c r="F985" s="7">
        <v>43240</v>
      </c>
      <c r="G985" s="8">
        <v>119397</v>
      </c>
      <c r="H985" s="9">
        <v>0.09</v>
      </c>
      <c r="I985" s="1" t="s">
        <v>34</v>
      </c>
      <c r="J985" s="1" t="s">
        <v>64</v>
      </c>
      <c r="K985" s="10">
        <v>43538</v>
      </c>
    </row>
    <row r="986" spans="1:11" x14ac:dyDescent="0.25">
      <c r="A986" s="6" t="s">
        <v>37</v>
      </c>
      <c r="B986" s="1" t="s">
        <v>45</v>
      </c>
      <c r="C986" s="1" t="s">
        <v>46</v>
      </c>
      <c r="D986" s="1" t="s">
        <v>28</v>
      </c>
      <c r="E986" s="1">
        <v>25</v>
      </c>
      <c r="F986" s="7">
        <v>44549</v>
      </c>
      <c r="G986" s="8">
        <v>150666</v>
      </c>
      <c r="H986" s="9">
        <v>0.23</v>
      </c>
      <c r="I986" s="1" t="s">
        <v>34</v>
      </c>
      <c r="J986" s="1" t="s">
        <v>68</v>
      </c>
      <c r="K986" s="10" t="s">
        <v>36</v>
      </c>
    </row>
    <row r="987" spans="1:11" x14ac:dyDescent="0.25">
      <c r="A987" s="6" t="s">
        <v>25</v>
      </c>
      <c r="B987" s="1" t="s">
        <v>26</v>
      </c>
      <c r="C987" s="1" t="s">
        <v>27</v>
      </c>
      <c r="D987" s="1" t="s">
        <v>28</v>
      </c>
      <c r="E987" s="1">
        <v>46</v>
      </c>
      <c r="F987" s="7">
        <v>37265</v>
      </c>
      <c r="G987" s="8">
        <v>148035</v>
      </c>
      <c r="H987" s="9">
        <v>0.14000000000000001</v>
      </c>
      <c r="I987" s="1" t="s">
        <v>29</v>
      </c>
      <c r="J987" s="1" t="s">
        <v>43</v>
      </c>
      <c r="K987" s="10" t="s">
        <v>36</v>
      </c>
    </row>
    <row r="988" spans="1:11" x14ac:dyDescent="0.25">
      <c r="A988" s="6" t="s">
        <v>37</v>
      </c>
      <c r="B988" s="1" t="s">
        <v>38</v>
      </c>
      <c r="C988" s="1" t="s">
        <v>46</v>
      </c>
      <c r="D988" s="1" t="s">
        <v>33</v>
      </c>
      <c r="E988" s="1">
        <v>60</v>
      </c>
      <c r="F988" s="7">
        <v>42891</v>
      </c>
      <c r="G988" s="8">
        <v>158898</v>
      </c>
      <c r="H988" s="9">
        <v>0.18</v>
      </c>
      <c r="I988" s="1" t="s">
        <v>29</v>
      </c>
      <c r="J988" s="1" t="s">
        <v>49</v>
      </c>
      <c r="K988" s="10" t="s">
        <v>36</v>
      </c>
    </row>
    <row r="989" spans="1:11" x14ac:dyDescent="0.25">
      <c r="A989" s="6" t="s">
        <v>71</v>
      </c>
      <c r="B989" s="1" t="s">
        <v>54</v>
      </c>
      <c r="C989" s="1" t="s">
        <v>46</v>
      </c>
      <c r="D989" s="1" t="s">
        <v>28</v>
      </c>
      <c r="E989" s="1">
        <v>45</v>
      </c>
      <c r="F989" s="7">
        <v>40967</v>
      </c>
      <c r="G989" s="8">
        <v>89659</v>
      </c>
      <c r="H989" s="9">
        <v>0</v>
      </c>
      <c r="I989" s="1" t="s">
        <v>34</v>
      </c>
      <c r="J989" s="1" t="s">
        <v>64</v>
      </c>
      <c r="K989" s="10" t="s">
        <v>36</v>
      </c>
    </row>
    <row r="990" spans="1:11" x14ac:dyDescent="0.25">
      <c r="A990" s="6" t="s">
        <v>37</v>
      </c>
      <c r="B990" s="1" t="s">
        <v>45</v>
      </c>
      <c r="C990" s="1" t="s">
        <v>39</v>
      </c>
      <c r="D990" s="1" t="s">
        <v>28</v>
      </c>
      <c r="E990" s="1">
        <v>39</v>
      </c>
      <c r="F990" s="7">
        <v>39201</v>
      </c>
      <c r="G990" s="8">
        <v>171487</v>
      </c>
      <c r="H990" s="9">
        <v>0.23</v>
      </c>
      <c r="I990" s="1" t="s">
        <v>29</v>
      </c>
      <c r="J990" s="1" t="s">
        <v>43</v>
      </c>
      <c r="K990" s="10" t="s">
        <v>36</v>
      </c>
    </row>
    <row r="991" spans="1:11" x14ac:dyDescent="0.25">
      <c r="A991" s="6" t="s">
        <v>56</v>
      </c>
      <c r="B991" s="1" t="s">
        <v>45</v>
      </c>
      <c r="C991" s="1" t="s">
        <v>32</v>
      </c>
      <c r="D991" s="1" t="s">
        <v>28</v>
      </c>
      <c r="E991" s="1">
        <v>43</v>
      </c>
      <c r="F991" s="7">
        <v>42603</v>
      </c>
      <c r="G991" s="8">
        <v>258498</v>
      </c>
      <c r="H991" s="9">
        <v>0.35</v>
      </c>
      <c r="I991" s="1" t="s">
        <v>29</v>
      </c>
      <c r="J991" s="1" t="s">
        <v>58</v>
      </c>
      <c r="K991" s="10" t="s">
        <v>36</v>
      </c>
    </row>
    <row r="992" spans="1:11" x14ac:dyDescent="0.25">
      <c r="A992" s="6" t="s">
        <v>25</v>
      </c>
      <c r="B992" s="1" t="s">
        <v>26</v>
      </c>
      <c r="C992" s="1" t="s">
        <v>27</v>
      </c>
      <c r="D992" s="1" t="s">
        <v>33</v>
      </c>
      <c r="E992" s="1">
        <v>37</v>
      </c>
      <c r="F992" s="7">
        <v>40511</v>
      </c>
      <c r="G992" s="8">
        <v>146961</v>
      </c>
      <c r="H992" s="9">
        <v>0.11</v>
      </c>
      <c r="I992" s="1" t="s">
        <v>29</v>
      </c>
      <c r="J992" s="1" t="s">
        <v>58</v>
      </c>
      <c r="K992" s="10" t="s">
        <v>36</v>
      </c>
    </row>
    <row r="993" spans="1:11" x14ac:dyDescent="0.25">
      <c r="A993" s="6" t="s">
        <v>69</v>
      </c>
      <c r="B993" s="1" t="s">
        <v>52</v>
      </c>
      <c r="C993" s="1" t="s">
        <v>27</v>
      </c>
      <c r="D993" s="1" t="s">
        <v>33</v>
      </c>
      <c r="E993" s="1">
        <v>48</v>
      </c>
      <c r="F993" s="7">
        <v>35907</v>
      </c>
      <c r="G993" s="8">
        <v>85369</v>
      </c>
      <c r="H993" s="9">
        <v>0</v>
      </c>
      <c r="I993" s="1" t="s">
        <v>59</v>
      </c>
      <c r="J993" s="1" t="s">
        <v>60</v>
      </c>
      <c r="K993" s="10">
        <v>38318</v>
      </c>
    </row>
    <row r="994" spans="1:11" x14ac:dyDescent="0.25">
      <c r="A994" s="6" t="s">
        <v>31</v>
      </c>
      <c r="B994" s="1" t="s">
        <v>26</v>
      </c>
      <c r="C994" s="1" t="s">
        <v>32</v>
      </c>
      <c r="D994" s="1" t="s">
        <v>33</v>
      </c>
      <c r="E994" s="1">
        <v>30</v>
      </c>
      <c r="F994" s="7">
        <v>42169</v>
      </c>
      <c r="G994" s="8">
        <v>67489</v>
      </c>
      <c r="H994" s="9">
        <v>0</v>
      </c>
      <c r="I994" s="1" t="s">
        <v>29</v>
      </c>
      <c r="J994" s="1" t="s">
        <v>40</v>
      </c>
      <c r="K994" s="10" t="s">
        <v>36</v>
      </c>
    </row>
    <row r="995" spans="1:11" x14ac:dyDescent="0.25">
      <c r="A995" s="6" t="s">
        <v>37</v>
      </c>
      <c r="B995" s="1" t="s">
        <v>26</v>
      </c>
      <c r="C995" s="1" t="s">
        <v>32</v>
      </c>
      <c r="D995" s="1" t="s">
        <v>28</v>
      </c>
      <c r="E995" s="1">
        <v>46</v>
      </c>
      <c r="F995" s="7">
        <v>43379</v>
      </c>
      <c r="G995" s="8">
        <v>166259</v>
      </c>
      <c r="H995" s="9">
        <v>0.17</v>
      </c>
      <c r="I995" s="1" t="s">
        <v>29</v>
      </c>
      <c r="J995" s="1" t="s">
        <v>40</v>
      </c>
      <c r="K995" s="10" t="s">
        <v>36</v>
      </c>
    </row>
    <row r="996" spans="1:11" x14ac:dyDescent="0.25">
      <c r="A996" s="6" t="s">
        <v>83</v>
      </c>
      <c r="B996" s="1" t="s">
        <v>26</v>
      </c>
      <c r="C996" s="1" t="s">
        <v>46</v>
      </c>
      <c r="D996" s="1" t="s">
        <v>28</v>
      </c>
      <c r="E996" s="1">
        <v>55</v>
      </c>
      <c r="F996" s="7">
        <v>39820</v>
      </c>
      <c r="G996" s="8">
        <v>47032</v>
      </c>
      <c r="H996" s="9">
        <v>0</v>
      </c>
      <c r="I996" s="1" t="s">
        <v>29</v>
      </c>
      <c r="J996" s="1" t="s">
        <v>58</v>
      </c>
      <c r="K996" s="10" t="s">
        <v>36</v>
      </c>
    </row>
    <row r="997" spans="1:11" x14ac:dyDescent="0.25">
      <c r="A997" s="6" t="s">
        <v>42</v>
      </c>
      <c r="B997" s="1" t="s">
        <v>57</v>
      </c>
      <c r="C997" s="1" t="s">
        <v>39</v>
      </c>
      <c r="D997" s="1" t="s">
        <v>33</v>
      </c>
      <c r="E997" s="1">
        <v>33</v>
      </c>
      <c r="F997" s="7">
        <v>42631</v>
      </c>
      <c r="G997" s="8">
        <v>98427</v>
      </c>
      <c r="H997" s="9">
        <v>0</v>
      </c>
      <c r="I997" s="1" t="s">
        <v>29</v>
      </c>
      <c r="J997" s="1" t="s">
        <v>58</v>
      </c>
      <c r="K997" s="10" t="s">
        <v>36</v>
      </c>
    </row>
    <row r="998" spans="1:11" x14ac:dyDescent="0.25">
      <c r="A998" s="6" t="s">
        <v>48</v>
      </c>
      <c r="B998" s="1" t="s">
        <v>38</v>
      </c>
      <c r="C998" s="1" t="s">
        <v>39</v>
      </c>
      <c r="D998" s="1" t="s">
        <v>28</v>
      </c>
      <c r="E998" s="1">
        <v>44</v>
      </c>
      <c r="F998" s="7">
        <v>40329</v>
      </c>
      <c r="G998" s="8">
        <v>47387</v>
      </c>
      <c r="H998" s="9">
        <v>0</v>
      </c>
      <c r="I998" s="1" t="s">
        <v>34</v>
      </c>
      <c r="J998" s="1" t="s">
        <v>68</v>
      </c>
      <c r="K998" s="10">
        <v>43108</v>
      </c>
    </row>
    <row r="999" spans="1:11" x14ac:dyDescent="0.25">
      <c r="A999" s="6" t="s">
        <v>37</v>
      </c>
      <c r="B999" s="1" t="s">
        <v>57</v>
      </c>
      <c r="C999" s="1" t="s">
        <v>39</v>
      </c>
      <c r="D999" s="1" t="s">
        <v>33</v>
      </c>
      <c r="E999" s="1">
        <v>31</v>
      </c>
      <c r="F999" s="7">
        <v>43626</v>
      </c>
      <c r="G999" s="8">
        <v>176710</v>
      </c>
      <c r="H999" s="9">
        <v>0.15</v>
      </c>
      <c r="I999" s="1" t="s">
        <v>29</v>
      </c>
      <c r="J999" s="1" t="s">
        <v>49</v>
      </c>
      <c r="K999" s="10" t="s">
        <v>36</v>
      </c>
    </row>
    <row r="1000" spans="1:11" x14ac:dyDescent="0.25">
      <c r="A1000" s="6" t="s">
        <v>42</v>
      </c>
      <c r="B1000" s="1" t="s">
        <v>38</v>
      </c>
      <c r="C1000" s="1" t="s">
        <v>39</v>
      </c>
      <c r="D1000" s="1" t="s">
        <v>28</v>
      </c>
      <c r="E1000" s="1">
        <v>33</v>
      </c>
      <c r="F1000" s="7">
        <v>40936</v>
      </c>
      <c r="G1000" s="8">
        <v>95960</v>
      </c>
      <c r="H1000" s="9">
        <v>0</v>
      </c>
      <c r="I1000" s="1" t="s">
        <v>34</v>
      </c>
      <c r="J1000" s="1" t="s">
        <v>68</v>
      </c>
      <c r="K1000" s="10" t="s">
        <v>36</v>
      </c>
    </row>
    <row r="1001" spans="1:11" x14ac:dyDescent="0.25">
      <c r="A1001" s="11" t="s">
        <v>56</v>
      </c>
      <c r="B1001" s="12" t="s">
        <v>50</v>
      </c>
      <c r="C1001" s="12" t="s">
        <v>46</v>
      </c>
      <c r="D1001" s="12" t="s">
        <v>28</v>
      </c>
      <c r="E1001" s="12">
        <v>63</v>
      </c>
      <c r="F1001" s="13">
        <v>44038</v>
      </c>
      <c r="G1001" s="14">
        <v>216195</v>
      </c>
      <c r="H1001" s="15">
        <v>0.31</v>
      </c>
      <c r="I1001" s="12" t="s">
        <v>29</v>
      </c>
      <c r="J1001" s="12" t="s">
        <v>49</v>
      </c>
      <c r="K1001" s="16" t="s">
        <v>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BE406-36F9-4B98-902C-B89DC6642E2F}">
  <dimension ref="A1:N1001"/>
  <sheetViews>
    <sheetView zoomScale="90" zoomScaleNormal="90" workbookViewId="0">
      <selection activeCell="A3" sqref="A3:N3"/>
    </sheetView>
  </sheetViews>
  <sheetFormatPr defaultRowHeight="15" x14ac:dyDescent="0.25"/>
  <cols>
    <col min="1" max="1" width="9.85546875" bestFit="1" customWidth="1"/>
    <col min="2" max="2" width="27.7109375" bestFit="1" customWidth="1"/>
    <col min="3" max="3" width="16.85546875" bestFit="1" customWidth="1"/>
    <col min="4" max="4" width="23.85546875" bestFit="1" customWidth="1"/>
    <col min="5" max="5" width="10.140625" bestFit="1" customWidth="1"/>
    <col min="6" max="6" width="7" bestFit="1" customWidth="1"/>
    <col min="7" max="7" width="12.7109375" bestFit="1" customWidth="1"/>
    <col min="8" max="8" width="16" bestFit="1" customWidth="1"/>
    <col min="9" max="9" width="15.42578125" bestFit="1" customWidth="1"/>
    <col min="10" max="10" width="10.7109375" bestFit="1" customWidth="1"/>
    <col min="11" max="11" width="13.28515625" bestFit="1" customWidth="1"/>
    <col min="12" max="12" width="12.85546875" bestFit="1" customWidth="1"/>
    <col min="13" max="13" width="13.5703125" bestFit="1" customWidth="1"/>
    <col min="14" max="15" width="16" bestFit="1" customWidth="1"/>
  </cols>
  <sheetData>
    <row r="1" spans="1:14" x14ac:dyDescent="0.25">
      <c r="A1" t="s">
        <v>1457</v>
      </c>
      <c r="B1" t="s">
        <v>14</v>
      </c>
      <c r="C1" t="s">
        <v>15</v>
      </c>
      <c r="D1" t="s">
        <v>16</v>
      </c>
      <c r="E1" t="s">
        <v>17</v>
      </c>
      <c r="F1" t="s">
        <v>18</v>
      </c>
      <c r="G1" t="s">
        <v>117</v>
      </c>
      <c r="H1" t="s">
        <v>19</v>
      </c>
      <c r="I1" t="s">
        <v>20</v>
      </c>
      <c r="J1" t="s">
        <v>21</v>
      </c>
      <c r="K1" t="s">
        <v>1456</v>
      </c>
      <c r="L1" t="s">
        <v>22</v>
      </c>
      <c r="M1" t="s">
        <v>23</v>
      </c>
      <c r="N1" t="s">
        <v>24</v>
      </c>
    </row>
    <row r="2" spans="1:14" x14ac:dyDescent="0.25">
      <c r="A2" t="s">
        <v>1458</v>
      </c>
      <c r="B2" t="s">
        <v>25</v>
      </c>
      <c r="C2" t="s">
        <v>26</v>
      </c>
      <c r="D2" t="s">
        <v>27</v>
      </c>
      <c r="E2" t="s">
        <v>28</v>
      </c>
      <c r="F2">
        <v>55</v>
      </c>
      <c r="G2" t="s">
        <v>118</v>
      </c>
      <c r="H2" s="18">
        <v>42468</v>
      </c>
      <c r="I2">
        <v>141604</v>
      </c>
      <c r="J2">
        <v>0.15</v>
      </c>
      <c r="K2">
        <v>21240.6</v>
      </c>
      <c r="L2" t="s">
        <v>29</v>
      </c>
      <c r="M2" t="s">
        <v>30</v>
      </c>
      <c r="N2" s="18">
        <v>44485</v>
      </c>
    </row>
    <row r="3" spans="1:14" x14ac:dyDescent="0.25">
      <c r="A3" t="s">
        <v>1459</v>
      </c>
      <c r="B3" t="s">
        <v>31</v>
      </c>
      <c r="C3" t="s">
        <v>26</v>
      </c>
      <c r="D3" t="s">
        <v>32</v>
      </c>
      <c r="E3" t="s">
        <v>33</v>
      </c>
      <c r="F3">
        <v>59</v>
      </c>
      <c r="G3" t="s">
        <v>118</v>
      </c>
      <c r="H3" s="18">
        <v>35763</v>
      </c>
      <c r="I3">
        <v>99975</v>
      </c>
      <c r="J3">
        <v>0</v>
      </c>
      <c r="K3">
        <v>0</v>
      </c>
      <c r="L3" t="s">
        <v>34</v>
      </c>
      <c r="M3" t="s">
        <v>35</v>
      </c>
      <c r="N3" s="18"/>
    </row>
    <row r="4" spans="1:14" x14ac:dyDescent="0.25">
      <c r="A4" t="s">
        <v>1460</v>
      </c>
      <c r="B4" t="s">
        <v>37</v>
      </c>
      <c r="C4" t="s">
        <v>38</v>
      </c>
      <c r="D4" t="s">
        <v>39</v>
      </c>
      <c r="E4" t="s">
        <v>28</v>
      </c>
      <c r="F4">
        <v>50</v>
      </c>
      <c r="G4" t="s">
        <v>119</v>
      </c>
      <c r="H4" s="18">
        <v>39016</v>
      </c>
      <c r="I4">
        <v>163099</v>
      </c>
      <c r="J4">
        <v>0.2</v>
      </c>
      <c r="K4">
        <v>32619.800000000003</v>
      </c>
      <c r="L4" t="s">
        <v>29</v>
      </c>
      <c r="M4" t="s">
        <v>40</v>
      </c>
      <c r="N4" s="18"/>
    </row>
    <row r="5" spans="1:14" x14ac:dyDescent="0.25">
      <c r="A5" t="s">
        <v>1461</v>
      </c>
      <c r="B5" t="s">
        <v>41</v>
      </c>
      <c r="C5" t="s">
        <v>26</v>
      </c>
      <c r="D5" t="s">
        <v>32</v>
      </c>
      <c r="E5" t="s">
        <v>28</v>
      </c>
      <c r="F5">
        <v>26</v>
      </c>
      <c r="G5" t="s">
        <v>120</v>
      </c>
      <c r="H5" s="18">
        <v>43735</v>
      </c>
      <c r="I5">
        <v>84913</v>
      </c>
      <c r="J5">
        <v>7.0000000000000007E-2</v>
      </c>
      <c r="K5">
        <v>5943.9100000000008</v>
      </c>
      <c r="L5" t="s">
        <v>29</v>
      </c>
      <c r="M5" t="s">
        <v>40</v>
      </c>
      <c r="N5" s="18"/>
    </row>
    <row r="6" spans="1:14" x14ac:dyDescent="0.25">
      <c r="A6" t="s">
        <v>1462</v>
      </c>
      <c r="B6" t="s">
        <v>42</v>
      </c>
      <c r="C6" t="s">
        <v>38</v>
      </c>
      <c r="D6" t="s">
        <v>32</v>
      </c>
      <c r="E6" t="s">
        <v>33</v>
      </c>
      <c r="F6">
        <v>55</v>
      </c>
      <c r="G6" t="s">
        <v>118</v>
      </c>
      <c r="H6" s="18">
        <v>35023</v>
      </c>
      <c r="I6">
        <v>95409</v>
      </c>
      <c r="J6">
        <v>0</v>
      </c>
      <c r="K6">
        <v>0</v>
      </c>
      <c r="L6" t="s">
        <v>29</v>
      </c>
      <c r="M6" t="s">
        <v>43</v>
      </c>
      <c r="N6" s="18"/>
    </row>
    <row r="7" spans="1:14" x14ac:dyDescent="0.25">
      <c r="A7" t="s">
        <v>1463</v>
      </c>
      <c r="B7" t="s">
        <v>44</v>
      </c>
      <c r="C7" t="s">
        <v>45</v>
      </c>
      <c r="D7" t="s">
        <v>46</v>
      </c>
      <c r="E7" t="s">
        <v>33</v>
      </c>
      <c r="F7">
        <v>57</v>
      </c>
      <c r="G7" t="s">
        <v>118</v>
      </c>
      <c r="H7" s="18">
        <v>42759</v>
      </c>
      <c r="I7">
        <v>50994</v>
      </c>
      <c r="J7">
        <v>0</v>
      </c>
      <c r="K7">
        <v>0</v>
      </c>
      <c r="L7" t="s">
        <v>34</v>
      </c>
      <c r="M7" t="s">
        <v>35</v>
      </c>
      <c r="N7" s="18"/>
    </row>
    <row r="8" spans="1:14" x14ac:dyDescent="0.25">
      <c r="A8" t="s">
        <v>1464</v>
      </c>
      <c r="B8" t="s">
        <v>47</v>
      </c>
      <c r="C8" t="s">
        <v>26</v>
      </c>
      <c r="D8" t="s">
        <v>46</v>
      </c>
      <c r="E8" t="s">
        <v>28</v>
      </c>
      <c r="F8">
        <v>27</v>
      </c>
      <c r="G8" t="s">
        <v>120</v>
      </c>
      <c r="H8" s="18">
        <v>44013</v>
      </c>
      <c r="I8">
        <v>119746</v>
      </c>
      <c r="J8">
        <v>0.1</v>
      </c>
      <c r="K8">
        <v>11974.6</v>
      </c>
      <c r="L8" t="s">
        <v>29</v>
      </c>
      <c r="M8" t="s">
        <v>43</v>
      </c>
      <c r="N8" s="18"/>
    </row>
    <row r="9" spans="1:14" x14ac:dyDescent="0.25">
      <c r="A9" t="s">
        <v>1465</v>
      </c>
      <c r="B9" t="s">
        <v>48</v>
      </c>
      <c r="C9" t="s">
        <v>38</v>
      </c>
      <c r="D9" t="s">
        <v>32</v>
      </c>
      <c r="E9" t="s">
        <v>33</v>
      </c>
      <c r="F9">
        <v>25</v>
      </c>
      <c r="G9" t="s">
        <v>120</v>
      </c>
      <c r="H9" s="18">
        <v>43967</v>
      </c>
      <c r="I9">
        <v>41336</v>
      </c>
      <c r="J9">
        <v>0</v>
      </c>
      <c r="K9">
        <v>0</v>
      </c>
      <c r="L9" t="s">
        <v>29</v>
      </c>
      <c r="M9" t="s">
        <v>49</v>
      </c>
      <c r="N9" s="18">
        <v>44336</v>
      </c>
    </row>
    <row r="10" spans="1:14" x14ac:dyDescent="0.25">
      <c r="A10" t="s">
        <v>1466</v>
      </c>
      <c r="B10" t="s">
        <v>47</v>
      </c>
      <c r="C10" t="s">
        <v>50</v>
      </c>
      <c r="D10" t="s">
        <v>32</v>
      </c>
      <c r="E10" t="s">
        <v>33</v>
      </c>
      <c r="F10">
        <v>29</v>
      </c>
      <c r="G10" t="s">
        <v>120</v>
      </c>
      <c r="H10" s="18">
        <v>43490</v>
      </c>
      <c r="I10">
        <v>113527</v>
      </c>
      <c r="J10">
        <v>0.06</v>
      </c>
      <c r="K10">
        <v>6811.62</v>
      </c>
      <c r="L10" t="s">
        <v>29</v>
      </c>
      <c r="M10" t="s">
        <v>51</v>
      </c>
      <c r="N10" s="18"/>
    </row>
    <row r="11" spans="1:14" x14ac:dyDescent="0.25">
      <c r="A11" t="s">
        <v>1467</v>
      </c>
      <c r="B11" t="s">
        <v>42</v>
      </c>
      <c r="C11" t="s">
        <v>38</v>
      </c>
      <c r="D11" t="s">
        <v>39</v>
      </c>
      <c r="E11" t="s">
        <v>28</v>
      </c>
      <c r="F11">
        <v>34</v>
      </c>
      <c r="G11" t="s">
        <v>120</v>
      </c>
      <c r="H11" s="18">
        <v>43264</v>
      </c>
      <c r="I11">
        <v>77203</v>
      </c>
      <c r="J11">
        <v>0</v>
      </c>
      <c r="K11">
        <v>0</v>
      </c>
      <c r="L11" t="s">
        <v>29</v>
      </c>
      <c r="M11" t="s">
        <v>40</v>
      </c>
      <c r="N11" s="18"/>
    </row>
    <row r="12" spans="1:14" x14ac:dyDescent="0.25">
      <c r="A12" t="s">
        <v>1468</v>
      </c>
      <c r="B12" t="s">
        <v>25</v>
      </c>
      <c r="C12" t="s">
        <v>52</v>
      </c>
      <c r="D12" t="s">
        <v>32</v>
      </c>
      <c r="E12" t="s">
        <v>28</v>
      </c>
      <c r="F12">
        <v>36</v>
      </c>
      <c r="G12" t="s">
        <v>121</v>
      </c>
      <c r="H12" s="18">
        <v>39855</v>
      </c>
      <c r="I12">
        <v>157333</v>
      </c>
      <c r="J12">
        <v>0.15</v>
      </c>
      <c r="K12">
        <v>23599.95</v>
      </c>
      <c r="L12" t="s">
        <v>29</v>
      </c>
      <c r="M12" t="s">
        <v>49</v>
      </c>
      <c r="N12" s="18"/>
    </row>
    <row r="13" spans="1:14" x14ac:dyDescent="0.25">
      <c r="A13" t="s">
        <v>1469</v>
      </c>
      <c r="B13" t="s">
        <v>53</v>
      </c>
      <c r="C13" t="s">
        <v>54</v>
      </c>
      <c r="D13" t="s">
        <v>39</v>
      </c>
      <c r="E13" t="s">
        <v>28</v>
      </c>
      <c r="F13">
        <v>27</v>
      </c>
      <c r="G13" t="s">
        <v>120</v>
      </c>
      <c r="H13" s="18">
        <v>44490</v>
      </c>
      <c r="I13">
        <v>109851</v>
      </c>
      <c r="J13">
        <v>0</v>
      </c>
      <c r="K13">
        <v>0</v>
      </c>
      <c r="L13" t="s">
        <v>29</v>
      </c>
      <c r="M13" t="s">
        <v>30</v>
      </c>
      <c r="N13" s="18"/>
    </row>
    <row r="14" spans="1:14" x14ac:dyDescent="0.25">
      <c r="A14" t="s">
        <v>1470</v>
      </c>
      <c r="B14" t="s">
        <v>47</v>
      </c>
      <c r="C14" t="s">
        <v>52</v>
      </c>
      <c r="D14" t="s">
        <v>32</v>
      </c>
      <c r="E14" t="s">
        <v>33</v>
      </c>
      <c r="F14">
        <v>59</v>
      </c>
      <c r="G14" t="s">
        <v>118</v>
      </c>
      <c r="H14" s="18">
        <v>36233</v>
      </c>
      <c r="I14">
        <v>105086</v>
      </c>
      <c r="J14">
        <v>0.09</v>
      </c>
      <c r="K14">
        <v>9457.74</v>
      </c>
      <c r="L14" t="s">
        <v>29</v>
      </c>
      <c r="M14" t="s">
        <v>51</v>
      </c>
      <c r="N14" s="18"/>
    </row>
    <row r="15" spans="1:14" x14ac:dyDescent="0.25">
      <c r="A15" t="s">
        <v>1471</v>
      </c>
      <c r="B15" t="s">
        <v>25</v>
      </c>
      <c r="C15" t="s">
        <v>38</v>
      </c>
      <c r="D15" t="s">
        <v>27</v>
      </c>
      <c r="E15" t="s">
        <v>28</v>
      </c>
      <c r="F15">
        <v>51</v>
      </c>
      <c r="G15" t="s">
        <v>119</v>
      </c>
      <c r="H15" s="18">
        <v>44357</v>
      </c>
      <c r="I15">
        <v>146742</v>
      </c>
      <c r="J15">
        <v>0.1</v>
      </c>
      <c r="K15">
        <v>14674.2</v>
      </c>
      <c r="L15" t="s">
        <v>34</v>
      </c>
      <c r="M15" t="s">
        <v>55</v>
      </c>
      <c r="N15" s="18"/>
    </row>
    <row r="16" spans="1:14" x14ac:dyDescent="0.25">
      <c r="A16" t="s">
        <v>1472</v>
      </c>
      <c r="B16" t="s">
        <v>42</v>
      </c>
      <c r="C16" t="s">
        <v>50</v>
      </c>
      <c r="D16" t="s">
        <v>39</v>
      </c>
      <c r="E16" t="s">
        <v>33</v>
      </c>
      <c r="F16">
        <v>31</v>
      </c>
      <c r="G16" t="s">
        <v>120</v>
      </c>
      <c r="H16" s="18">
        <v>43043</v>
      </c>
      <c r="I16">
        <v>97078</v>
      </c>
      <c r="J16">
        <v>0</v>
      </c>
      <c r="K16">
        <v>0</v>
      </c>
      <c r="L16" t="s">
        <v>29</v>
      </c>
      <c r="M16" t="s">
        <v>51</v>
      </c>
      <c r="N16" s="18">
        <v>43899</v>
      </c>
    </row>
    <row r="17" spans="1:14" x14ac:dyDescent="0.25">
      <c r="A17" t="s">
        <v>1473</v>
      </c>
      <c r="B17" t="s">
        <v>56</v>
      </c>
      <c r="C17" t="s">
        <v>57</v>
      </c>
      <c r="D17" t="s">
        <v>27</v>
      </c>
      <c r="E17" t="s">
        <v>28</v>
      </c>
      <c r="F17">
        <v>41</v>
      </c>
      <c r="G17" t="s">
        <v>121</v>
      </c>
      <c r="H17" s="18">
        <v>41346</v>
      </c>
      <c r="I17">
        <v>249270</v>
      </c>
      <c r="J17">
        <v>0.3</v>
      </c>
      <c r="K17">
        <v>74781</v>
      </c>
      <c r="L17" t="s">
        <v>29</v>
      </c>
      <c r="M17" t="s">
        <v>30</v>
      </c>
      <c r="N17" s="18"/>
    </row>
    <row r="18" spans="1:14" x14ac:dyDescent="0.25">
      <c r="A18" t="s">
        <v>1474</v>
      </c>
      <c r="B18" t="s">
        <v>37</v>
      </c>
      <c r="C18" t="s">
        <v>38</v>
      </c>
      <c r="D18" t="s">
        <v>27</v>
      </c>
      <c r="E18" t="s">
        <v>28</v>
      </c>
      <c r="F18">
        <v>65</v>
      </c>
      <c r="G18" t="s">
        <v>122</v>
      </c>
      <c r="H18" s="18">
        <v>37319</v>
      </c>
      <c r="I18">
        <v>175837</v>
      </c>
      <c r="J18">
        <v>0.2</v>
      </c>
      <c r="K18">
        <v>35167.4</v>
      </c>
      <c r="L18" t="s">
        <v>29</v>
      </c>
      <c r="M18" t="s">
        <v>43</v>
      </c>
      <c r="N18" s="18"/>
    </row>
    <row r="19" spans="1:14" x14ac:dyDescent="0.25">
      <c r="A19" t="s">
        <v>1475</v>
      </c>
      <c r="B19" t="s">
        <v>25</v>
      </c>
      <c r="C19" t="s">
        <v>57</v>
      </c>
      <c r="D19" t="s">
        <v>39</v>
      </c>
      <c r="E19" t="s">
        <v>28</v>
      </c>
      <c r="F19">
        <v>64</v>
      </c>
      <c r="G19" t="s">
        <v>118</v>
      </c>
      <c r="H19" s="18">
        <v>37956</v>
      </c>
      <c r="I19">
        <v>154828</v>
      </c>
      <c r="J19">
        <v>0.13</v>
      </c>
      <c r="K19">
        <v>20127.64</v>
      </c>
      <c r="L19" t="s">
        <v>29</v>
      </c>
      <c r="M19" t="s">
        <v>30</v>
      </c>
      <c r="N19" s="18"/>
    </row>
    <row r="20" spans="1:14" x14ac:dyDescent="0.25">
      <c r="A20" t="s">
        <v>1476</v>
      </c>
      <c r="B20" t="s">
        <v>37</v>
      </c>
      <c r="C20" t="s">
        <v>26</v>
      </c>
      <c r="D20" t="s">
        <v>46</v>
      </c>
      <c r="E20" t="s">
        <v>33</v>
      </c>
      <c r="F20">
        <v>64</v>
      </c>
      <c r="G20" t="s">
        <v>118</v>
      </c>
      <c r="H20" s="18">
        <v>41581</v>
      </c>
      <c r="I20">
        <v>186503</v>
      </c>
      <c r="J20">
        <v>0.24</v>
      </c>
      <c r="K20">
        <v>44760.72</v>
      </c>
      <c r="L20" t="s">
        <v>29</v>
      </c>
      <c r="M20" t="s">
        <v>58</v>
      </c>
      <c r="N20" s="18"/>
    </row>
    <row r="21" spans="1:14" x14ac:dyDescent="0.25">
      <c r="A21" t="s">
        <v>1477</v>
      </c>
      <c r="B21" t="s">
        <v>37</v>
      </c>
      <c r="C21" t="s">
        <v>45</v>
      </c>
      <c r="D21" t="s">
        <v>27</v>
      </c>
      <c r="E21" t="s">
        <v>33</v>
      </c>
      <c r="F21">
        <v>45</v>
      </c>
      <c r="G21" t="s">
        <v>119</v>
      </c>
      <c r="H21" s="18">
        <v>37446</v>
      </c>
      <c r="I21">
        <v>166331</v>
      </c>
      <c r="J21">
        <v>0.18</v>
      </c>
      <c r="K21">
        <v>29939.579999999998</v>
      </c>
      <c r="L21" t="s">
        <v>34</v>
      </c>
      <c r="M21" t="s">
        <v>35</v>
      </c>
      <c r="N21" s="18"/>
    </row>
    <row r="22" spans="1:14" x14ac:dyDescent="0.25">
      <c r="A22" t="s">
        <v>1478</v>
      </c>
      <c r="B22" t="s">
        <v>25</v>
      </c>
      <c r="C22" t="s">
        <v>26</v>
      </c>
      <c r="D22" t="s">
        <v>32</v>
      </c>
      <c r="E22" t="s">
        <v>33</v>
      </c>
      <c r="F22">
        <v>56</v>
      </c>
      <c r="G22" t="s">
        <v>118</v>
      </c>
      <c r="H22" s="18">
        <v>40917</v>
      </c>
      <c r="I22">
        <v>146140</v>
      </c>
      <c r="J22">
        <v>0.1</v>
      </c>
      <c r="K22">
        <v>14614</v>
      </c>
      <c r="L22" t="s">
        <v>59</v>
      </c>
      <c r="M22" t="s">
        <v>60</v>
      </c>
      <c r="N22" s="18"/>
    </row>
    <row r="23" spans="1:14" x14ac:dyDescent="0.25">
      <c r="A23" t="s">
        <v>1479</v>
      </c>
      <c r="B23" t="s">
        <v>37</v>
      </c>
      <c r="C23" t="s">
        <v>45</v>
      </c>
      <c r="D23" t="s">
        <v>32</v>
      </c>
      <c r="E23" t="s">
        <v>28</v>
      </c>
      <c r="F23">
        <v>36</v>
      </c>
      <c r="G23" t="s">
        <v>121</v>
      </c>
      <c r="H23" s="18">
        <v>44288</v>
      </c>
      <c r="I23">
        <v>151703</v>
      </c>
      <c r="J23">
        <v>0.21</v>
      </c>
      <c r="K23">
        <v>31857.629999999997</v>
      </c>
      <c r="L23" t="s">
        <v>29</v>
      </c>
      <c r="M23" t="s">
        <v>49</v>
      </c>
      <c r="N23" s="18"/>
    </row>
    <row r="24" spans="1:14" x14ac:dyDescent="0.25">
      <c r="A24" t="s">
        <v>1480</v>
      </c>
      <c r="B24" t="s">
        <v>37</v>
      </c>
      <c r="C24" t="s">
        <v>26</v>
      </c>
      <c r="D24" t="s">
        <v>27</v>
      </c>
      <c r="E24" t="s">
        <v>33</v>
      </c>
      <c r="F24">
        <v>59</v>
      </c>
      <c r="G24" t="s">
        <v>118</v>
      </c>
      <c r="H24" s="18">
        <v>37400</v>
      </c>
      <c r="I24">
        <v>172787</v>
      </c>
      <c r="J24">
        <v>0.28000000000000003</v>
      </c>
      <c r="K24">
        <v>48380.360000000008</v>
      </c>
      <c r="L24" t="s">
        <v>59</v>
      </c>
      <c r="M24" t="s">
        <v>61</v>
      </c>
      <c r="N24" s="18"/>
    </row>
    <row r="25" spans="1:14" x14ac:dyDescent="0.25">
      <c r="A25" t="s">
        <v>1481</v>
      </c>
      <c r="B25" t="s">
        <v>48</v>
      </c>
      <c r="C25" t="s">
        <v>45</v>
      </c>
      <c r="D25" t="s">
        <v>39</v>
      </c>
      <c r="E25" t="s">
        <v>33</v>
      </c>
      <c r="F25">
        <v>37</v>
      </c>
      <c r="G25" t="s">
        <v>121</v>
      </c>
      <c r="H25" s="18">
        <v>43713</v>
      </c>
      <c r="I25">
        <v>49998</v>
      </c>
      <c r="J25">
        <v>0</v>
      </c>
      <c r="K25">
        <v>0</v>
      </c>
      <c r="L25" t="s">
        <v>29</v>
      </c>
      <c r="M25" t="s">
        <v>30</v>
      </c>
      <c r="N25" s="18"/>
    </row>
    <row r="26" spans="1:14" x14ac:dyDescent="0.25">
      <c r="A26" t="s">
        <v>1482</v>
      </c>
      <c r="B26" t="s">
        <v>56</v>
      </c>
      <c r="C26" t="s">
        <v>45</v>
      </c>
      <c r="D26" t="s">
        <v>39</v>
      </c>
      <c r="E26" t="s">
        <v>33</v>
      </c>
      <c r="F26">
        <v>44</v>
      </c>
      <c r="G26" t="s">
        <v>121</v>
      </c>
      <c r="H26" s="18">
        <v>41700</v>
      </c>
      <c r="I26">
        <v>207172</v>
      </c>
      <c r="J26">
        <v>0.31</v>
      </c>
      <c r="K26">
        <v>64223.32</v>
      </c>
      <c r="L26" t="s">
        <v>34</v>
      </c>
      <c r="M26" t="s">
        <v>35</v>
      </c>
      <c r="N26" s="18"/>
    </row>
    <row r="27" spans="1:14" x14ac:dyDescent="0.25">
      <c r="A27" t="s">
        <v>1483</v>
      </c>
      <c r="B27" t="s">
        <v>37</v>
      </c>
      <c r="C27" t="s">
        <v>52</v>
      </c>
      <c r="D27" t="s">
        <v>39</v>
      </c>
      <c r="E27" t="s">
        <v>33</v>
      </c>
      <c r="F27">
        <v>41</v>
      </c>
      <c r="G27" t="s">
        <v>121</v>
      </c>
      <c r="H27" s="18">
        <v>42111</v>
      </c>
      <c r="I27">
        <v>152239</v>
      </c>
      <c r="J27">
        <v>0.23</v>
      </c>
      <c r="K27">
        <v>35014.97</v>
      </c>
      <c r="L27" t="s">
        <v>29</v>
      </c>
      <c r="M27" t="s">
        <v>58</v>
      </c>
      <c r="N27" s="18"/>
    </row>
    <row r="28" spans="1:14" x14ac:dyDescent="0.25">
      <c r="A28" t="s">
        <v>1484</v>
      </c>
      <c r="B28" t="s">
        <v>62</v>
      </c>
      <c r="C28" t="s">
        <v>54</v>
      </c>
      <c r="D28" t="s">
        <v>46</v>
      </c>
      <c r="E28" t="s">
        <v>28</v>
      </c>
      <c r="F28">
        <v>56</v>
      </c>
      <c r="G28" t="s">
        <v>118</v>
      </c>
      <c r="H28" s="18">
        <v>38388</v>
      </c>
      <c r="I28">
        <v>98581</v>
      </c>
      <c r="J28">
        <v>0</v>
      </c>
      <c r="K28">
        <v>0</v>
      </c>
      <c r="L28" t="s">
        <v>59</v>
      </c>
      <c r="M28" t="s">
        <v>61</v>
      </c>
      <c r="N28" s="18"/>
    </row>
    <row r="29" spans="1:14" x14ac:dyDescent="0.25">
      <c r="A29" t="s">
        <v>1485</v>
      </c>
      <c r="B29" t="s">
        <v>56</v>
      </c>
      <c r="C29" t="s">
        <v>54</v>
      </c>
      <c r="D29" t="s">
        <v>39</v>
      </c>
      <c r="E29" t="s">
        <v>33</v>
      </c>
      <c r="F29">
        <v>43</v>
      </c>
      <c r="G29" t="s">
        <v>121</v>
      </c>
      <c r="H29" s="18">
        <v>38145</v>
      </c>
      <c r="I29">
        <v>246231</v>
      </c>
      <c r="J29">
        <v>0.31</v>
      </c>
      <c r="K29">
        <v>76331.61</v>
      </c>
      <c r="L29" t="s">
        <v>29</v>
      </c>
      <c r="M29" t="s">
        <v>30</v>
      </c>
      <c r="N29" s="18"/>
    </row>
    <row r="30" spans="1:14" x14ac:dyDescent="0.25">
      <c r="A30" t="s">
        <v>1486</v>
      </c>
      <c r="B30" t="s">
        <v>63</v>
      </c>
      <c r="C30" t="s">
        <v>54</v>
      </c>
      <c r="D30" t="s">
        <v>39</v>
      </c>
      <c r="E30" t="s">
        <v>33</v>
      </c>
      <c r="F30">
        <v>64</v>
      </c>
      <c r="G30" t="s">
        <v>118</v>
      </c>
      <c r="H30" s="18">
        <v>35403</v>
      </c>
      <c r="I30">
        <v>99354</v>
      </c>
      <c r="J30">
        <v>0.12</v>
      </c>
      <c r="K30">
        <v>11922.48</v>
      </c>
      <c r="L30" t="s">
        <v>34</v>
      </c>
      <c r="M30" t="s">
        <v>64</v>
      </c>
      <c r="N30" s="18"/>
    </row>
    <row r="31" spans="1:14" x14ac:dyDescent="0.25">
      <c r="A31" t="s">
        <v>1487</v>
      </c>
      <c r="B31" t="s">
        <v>56</v>
      </c>
      <c r="C31" t="s">
        <v>26</v>
      </c>
      <c r="D31" t="s">
        <v>46</v>
      </c>
      <c r="E31" t="s">
        <v>33</v>
      </c>
      <c r="F31">
        <v>63</v>
      </c>
      <c r="G31" t="s">
        <v>118</v>
      </c>
      <c r="H31" s="18">
        <v>41040</v>
      </c>
      <c r="I31">
        <v>231141</v>
      </c>
      <c r="J31">
        <v>0.34</v>
      </c>
      <c r="K31">
        <v>78587.94</v>
      </c>
      <c r="L31" t="s">
        <v>34</v>
      </c>
      <c r="M31" t="s">
        <v>64</v>
      </c>
      <c r="N31" s="18"/>
    </row>
    <row r="32" spans="1:14" x14ac:dyDescent="0.25">
      <c r="A32" t="s">
        <v>1488</v>
      </c>
      <c r="B32" t="s">
        <v>65</v>
      </c>
      <c r="C32" t="s">
        <v>26</v>
      </c>
      <c r="D32" t="s">
        <v>27</v>
      </c>
      <c r="E32" t="s">
        <v>33</v>
      </c>
      <c r="F32">
        <v>28</v>
      </c>
      <c r="G32" t="s">
        <v>120</v>
      </c>
      <c r="H32" s="18">
        <v>42911</v>
      </c>
      <c r="I32">
        <v>54775</v>
      </c>
      <c r="J32">
        <v>0</v>
      </c>
      <c r="K32">
        <v>0</v>
      </c>
      <c r="L32" t="s">
        <v>29</v>
      </c>
      <c r="M32" t="s">
        <v>58</v>
      </c>
      <c r="N32" s="18"/>
    </row>
    <row r="33" spans="1:14" x14ac:dyDescent="0.25">
      <c r="A33" t="s">
        <v>1489</v>
      </c>
      <c r="B33" t="s">
        <v>48</v>
      </c>
      <c r="C33" t="s">
        <v>38</v>
      </c>
      <c r="D33" t="s">
        <v>32</v>
      </c>
      <c r="E33" t="s">
        <v>33</v>
      </c>
      <c r="F33">
        <v>65</v>
      </c>
      <c r="G33" t="s">
        <v>122</v>
      </c>
      <c r="H33" s="18">
        <v>38123</v>
      </c>
      <c r="I33">
        <v>55499</v>
      </c>
      <c r="J33">
        <v>0</v>
      </c>
      <c r="K33">
        <v>0</v>
      </c>
      <c r="L33" t="s">
        <v>59</v>
      </c>
      <c r="M33" t="s">
        <v>60</v>
      </c>
      <c r="N33" s="18"/>
    </row>
    <row r="34" spans="1:14" x14ac:dyDescent="0.25">
      <c r="A34" t="s">
        <v>1490</v>
      </c>
      <c r="B34" t="s">
        <v>66</v>
      </c>
      <c r="C34" t="s">
        <v>45</v>
      </c>
      <c r="D34" t="s">
        <v>27</v>
      </c>
      <c r="E34" t="s">
        <v>33</v>
      </c>
      <c r="F34">
        <v>61</v>
      </c>
      <c r="G34" t="s">
        <v>118</v>
      </c>
      <c r="H34" s="18">
        <v>39640</v>
      </c>
      <c r="I34">
        <v>66521</v>
      </c>
      <c r="J34">
        <v>0</v>
      </c>
      <c r="K34">
        <v>0</v>
      </c>
      <c r="L34" t="s">
        <v>29</v>
      </c>
      <c r="M34" t="s">
        <v>30</v>
      </c>
      <c r="N34" s="18"/>
    </row>
    <row r="35" spans="1:14" x14ac:dyDescent="0.25">
      <c r="A35" t="s">
        <v>1491</v>
      </c>
      <c r="B35" t="s">
        <v>44</v>
      </c>
      <c r="C35" t="s">
        <v>45</v>
      </c>
      <c r="D35" t="s">
        <v>39</v>
      </c>
      <c r="E35" t="s">
        <v>33</v>
      </c>
      <c r="F35">
        <v>30</v>
      </c>
      <c r="G35" t="s">
        <v>120</v>
      </c>
      <c r="H35" s="18">
        <v>42642</v>
      </c>
      <c r="I35">
        <v>59100</v>
      </c>
      <c r="J35">
        <v>0</v>
      </c>
      <c r="K35">
        <v>0</v>
      </c>
      <c r="L35" t="s">
        <v>34</v>
      </c>
      <c r="M35" t="s">
        <v>35</v>
      </c>
      <c r="N35" s="18"/>
    </row>
    <row r="36" spans="1:14" x14ac:dyDescent="0.25">
      <c r="A36" t="s">
        <v>1492</v>
      </c>
      <c r="B36" t="s">
        <v>48</v>
      </c>
      <c r="C36" t="s">
        <v>38</v>
      </c>
      <c r="D36" t="s">
        <v>27</v>
      </c>
      <c r="E36" t="s">
        <v>28</v>
      </c>
      <c r="F36">
        <v>27</v>
      </c>
      <c r="G36" t="s">
        <v>120</v>
      </c>
      <c r="H36" s="18">
        <v>43226</v>
      </c>
      <c r="I36">
        <v>49011</v>
      </c>
      <c r="J36">
        <v>0</v>
      </c>
      <c r="K36">
        <v>0</v>
      </c>
      <c r="L36" t="s">
        <v>29</v>
      </c>
      <c r="M36" t="s">
        <v>40</v>
      </c>
      <c r="N36" s="18"/>
    </row>
    <row r="37" spans="1:14" x14ac:dyDescent="0.25">
      <c r="A37" t="s">
        <v>1493</v>
      </c>
      <c r="B37" t="s">
        <v>67</v>
      </c>
      <c r="C37" t="s">
        <v>26</v>
      </c>
      <c r="D37" t="s">
        <v>32</v>
      </c>
      <c r="E37" t="s">
        <v>28</v>
      </c>
      <c r="F37">
        <v>32</v>
      </c>
      <c r="G37" t="s">
        <v>120</v>
      </c>
      <c r="H37" s="18">
        <v>41681</v>
      </c>
      <c r="I37">
        <v>99575</v>
      </c>
      <c r="J37">
        <v>0</v>
      </c>
      <c r="K37">
        <v>0</v>
      </c>
      <c r="L37" t="s">
        <v>29</v>
      </c>
      <c r="M37" t="s">
        <v>51</v>
      </c>
      <c r="N37" s="18"/>
    </row>
    <row r="38" spans="1:14" x14ac:dyDescent="0.25">
      <c r="A38" t="s">
        <v>1494</v>
      </c>
      <c r="B38" t="s">
        <v>53</v>
      </c>
      <c r="C38" t="s">
        <v>54</v>
      </c>
      <c r="D38" t="s">
        <v>32</v>
      </c>
      <c r="E38" t="s">
        <v>28</v>
      </c>
      <c r="F38">
        <v>34</v>
      </c>
      <c r="G38" t="s">
        <v>120</v>
      </c>
      <c r="H38" s="18">
        <v>43815</v>
      </c>
      <c r="I38">
        <v>99989</v>
      </c>
      <c r="J38">
        <v>0</v>
      </c>
      <c r="K38">
        <v>0</v>
      </c>
      <c r="L38" t="s">
        <v>34</v>
      </c>
      <c r="M38" t="s">
        <v>68</v>
      </c>
      <c r="N38" s="18"/>
    </row>
    <row r="39" spans="1:14" x14ac:dyDescent="0.25">
      <c r="A39" t="s">
        <v>1495</v>
      </c>
      <c r="B39" t="s">
        <v>56</v>
      </c>
      <c r="C39" t="s">
        <v>57</v>
      </c>
      <c r="D39" t="s">
        <v>27</v>
      </c>
      <c r="E39" t="s">
        <v>33</v>
      </c>
      <c r="F39">
        <v>27</v>
      </c>
      <c r="G39" t="s">
        <v>120</v>
      </c>
      <c r="H39" s="18">
        <v>43758</v>
      </c>
      <c r="I39">
        <v>256420</v>
      </c>
      <c r="J39">
        <v>0.3</v>
      </c>
      <c r="K39">
        <v>76926</v>
      </c>
      <c r="L39" t="s">
        <v>29</v>
      </c>
      <c r="M39" t="s">
        <v>43</v>
      </c>
      <c r="N39" s="18"/>
    </row>
    <row r="40" spans="1:14" x14ac:dyDescent="0.25">
      <c r="A40" t="s">
        <v>1496</v>
      </c>
      <c r="B40" t="s">
        <v>31</v>
      </c>
      <c r="C40" t="s">
        <v>26</v>
      </c>
      <c r="D40" t="s">
        <v>32</v>
      </c>
      <c r="E40" t="s">
        <v>28</v>
      </c>
      <c r="F40">
        <v>35</v>
      </c>
      <c r="G40" t="s">
        <v>121</v>
      </c>
      <c r="H40" s="18">
        <v>41409</v>
      </c>
      <c r="I40">
        <v>78940</v>
      </c>
      <c r="J40">
        <v>0</v>
      </c>
      <c r="K40">
        <v>0</v>
      </c>
      <c r="L40" t="s">
        <v>29</v>
      </c>
      <c r="M40" t="s">
        <v>49</v>
      </c>
      <c r="N40" s="18"/>
    </row>
    <row r="41" spans="1:14" x14ac:dyDescent="0.25">
      <c r="A41" t="s">
        <v>1497</v>
      </c>
      <c r="B41" t="s">
        <v>67</v>
      </c>
      <c r="C41" t="s">
        <v>26</v>
      </c>
      <c r="D41" t="s">
        <v>46</v>
      </c>
      <c r="E41" t="s">
        <v>28</v>
      </c>
      <c r="F41">
        <v>57</v>
      </c>
      <c r="G41" t="s">
        <v>118</v>
      </c>
      <c r="H41" s="18">
        <v>34337</v>
      </c>
      <c r="I41">
        <v>82872</v>
      </c>
      <c r="J41">
        <v>0</v>
      </c>
      <c r="K41">
        <v>0</v>
      </c>
      <c r="L41" t="s">
        <v>59</v>
      </c>
      <c r="M41" t="s">
        <v>60</v>
      </c>
      <c r="N41" s="18"/>
    </row>
    <row r="42" spans="1:14" x14ac:dyDescent="0.25">
      <c r="A42" t="s">
        <v>1498</v>
      </c>
      <c r="B42" t="s">
        <v>69</v>
      </c>
      <c r="C42" t="s">
        <v>52</v>
      </c>
      <c r="D42" t="s">
        <v>39</v>
      </c>
      <c r="E42" t="s">
        <v>33</v>
      </c>
      <c r="F42">
        <v>30</v>
      </c>
      <c r="G42" t="s">
        <v>120</v>
      </c>
      <c r="H42" s="18">
        <v>42884</v>
      </c>
      <c r="I42">
        <v>86317</v>
      </c>
      <c r="J42">
        <v>0</v>
      </c>
      <c r="K42">
        <v>0</v>
      </c>
      <c r="L42" t="s">
        <v>34</v>
      </c>
      <c r="M42" t="s">
        <v>68</v>
      </c>
      <c r="N42" s="18">
        <v>42932</v>
      </c>
    </row>
    <row r="43" spans="1:14" x14ac:dyDescent="0.25">
      <c r="A43" t="s">
        <v>1499</v>
      </c>
      <c r="B43" t="s">
        <v>47</v>
      </c>
      <c r="C43" t="s">
        <v>57</v>
      </c>
      <c r="D43" t="s">
        <v>39</v>
      </c>
      <c r="E43" t="s">
        <v>28</v>
      </c>
      <c r="F43">
        <v>53</v>
      </c>
      <c r="G43" t="s">
        <v>119</v>
      </c>
      <c r="H43" s="18">
        <v>41601</v>
      </c>
      <c r="I43">
        <v>113135</v>
      </c>
      <c r="J43">
        <v>0.05</v>
      </c>
      <c r="K43">
        <v>5656.75</v>
      </c>
      <c r="L43" t="s">
        <v>29</v>
      </c>
      <c r="M43" t="s">
        <v>51</v>
      </c>
      <c r="N43" s="18"/>
    </row>
    <row r="44" spans="1:14" x14ac:dyDescent="0.25">
      <c r="A44" t="s">
        <v>1500</v>
      </c>
      <c r="B44" t="s">
        <v>56</v>
      </c>
      <c r="C44" t="s">
        <v>26</v>
      </c>
      <c r="D44" t="s">
        <v>39</v>
      </c>
      <c r="E44" t="s">
        <v>33</v>
      </c>
      <c r="F44">
        <v>52</v>
      </c>
      <c r="G44" t="s">
        <v>119</v>
      </c>
      <c r="H44" s="18">
        <v>38664</v>
      </c>
      <c r="I44">
        <v>199808</v>
      </c>
      <c r="J44">
        <v>0.32</v>
      </c>
      <c r="K44">
        <v>63938.560000000005</v>
      </c>
      <c r="L44" t="s">
        <v>29</v>
      </c>
      <c r="M44" t="s">
        <v>30</v>
      </c>
      <c r="N44" s="18"/>
    </row>
    <row r="45" spans="1:14" x14ac:dyDescent="0.25">
      <c r="A45" t="s">
        <v>1501</v>
      </c>
      <c r="B45" t="s">
        <v>44</v>
      </c>
      <c r="C45" t="s">
        <v>45</v>
      </c>
      <c r="D45" t="s">
        <v>39</v>
      </c>
      <c r="E45" t="s">
        <v>33</v>
      </c>
      <c r="F45">
        <v>37</v>
      </c>
      <c r="G45" t="s">
        <v>121</v>
      </c>
      <c r="H45" s="18">
        <v>41592</v>
      </c>
      <c r="I45">
        <v>56037</v>
      </c>
      <c r="J45">
        <v>0</v>
      </c>
      <c r="K45">
        <v>0</v>
      </c>
      <c r="L45" t="s">
        <v>34</v>
      </c>
      <c r="M45" t="s">
        <v>55</v>
      </c>
      <c r="N45" s="18"/>
    </row>
    <row r="46" spans="1:14" x14ac:dyDescent="0.25">
      <c r="A46" t="s">
        <v>1502</v>
      </c>
      <c r="B46" t="s">
        <v>25</v>
      </c>
      <c r="C46" t="s">
        <v>57</v>
      </c>
      <c r="D46" t="s">
        <v>27</v>
      </c>
      <c r="E46" t="s">
        <v>28</v>
      </c>
      <c r="F46">
        <v>29</v>
      </c>
      <c r="G46" t="s">
        <v>120</v>
      </c>
      <c r="H46" s="18">
        <v>43609</v>
      </c>
      <c r="I46">
        <v>122350</v>
      </c>
      <c r="J46">
        <v>0.12</v>
      </c>
      <c r="K46">
        <v>14682</v>
      </c>
      <c r="L46" t="s">
        <v>29</v>
      </c>
      <c r="M46" t="s">
        <v>43</v>
      </c>
      <c r="N46" s="18"/>
    </row>
    <row r="47" spans="1:14" x14ac:dyDescent="0.25">
      <c r="A47" t="s">
        <v>1503</v>
      </c>
      <c r="B47" t="s">
        <v>67</v>
      </c>
      <c r="C47" t="s">
        <v>26</v>
      </c>
      <c r="D47" t="s">
        <v>27</v>
      </c>
      <c r="E47" t="s">
        <v>33</v>
      </c>
      <c r="F47">
        <v>40</v>
      </c>
      <c r="G47" t="s">
        <v>121</v>
      </c>
      <c r="H47" s="18">
        <v>40486</v>
      </c>
      <c r="I47">
        <v>92952</v>
      </c>
      <c r="J47">
        <v>0</v>
      </c>
      <c r="K47">
        <v>0</v>
      </c>
      <c r="L47" t="s">
        <v>29</v>
      </c>
      <c r="M47" t="s">
        <v>30</v>
      </c>
      <c r="N47" s="18"/>
    </row>
    <row r="48" spans="1:14" x14ac:dyDescent="0.25">
      <c r="A48" t="s">
        <v>1504</v>
      </c>
      <c r="B48" t="s">
        <v>41</v>
      </c>
      <c r="C48" t="s">
        <v>26</v>
      </c>
      <c r="D48" t="s">
        <v>46</v>
      </c>
      <c r="E48" t="s">
        <v>33</v>
      </c>
      <c r="F48">
        <v>32</v>
      </c>
      <c r="G48" t="s">
        <v>120</v>
      </c>
      <c r="H48" s="18">
        <v>41353</v>
      </c>
      <c r="I48">
        <v>79921</v>
      </c>
      <c r="J48">
        <v>0.05</v>
      </c>
      <c r="K48">
        <v>3996.05</v>
      </c>
      <c r="L48" t="s">
        <v>29</v>
      </c>
      <c r="M48" t="s">
        <v>51</v>
      </c>
      <c r="N48" s="18"/>
    </row>
    <row r="49" spans="1:14" x14ac:dyDescent="0.25">
      <c r="A49" t="s">
        <v>1505</v>
      </c>
      <c r="B49" t="s">
        <v>37</v>
      </c>
      <c r="C49" t="s">
        <v>26</v>
      </c>
      <c r="D49" t="s">
        <v>27</v>
      </c>
      <c r="E49" t="s">
        <v>28</v>
      </c>
      <c r="F49">
        <v>37</v>
      </c>
      <c r="G49" t="s">
        <v>121</v>
      </c>
      <c r="H49" s="18">
        <v>40076</v>
      </c>
      <c r="I49">
        <v>167199</v>
      </c>
      <c r="J49">
        <v>0.2</v>
      </c>
      <c r="K49">
        <v>33439.800000000003</v>
      </c>
      <c r="L49" t="s">
        <v>29</v>
      </c>
      <c r="M49" t="s">
        <v>30</v>
      </c>
      <c r="N49" s="18"/>
    </row>
    <row r="50" spans="1:14" x14ac:dyDescent="0.25">
      <c r="A50" t="s">
        <v>1506</v>
      </c>
      <c r="B50" t="s">
        <v>62</v>
      </c>
      <c r="C50" t="s">
        <v>54</v>
      </c>
      <c r="D50" t="s">
        <v>27</v>
      </c>
      <c r="E50" t="s">
        <v>33</v>
      </c>
      <c r="F50">
        <v>52</v>
      </c>
      <c r="G50" t="s">
        <v>119</v>
      </c>
      <c r="H50" s="18">
        <v>41199</v>
      </c>
      <c r="I50">
        <v>71476</v>
      </c>
      <c r="J50">
        <v>0</v>
      </c>
      <c r="K50">
        <v>0</v>
      </c>
      <c r="L50" t="s">
        <v>29</v>
      </c>
      <c r="M50" t="s">
        <v>43</v>
      </c>
      <c r="N50" s="18"/>
    </row>
    <row r="51" spans="1:14" x14ac:dyDescent="0.25">
      <c r="A51" t="s">
        <v>1507</v>
      </c>
      <c r="B51" t="s">
        <v>37</v>
      </c>
      <c r="C51" t="s">
        <v>54</v>
      </c>
      <c r="D51" t="s">
        <v>32</v>
      </c>
      <c r="E51" t="s">
        <v>28</v>
      </c>
      <c r="F51">
        <v>45</v>
      </c>
      <c r="G51" t="s">
        <v>119</v>
      </c>
      <c r="H51" s="18">
        <v>41941</v>
      </c>
      <c r="I51">
        <v>189420</v>
      </c>
      <c r="J51">
        <v>0.2</v>
      </c>
      <c r="K51">
        <v>37884</v>
      </c>
      <c r="L51" t="s">
        <v>29</v>
      </c>
      <c r="M51" t="s">
        <v>30</v>
      </c>
      <c r="N51" s="18"/>
    </row>
    <row r="52" spans="1:14" x14ac:dyDescent="0.25">
      <c r="A52" t="s">
        <v>1508</v>
      </c>
      <c r="B52" t="s">
        <v>70</v>
      </c>
      <c r="C52" t="s">
        <v>52</v>
      </c>
      <c r="D52" t="s">
        <v>27</v>
      </c>
      <c r="E52" t="s">
        <v>28</v>
      </c>
      <c r="F52">
        <v>64</v>
      </c>
      <c r="G52" t="s">
        <v>118</v>
      </c>
      <c r="H52" s="18">
        <v>37184</v>
      </c>
      <c r="I52">
        <v>64057</v>
      </c>
      <c r="J52">
        <v>0</v>
      </c>
      <c r="K52">
        <v>0</v>
      </c>
      <c r="L52" t="s">
        <v>29</v>
      </c>
      <c r="M52" t="s">
        <v>43</v>
      </c>
      <c r="N52" s="18"/>
    </row>
    <row r="53" spans="1:14" x14ac:dyDescent="0.25">
      <c r="A53" t="s">
        <v>1509</v>
      </c>
      <c r="B53" t="s">
        <v>66</v>
      </c>
      <c r="C53" t="s">
        <v>57</v>
      </c>
      <c r="D53" t="s">
        <v>32</v>
      </c>
      <c r="E53" t="s">
        <v>28</v>
      </c>
      <c r="F53">
        <v>27</v>
      </c>
      <c r="G53" t="s">
        <v>120</v>
      </c>
      <c r="H53" s="18">
        <v>44460</v>
      </c>
      <c r="I53">
        <v>68728</v>
      </c>
      <c r="J53">
        <v>0</v>
      </c>
      <c r="K53">
        <v>0</v>
      </c>
      <c r="L53" t="s">
        <v>29</v>
      </c>
      <c r="M53" t="s">
        <v>43</v>
      </c>
      <c r="N53" s="18"/>
    </row>
    <row r="54" spans="1:14" x14ac:dyDescent="0.25">
      <c r="A54" t="s">
        <v>1510</v>
      </c>
      <c r="B54" t="s">
        <v>25</v>
      </c>
      <c r="C54" t="s">
        <v>26</v>
      </c>
      <c r="D54" t="s">
        <v>32</v>
      </c>
      <c r="E54" t="s">
        <v>28</v>
      </c>
      <c r="F54">
        <v>25</v>
      </c>
      <c r="G54" t="s">
        <v>120</v>
      </c>
      <c r="H54" s="18">
        <v>44379</v>
      </c>
      <c r="I54">
        <v>125633</v>
      </c>
      <c r="J54">
        <v>0.11</v>
      </c>
      <c r="K54">
        <v>13819.63</v>
      </c>
      <c r="L54" t="s">
        <v>34</v>
      </c>
      <c r="M54" t="s">
        <v>64</v>
      </c>
      <c r="N54" s="18"/>
    </row>
    <row r="55" spans="1:14" x14ac:dyDescent="0.25">
      <c r="A55" t="s">
        <v>1511</v>
      </c>
      <c r="B55" t="s">
        <v>66</v>
      </c>
      <c r="C55" t="s">
        <v>57</v>
      </c>
      <c r="D55" t="s">
        <v>32</v>
      </c>
      <c r="E55" t="s">
        <v>33</v>
      </c>
      <c r="F55">
        <v>35</v>
      </c>
      <c r="G55" t="s">
        <v>121</v>
      </c>
      <c r="H55" s="18">
        <v>40678</v>
      </c>
      <c r="I55">
        <v>66889</v>
      </c>
      <c r="J55">
        <v>0</v>
      </c>
      <c r="K55">
        <v>0</v>
      </c>
      <c r="L55" t="s">
        <v>29</v>
      </c>
      <c r="M55" t="s">
        <v>58</v>
      </c>
      <c r="N55" s="18"/>
    </row>
    <row r="56" spans="1:14" x14ac:dyDescent="0.25">
      <c r="A56" t="s">
        <v>1512</v>
      </c>
      <c r="B56" t="s">
        <v>37</v>
      </c>
      <c r="C56" t="s">
        <v>50</v>
      </c>
      <c r="D56" t="s">
        <v>27</v>
      </c>
      <c r="E56" t="s">
        <v>28</v>
      </c>
      <c r="F56">
        <v>36</v>
      </c>
      <c r="G56" t="s">
        <v>121</v>
      </c>
      <c r="H56" s="18">
        <v>42276</v>
      </c>
      <c r="I56">
        <v>178700</v>
      </c>
      <c r="J56">
        <v>0.28999999999999998</v>
      </c>
      <c r="K56">
        <v>51823</v>
      </c>
      <c r="L56" t="s">
        <v>29</v>
      </c>
      <c r="M56" t="s">
        <v>30</v>
      </c>
      <c r="N56" s="18"/>
    </row>
    <row r="57" spans="1:14" x14ac:dyDescent="0.25">
      <c r="A57" t="s">
        <v>1513</v>
      </c>
      <c r="B57" t="s">
        <v>71</v>
      </c>
      <c r="C57" t="s">
        <v>54</v>
      </c>
      <c r="D57" t="s">
        <v>27</v>
      </c>
      <c r="E57" t="s">
        <v>28</v>
      </c>
      <c r="F57">
        <v>33</v>
      </c>
      <c r="G57" t="s">
        <v>120</v>
      </c>
      <c r="H57" s="18">
        <v>43456</v>
      </c>
      <c r="I57">
        <v>83990</v>
      </c>
      <c r="J57">
        <v>0</v>
      </c>
      <c r="K57">
        <v>0</v>
      </c>
      <c r="L57" t="s">
        <v>29</v>
      </c>
      <c r="M57" t="s">
        <v>40</v>
      </c>
      <c r="N57" s="18"/>
    </row>
    <row r="58" spans="1:14" x14ac:dyDescent="0.25">
      <c r="A58" t="s">
        <v>1514</v>
      </c>
      <c r="B58" t="s">
        <v>72</v>
      </c>
      <c r="C58" t="s">
        <v>54</v>
      </c>
      <c r="D58" t="s">
        <v>46</v>
      </c>
      <c r="E58" t="s">
        <v>28</v>
      </c>
      <c r="F58">
        <v>52</v>
      </c>
      <c r="G58" t="s">
        <v>119</v>
      </c>
      <c r="H58" s="18">
        <v>38696</v>
      </c>
      <c r="I58">
        <v>102043</v>
      </c>
      <c r="J58">
        <v>0</v>
      </c>
      <c r="K58">
        <v>0</v>
      </c>
      <c r="L58" t="s">
        <v>29</v>
      </c>
      <c r="M58" t="s">
        <v>40</v>
      </c>
      <c r="N58" s="18"/>
    </row>
    <row r="59" spans="1:14" x14ac:dyDescent="0.25">
      <c r="A59" t="s">
        <v>1515</v>
      </c>
      <c r="B59" t="s">
        <v>73</v>
      </c>
      <c r="C59" t="s">
        <v>54</v>
      </c>
      <c r="D59" t="s">
        <v>32</v>
      </c>
      <c r="E59" t="s">
        <v>28</v>
      </c>
      <c r="F59">
        <v>46</v>
      </c>
      <c r="G59" t="s">
        <v>119</v>
      </c>
      <c r="H59" s="18">
        <v>37041</v>
      </c>
      <c r="I59">
        <v>90678</v>
      </c>
      <c r="J59">
        <v>0</v>
      </c>
      <c r="K59">
        <v>0</v>
      </c>
      <c r="L59" t="s">
        <v>29</v>
      </c>
      <c r="M59" t="s">
        <v>58</v>
      </c>
      <c r="N59" s="18"/>
    </row>
    <row r="60" spans="1:14" x14ac:dyDescent="0.25">
      <c r="A60" t="s">
        <v>1516</v>
      </c>
      <c r="B60" t="s">
        <v>74</v>
      </c>
      <c r="C60" t="s">
        <v>52</v>
      </c>
      <c r="D60" t="s">
        <v>32</v>
      </c>
      <c r="E60" t="s">
        <v>28</v>
      </c>
      <c r="F60">
        <v>46</v>
      </c>
      <c r="G60" t="s">
        <v>119</v>
      </c>
      <c r="H60" s="18">
        <v>39681</v>
      </c>
      <c r="I60">
        <v>59067</v>
      </c>
      <c r="J60">
        <v>0</v>
      </c>
      <c r="K60">
        <v>0</v>
      </c>
      <c r="L60" t="s">
        <v>29</v>
      </c>
      <c r="M60" t="s">
        <v>49</v>
      </c>
      <c r="N60" s="18"/>
    </row>
    <row r="61" spans="1:14" x14ac:dyDescent="0.25">
      <c r="A61" t="s">
        <v>1517</v>
      </c>
      <c r="B61" t="s">
        <v>25</v>
      </c>
      <c r="C61" t="s">
        <v>57</v>
      </c>
      <c r="D61" t="s">
        <v>27</v>
      </c>
      <c r="E61" t="s">
        <v>33</v>
      </c>
      <c r="F61">
        <v>45</v>
      </c>
      <c r="G61" t="s">
        <v>119</v>
      </c>
      <c r="H61" s="18">
        <v>44266</v>
      </c>
      <c r="I61">
        <v>135062</v>
      </c>
      <c r="J61">
        <v>0.15</v>
      </c>
      <c r="K61">
        <v>20259.3</v>
      </c>
      <c r="L61" t="s">
        <v>34</v>
      </c>
      <c r="M61" t="s">
        <v>68</v>
      </c>
      <c r="N61" s="18"/>
    </row>
    <row r="62" spans="1:14" x14ac:dyDescent="0.25">
      <c r="A62" t="s">
        <v>1518</v>
      </c>
      <c r="B62" t="s">
        <v>25</v>
      </c>
      <c r="C62" t="s">
        <v>26</v>
      </c>
      <c r="D62" t="s">
        <v>46</v>
      </c>
      <c r="E62" t="s">
        <v>28</v>
      </c>
      <c r="F62">
        <v>55</v>
      </c>
      <c r="G62" t="s">
        <v>118</v>
      </c>
      <c r="H62" s="18">
        <v>38945</v>
      </c>
      <c r="I62">
        <v>159044</v>
      </c>
      <c r="J62">
        <v>0.1</v>
      </c>
      <c r="K62">
        <v>15904.400000000001</v>
      </c>
      <c r="L62" t="s">
        <v>59</v>
      </c>
      <c r="M62" t="s">
        <v>60</v>
      </c>
      <c r="N62" s="18"/>
    </row>
    <row r="63" spans="1:14" x14ac:dyDescent="0.25">
      <c r="A63" t="s">
        <v>1519</v>
      </c>
      <c r="B63" t="s">
        <v>42</v>
      </c>
      <c r="C63" t="s">
        <v>50</v>
      </c>
      <c r="D63" t="s">
        <v>32</v>
      </c>
      <c r="E63" t="s">
        <v>28</v>
      </c>
      <c r="F63">
        <v>44</v>
      </c>
      <c r="G63" t="s">
        <v>121</v>
      </c>
      <c r="H63" s="18">
        <v>43467</v>
      </c>
      <c r="I63">
        <v>74691</v>
      </c>
      <c r="J63">
        <v>0</v>
      </c>
      <c r="K63">
        <v>0</v>
      </c>
      <c r="L63" t="s">
        <v>59</v>
      </c>
      <c r="M63" t="s">
        <v>60</v>
      </c>
      <c r="N63" s="18">
        <v>44020</v>
      </c>
    </row>
    <row r="64" spans="1:14" x14ac:dyDescent="0.25">
      <c r="A64" t="s">
        <v>1520</v>
      </c>
      <c r="B64" t="s">
        <v>63</v>
      </c>
      <c r="C64" t="s">
        <v>54</v>
      </c>
      <c r="D64" t="s">
        <v>46</v>
      </c>
      <c r="E64" t="s">
        <v>28</v>
      </c>
      <c r="F64">
        <v>44</v>
      </c>
      <c r="G64" t="s">
        <v>121</v>
      </c>
      <c r="H64" s="18">
        <v>39800</v>
      </c>
      <c r="I64">
        <v>92753</v>
      </c>
      <c r="J64">
        <v>0.13</v>
      </c>
      <c r="K64">
        <v>12057.890000000001</v>
      </c>
      <c r="L64" t="s">
        <v>29</v>
      </c>
      <c r="M64" t="s">
        <v>51</v>
      </c>
      <c r="N64" s="18">
        <v>44371</v>
      </c>
    </row>
    <row r="65" spans="1:14" x14ac:dyDescent="0.25">
      <c r="A65" t="s">
        <v>1521</v>
      </c>
      <c r="B65" t="s">
        <v>56</v>
      </c>
      <c r="C65" t="s">
        <v>52</v>
      </c>
      <c r="D65" t="s">
        <v>39</v>
      </c>
      <c r="E65" t="s">
        <v>33</v>
      </c>
      <c r="F65">
        <v>45</v>
      </c>
      <c r="G65" t="s">
        <v>119</v>
      </c>
      <c r="H65" s="18">
        <v>41493</v>
      </c>
      <c r="I65">
        <v>236946</v>
      </c>
      <c r="J65">
        <v>0.37</v>
      </c>
      <c r="K65">
        <v>87670.02</v>
      </c>
      <c r="L65" t="s">
        <v>29</v>
      </c>
      <c r="M65" t="s">
        <v>30</v>
      </c>
      <c r="N65" s="18"/>
    </row>
    <row r="66" spans="1:14" x14ac:dyDescent="0.25">
      <c r="A66" t="s">
        <v>1522</v>
      </c>
      <c r="B66" t="s">
        <v>48</v>
      </c>
      <c r="C66" t="s">
        <v>38</v>
      </c>
      <c r="D66" t="s">
        <v>46</v>
      </c>
      <c r="E66" t="s">
        <v>28</v>
      </c>
      <c r="F66">
        <v>36</v>
      </c>
      <c r="G66" t="s">
        <v>121</v>
      </c>
      <c r="H66" s="18">
        <v>44435</v>
      </c>
      <c r="I66">
        <v>48906</v>
      </c>
      <c r="J66">
        <v>0</v>
      </c>
      <c r="K66">
        <v>0</v>
      </c>
      <c r="L66" t="s">
        <v>29</v>
      </c>
      <c r="M66" t="s">
        <v>49</v>
      </c>
      <c r="N66" s="18"/>
    </row>
    <row r="67" spans="1:14" x14ac:dyDescent="0.25">
      <c r="A67" t="s">
        <v>1523</v>
      </c>
      <c r="B67" t="s">
        <v>42</v>
      </c>
      <c r="C67" t="s">
        <v>45</v>
      </c>
      <c r="D67" t="s">
        <v>46</v>
      </c>
      <c r="E67" t="s">
        <v>28</v>
      </c>
      <c r="F67">
        <v>38</v>
      </c>
      <c r="G67" t="s">
        <v>121</v>
      </c>
      <c r="H67" s="18">
        <v>39474</v>
      </c>
      <c r="I67">
        <v>80024</v>
      </c>
      <c r="J67">
        <v>0</v>
      </c>
      <c r="K67">
        <v>0</v>
      </c>
      <c r="L67" t="s">
        <v>29</v>
      </c>
      <c r="M67" t="s">
        <v>58</v>
      </c>
      <c r="N67" s="18"/>
    </row>
    <row r="68" spans="1:14" x14ac:dyDescent="0.25">
      <c r="A68" t="s">
        <v>1524</v>
      </c>
      <c r="B68" t="s">
        <v>70</v>
      </c>
      <c r="C68" t="s">
        <v>52</v>
      </c>
      <c r="D68" t="s">
        <v>39</v>
      </c>
      <c r="E68" t="s">
        <v>28</v>
      </c>
      <c r="F68">
        <v>41</v>
      </c>
      <c r="G68" t="s">
        <v>121</v>
      </c>
      <c r="H68" s="18">
        <v>40109</v>
      </c>
      <c r="I68">
        <v>54415</v>
      </c>
      <c r="J68">
        <v>0</v>
      </c>
      <c r="K68">
        <v>0</v>
      </c>
      <c r="L68" t="s">
        <v>29</v>
      </c>
      <c r="M68" t="s">
        <v>30</v>
      </c>
      <c r="N68" s="18">
        <v>41661</v>
      </c>
    </row>
    <row r="69" spans="1:14" x14ac:dyDescent="0.25">
      <c r="A69" t="s">
        <v>1525</v>
      </c>
      <c r="B69" t="s">
        <v>47</v>
      </c>
      <c r="C69" t="s">
        <v>57</v>
      </c>
      <c r="D69" t="s">
        <v>27</v>
      </c>
      <c r="E69" t="s">
        <v>28</v>
      </c>
      <c r="F69">
        <v>30</v>
      </c>
      <c r="G69" t="s">
        <v>120</v>
      </c>
      <c r="H69" s="18">
        <v>42484</v>
      </c>
      <c r="I69">
        <v>120341</v>
      </c>
      <c r="J69">
        <v>7.0000000000000007E-2</v>
      </c>
      <c r="K69">
        <v>8423.8700000000008</v>
      </c>
      <c r="L69" t="s">
        <v>29</v>
      </c>
      <c r="M69" t="s">
        <v>30</v>
      </c>
      <c r="N69" s="18"/>
    </row>
    <row r="70" spans="1:14" x14ac:dyDescent="0.25">
      <c r="A70" t="s">
        <v>1526</v>
      </c>
      <c r="B70" t="s">
        <v>56</v>
      </c>
      <c r="C70" t="s">
        <v>26</v>
      </c>
      <c r="D70" t="s">
        <v>39</v>
      </c>
      <c r="E70" t="s">
        <v>28</v>
      </c>
      <c r="F70">
        <v>43</v>
      </c>
      <c r="G70" t="s">
        <v>121</v>
      </c>
      <c r="H70" s="18">
        <v>40029</v>
      </c>
      <c r="I70">
        <v>208415</v>
      </c>
      <c r="J70">
        <v>0.35</v>
      </c>
      <c r="K70">
        <v>72945.25</v>
      </c>
      <c r="L70" t="s">
        <v>29</v>
      </c>
      <c r="M70" t="s">
        <v>30</v>
      </c>
      <c r="N70" s="18"/>
    </row>
    <row r="71" spans="1:14" x14ac:dyDescent="0.25">
      <c r="A71" t="s">
        <v>1527</v>
      </c>
      <c r="B71" t="s">
        <v>75</v>
      </c>
      <c r="C71" t="s">
        <v>26</v>
      </c>
      <c r="D71" t="s">
        <v>39</v>
      </c>
      <c r="E71" t="s">
        <v>28</v>
      </c>
      <c r="F71">
        <v>32</v>
      </c>
      <c r="G71" t="s">
        <v>120</v>
      </c>
      <c r="H71" s="18">
        <v>43835</v>
      </c>
      <c r="I71">
        <v>78844</v>
      </c>
      <c r="J71">
        <v>0</v>
      </c>
      <c r="K71">
        <v>0</v>
      </c>
      <c r="L71" t="s">
        <v>29</v>
      </c>
      <c r="M71" t="s">
        <v>30</v>
      </c>
      <c r="N71" s="18"/>
    </row>
    <row r="72" spans="1:14" x14ac:dyDescent="0.25">
      <c r="A72" t="s">
        <v>1528</v>
      </c>
      <c r="B72" t="s">
        <v>71</v>
      </c>
      <c r="C72" t="s">
        <v>54</v>
      </c>
      <c r="D72" t="s">
        <v>32</v>
      </c>
      <c r="E72" t="s">
        <v>33</v>
      </c>
      <c r="F72">
        <v>58</v>
      </c>
      <c r="G72" t="s">
        <v>118</v>
      </c>
      <c r="H72" s="18">
        <v>37399</v>
      </c>
      <c r="I72">
        <v>76354</v>
      </c>
      <c r="J72">
        <v>0</v>
      </c>
      <c r="K72">
        <v>0</v>
      </c>
      <c r="L72" t="s">
        <v>29</v>
      </c>
      <c r="M72" t="s">
        <v>43</v>
      </c>
      <c r="N72" s="18">
        <v>44465</v>
      </c>
    </row>
    <row r="73" spans="1:14" x14ac:dyDescent="0.25">
      <c r="A73" t="s">
        <v>1529</v>
      </c>
      <c r="B73" t="s">
        <v>37</v>
      </c>
      <c r="C73" t="s">
        <v>38</v>
      </c>
      <c r="D73" t="s">
        <v>39</v>
      </c>
      <c r="E73" t="s">
        <v>28</v>
      </c>
      <c r="F73">
        <v>37</v>
      </c>
      <c r="G73" t="s">
        <v>121</v>
      </c>
      <c r="H73" s="18">
        <v>43493</v>
      </c>
      <c r="I73">
        <v>165927</v>
      </c>
      <c r="J73">
        <v>0.2</v>
      </c>
      <c r="K73">
        <v>33185.4</v>
      </c>
      <c r="L73" t="s">
        <v>29</v>
      </c>
      <c r="M73" t="s">
        <v>43</v>
      </c>
      <c r="N73" s="18"/>
    </row>
    <row r="74" spans="1:14" x14ac:dyDescent="0.25">
      <c r="A74" t="s">
        <v>1530</v>
      </c>
      <c r="B74" t="s">
        <v>47</v>
      </c>
      <c r="C74" t="s">
        <v>50</v>
      </c>
      <c r="D74" t="s">
        <v>39</v>
      </c>
      <c r="E74" t="s">
        <v>28</v>
      </c>
      <c r="F74">
        <v>38</v>
      </c>
      <c r="G74" t="s">
        <v>121</v>
      </c>
      <c r="H74" s="18">
        <v>44516</v>
      </c>
      <c r="I74">
        <v>109812</v>
      </c>
      <c r="J74">
        <v>0.09</v>
      </c>
      <c r="K74">
        <v>9883.08</v>
      </c>
      <c r="L74" t="s">
        <v>59</v>
      </c>
      <c r="M74" t="s">
        <v>60</v>
      </c>
      <c r="N74" s="18"/>
    </row>
    <row r="75" spans="1:14" x14ac:dyDescent="0.25">
      <c r="A75" t="s">
        <v>1531</v>
      </c>
      <c r="B75" t="s">
        <v>53</v>
      </c>
      <c r="C75" t="s">
        <v>54</v>
      </c>
      <c r="D75" t="s">
        <v>46</v>
      </c>
      <c r="E75" t="s">
        <v>33</v>
      </c>
      <c r="F75">
        <v>55</v>
      </c>
      <c r="G75" t="s">
        <v>118</v>
      </c>
      <c r="H75" s="18">
        <v>36041</v>
      </c>
      <c r="I75">
        <v>86299</v>
      </c>
      <c r="J75">
        <v>0</v>
      </c>
      <c r="K75">
        <v>0</v>
      </c>
      <c r="L75" t="s">
        <v>29</v>
      </c>
      <c r="M75" t="s">
        <v>30</v>
      </c>
      <c r="N75" s="18"/>
    </row>
    <row r="76" spans="1:14" x14ac:dyDescent="0.25">
      <c r="A76" t="s">
        <v>1532</v>
      </c>
      <c r="B76" t="s">
        <v>56</v>
      </c>
      <c r="C76" t="s">
        <v>57</v>
      </c>
      <c r="D76" t="s">
        <v>27</v>
      </c>
      <c r="E76" t="s">
        <v>33</v>
      </c>
      <c r="F76">
        <v>57</v>
      </c>
      <c r="G76" t="s">
        <v>118</v>
      </c>
      <c r="H76" s="18">
        <v>37828</v>
      </c>
      <c r="I76">
        <v>206624</v>
      </c>
      <c r="J76">
        <v>0.4</v>
      </c>
      <c r="K76">
        <v>82649.600000000006</v>
      </c>
      <c r="L76" t="s">
        <v>59</v>
      </c>
      <c r="M76" t="s">
        <v>76</v>
      </c>
      <c r="N76" s="18"/>
    </row>
    <row r="77" spans="1:14" x14ac:dyDescent="0.25">
      <c r="A77" t="s">
        <v>1533</v>
      </c>
      <c r="B77" t="s">
        <v>65</v>
      </c>
      <c r="C77" t="s">
        <v>26</v>
      </c>
      <c r="D77" t="s">
        <v>32</v>
      </c>
      <c r="E77" t="s">
        <v>33</v>
      </c>
      <c r="F77">
        <v>36</v>
      </c>
      <c r="G77" t="s">
        <v>121</v>
      </c>
      <c r="H77" s="18">
        <v>40535</v>
      </c>
      <c r="I77">
        <v>53215</v>
      </c>
      <c r="J77">
        <v>0</v>
      </c>
      <c r="K77">
        <v>0</v>
      </c>
      <c r="L77" t="s">
        <v>59</v>
      </c>
      <c r="M77" t="s">
        <v>76</v>
      </c>
      <c r="N77" s="18">
        <v>41725</v>
      </c>
    </row>
    <row r="78" spans="1:14" x14ac:dyDescent="0.25">
      <c r="A78" t="s">
        <v>1534</v>
      </c>
      <c r="B78" t="s">
        <v>77</v>
      </c>
      <c r="C78" t="s">
        <v>54</v>
      </c>
      <c r="D78" t="s">
        <v>27</v>
      </c>
      <c r="E78" t="s">
        <v>28</v>
      </c>
      <c r="F78">
        <v>30</v>
      </c>
      <c r="G78" t="s">
        <v>120</v>
      </c>
      <c r="H78" s="18">
        <v>42877</v>
      </c>
      <c r="I78">
        <v>86858</v>
      </c>
      <c r="J78">
        <v>0</v>
      </c>
      <c r="K78">
        <v>0</v>
      </c>
      <c r="L78" t="s">
        <v>34</v>
      </c>
      <c r="M78" t="s">
        <v>35</v>
      </c>
      <c r="N78" s="18">
        <v>43016</v>
      </c>
    </row>
    <row r="79" spans="1:14" x14ac:dyDescent="0.25">
      <c r="A79" t="s">
        <v>1535</v>
      </c>
      <c r="B79" t="s">
        <v>41</v>
      </c>
      <c r="C79" t="s">
        <v>26</v>
      </c>
      <c r="D79" t="s">
        <v>32</v>
      </c>
      <c r="E79" t="s">
        <v>33</v>
      </c>
      <c r="F79">
        <v>40</v>
      </c>
      <c r="G79" t="s">
        <v>121</v>
      </c>
      <c r="H79" s="18">
        <v>39265</v>
      </c>
      <c r="I79">
        <v>93971</v>
      </c>
      <c r="J79">
        <v>0.08</v>
      </c>
      <c r="K79">
        <v>7517.68</v>
      </c>
      <c r="L79" t="s">
        <v>34</v>
      </c>
      <c r="M79" t="s">
        <v>35</v>
      </c>
      <c r="N79" s="18"/>
    </row>
    <row r="80" spans="1:14" x14ac:dyDescent="0.25">
      <c r="A80" t="s">
        <v>1536</v>
      </c>
      <c r="B80" t="s">
        <v>66</v>
      </c>
      <c r="C80" t="s">
        <v>38</v>
      </c>
      <c r="D80" t="s">
        <v>46</v>
      </c>
      <c r="E80" t="s">
        <v>33</v>
      </c>
      <c r="F80">
        <v>34</v>
      </c>
      <c r="G80" t="s">
        <v>120</v>
      </c>
      <c r="H80" s="18">
        <v>42182</v>
      </c>
      <c r="I80">
        <v>57008</v>
      </c>
      <c r="J80">
        <v>0</v>
      </c>
      <c r="K80">
        <v>0</v>
      </c>
      <c r="L80" t="s">
        <v>29</v>
      </c>
      <c r="M80" t="s">
        <v>43</v>
      </c>
      <c r="N80" s="18"/>
    </row>
    <row r="81" spans="1:14" x14ac:dyDescent="0.25">
      <c r="A81" t="s">
        <v>1537</v>
      </c>
      <c r="B81" t="s">
        <v>25</v>
      </c>
      <c r="C81" t="s">
        <v>38</v>
      </c>
      <c r="D81" t="s">
        <v>32</v>
      </c>
      <c r="E81" t="s">
        <v>33</v>
      </c>
      <c r="F81">
        <v>60</v>
      </c>
      <c r="G81" t="s">
        <v>118</v>
      </c>
      <c r="H81" s="18">
        <v>42270</v>
      </c>
      <c r="I81">
        <v>141899</v>
      </c>
      <c r="J81">
        <v>0.15</v>
      </c>
      <c r="K81">
        <v>21284.85</v>
      </c>
      <c r="L81" t="s">
        <v>29</v>
      </c>
      <c r="M81" t="s">
        <v>43</v>
      </c>
      <c r="N81" s="18"/>
    </row>
    <row r="82" spans="1:14" x14ac:dyDescent="0.25">
      <c r="A82" t="s">
        <v>1538</v>
      </c>
      <c r="B82" t="s">
        <v>66</v>
      </c>
      <c r="C82" t="s">
        <v>57</v>
      </c>
      <c r="D82" t="s">
        <v>46</v>
      </c>
      <c r="E82" t="s">
        <v>33</v>
      </c>
      <c r="F82">
        <v>41</v>
      </c>
      <c r="G82" t="s">
        <v>121</v>
      </c>
      <c r="H82" s="18">
        <v>42626</v>
      </c>
      <c r="I82">
        <v>64847</v>
      </c>
      <c r="J82">
        <v>0</v>
      </c>
      <c r="K82">
        <v>0</v>
      </c>
      <c r="L82" t="s">
        <v>29</v>
      </c>
      <c r="M82" t="s">
        <v>49</v>
      </c>
      <c r="N82" s="18"/>
    </row>
    <row r="83" spans="1:14" x14ac:dyDescent="0.25">
      <c r="A83" t="s">
        <v>1539</v>
      </c>
      <c r="B83" t="s">
        <v>63</v>
      </c>
      <c r="C83" t="s">
        <v>54</v>
      </c>
      <c r="D83" t="s">
        <v>27</v>
      </c>
      <c r="E83" t="s">
        <v>33</v>
      </c>
      <c r="F83">
        <v>53</v>
      </c>
      <c r="G83" t="s">
        <v>119</v>
      </c>
      <c r="H83" s="18">
        <v>33702</v>
      </c>
      <c r="I83">
        <v>116878</v>
      </c>
      <c r="J83">
        <v>0.11</v>
      </c>
      <c r="K83">
        <v>12856.58</v>
      </c>
      <c r="L83" t="s">
        <v>29</v>
      </c>
      <c r="M83" t="s">
        <v>49</v>
      </c>
      <c r="N83" s="18"/>
    </row>
    <row r="84" spans="1:14" x14ac:dyDescent="0.25">
      <c r="A84" t="s">
        <v>1540</v>
      </c>
      <c r="B84" t="s">
        <v>62</v>
      </c>
      <c r="C84" t="s">
        <v>54</v>
      </c>
      <c r="D84" t="s">
        <v>39</v>
      </c>
      <c r="E84" t="s">
        <v>33</v>
      </c>
      <c r="F84">
        <v>45</v>
      </c>
      <c r="G84" t="s">
        <v>119</v>
      </c>
      <c r="H84" s="18">
        <v>38388</v>
      </c>
      <c r="I84">
        <v>70505</v>
      </c>
      <c r="J84">
        <v>0</v>
      </c>
      <c r="K84">
        <v>0</v>
      </c>
      <c r="L84" t="s">
        <v>29</v>
      </c>
      <c r="M84" t="s">
        <v>51</v>
      </c>
      <c r="N84" s="18"/>
    </row>
    <row r="85" spans="1:14" x14ac:dyDescent="0.25">
      <c r="A85" t="s">
        <v>1541</v>
      </c>
      <c r="B85" t="s">
        <v>37</v>
      </c>
      <c r="C85" t="s">
        <v>54</v>
      </c>
      <c r="D85" t="s">
        <v>27</v>
      </c>
      <c r="E85" t="s">
        <v>28</v>
      </c>
      <c r="F85">
        <v>30</v>
      </c>
      <c r="G85" t="s">
        <v>120</v>
      </c>
      <c r="H85" s="18">
        <v>42512</v>
      </c>
      <c r="I85">
        <v>189702</v>
      </c>
      <c r="J85">
        <v>0.28000000000000003</v>
      </c>
      <c r="K85">
        <v>53116.560000000005</v>
      </c>
      <c r="L85" t="s">
        <v>59</v>
      </c>
      <c r="M85" t="s">
        <v>60</v>
      </c>
      <c r="N85" s="18">
        <v>44186</v>
      </c>
    </row>
    <row r="86" spans="1:14" x14ac:dyDescent="0.25">
      <c r="A86" t="s">
        <v>1542</v>
      </c>
      <c r="B86" t="s">
        <v>37</v>
      </c>
      <c r="C86" t="s">
        <v>50</v>
      </c>
      <c r="D86" t="s">
        <v>39</v>
      </c>
      <c r="E86" t="s">
        <v>33</v>
      </c>
      <c r="F86">
        <v>26</v>
      </c>
      <c r="G86" t="s">
        <v>120</v>
      </c>
      <c r="H86" s="18">
        <v>44040</v>
      </c>
      <c r="I86">
        <v>180664</v>
      </c>
      <c r="J86">
        <v>0.27</v>
      </c>
      <c r="K86">
        <v>48779.280000000006</v>
      </c>
      <c r="L86" t="s">
        <v>29</v>
      </c>
      <c r="M86" t="s">
        <v>40</v>
      </c>
      <c r="N86" s="18"/>
    </row>
    <row r="87" spans="1:14" x14ac:dyDescent="0.25">
      <c r="A87" t="s">
        <v>1543</v>
      </c>
      <c r="B87" t="s">
        <v>74</v>
      </c>
      <c r="C87" t="s">
        <v>52</v>
      </c>
      <c r="D87" t="s">
        <v>32</v>
      </c>
      <c r="E87" t="s">
        <v>28</v>
      </c>
      <c r="F87">
        <v>45</v>
      </c>
      <c r="G87" t="s">
        <v>119</v>
      </c>
      <c r="H87" s="18">
        <v>37972</v>
      </c>
      <c r="I87">
        <v>48345</v>
      </c>
      <c r="J87">
        <v>0</v>
      </c>
      <c r="K87">
        <v>0</v>
      </c>
      <c r="L87" t="s">
        <v>34</v>
      </c>
      <c r="M87" t="s">
        <v>68</v>
      </c>
      <c r="N87" s="18"/>
    </row>
    <row r="88" spans="1:14" x14ac:dyDescent="0.25">
      <c r="A88" t="s">
        <v>1544</v>
      </c>
      <c r="B88" t="s">
        <v>37</v>
      </c>
      <c r="C88" t="s">
        <v>52</v>
      </c>
      <c r="D88" t="s">
        <v>32</v>
      </c>
      <c r="E88" t="s">
        <v>33</v>
      </c>
      <c r="F88">
        <v>42</v>
      </c>
      <c r="G88" t="s">
        <v>121</v>
      </c>
      <c r="H88" s="18">
        <v>41655</v>
      </c>
      <c r="I88">
        <v>152214</v>
      </c>
      <c r="J88">
        <v>0.3</v>
      </c>
      <c r="K88">
        <v>45664.2</v>
      </c>
      <c r="L88" t="s">
        <v>34</v>
      </c>
      <c r="M88" t="s">
        <v>64</v>
      </c>
      <c r="N88" s="18"/>
    </row>
    <row r="89" spans="1:14" x14ac:dyDescent="0.25">
      <c r="A89" t="s">
        <v>1545</v>
      </c>
      <c r="B89" t="s">
        <v>75</v>
      </c>
      <c r="C89" t="s">
        <v>26</v>
      </c>
      <c r="D89" t="s">
        <v>46</v>
      </c>
      <c r="E89" t="s">
        <v>28</v>
      </c>
      <c r="F89">
        <v>41</v>
      </c>
      <c r="G89" t="s">
        <v>121</v>
      </c>
      <c r="H89" s="18">
        <v>39931</v>
      </c>
      <c r="I89">
        <v>69803</v>
      </c>
      <c r="J89">
        <v>0</v>
      </c>
      <c r="K89">
        <v>0</v>
      </c>
      <c r="L89" t="s">
        <v>59</v>
      </c>
      <c r="M89" t="s">
        <v>60</v>
      </c>
      <c r="N89" s="18"/>
    </row>
    <row r="90" spans="1:14" x14ac:dyDescent="0.25">
      <c r="A90" t="s">
        <v>1546</v>
      </c>
      <c r="B90" t="s">
        <v>78</v>
      </c>
      <c r="C90" t="s">
        <v>26</v>
      </c>
      <c r="D90" t="s">
        <v>46</v>
      </c>
      <c r="E90" t="s">
        <v>28</v>
      </c>
      <c r="F90">
        <v>48</v>
      </c>
      <c r="G90" t="s">
        <v>119</v>
      </c>
      <c r="H90" s="18">
        <v>43650</v>
      </c>
      <c r="I90">
        <v>76588</v>
      </c>
      <c r="J90">
        <v>0</v>
      </c>
      <c r="K90">
        <v>0</v>
      </c>
      <c r="L90" t="s">
        <v>59</v>
      </c>
      <c r="M90" t="s">
        <v>61</v>
      </c>
      <c r="N90" s="18"/>
    </row>
    <row r="91" spans="1:14" x14ac:dyDescent="0.25">
      <c r="A91" t="s">
        <v>1547</v>
      </c>
      <c r="B91" t="s">
        <v>79</v>
      </c>
      <c r="C91" t="s">
        <v>26</v>
      </c>
      <c r="D91" t="s">
        <v>32</v>
      </c>
      <c r="E91" t="s">
        <v>33</v>
      </c>
      <c r="F91">
        <v>29</v>
      </c>
      <c r="G91" t="s">
        <v>120</v>
      </c>
      <c r="H91" s="18">
        <v>43444</v>
      </c>
      <c r="I91">
        <v>84596</v>
      </c>
      <c r="J91">
        <v>0</v>
      </c>
      <c r="K91">
        <v>0</v>
      </c>
      <c r="L91" t="s">
        <v>29</v>
      </c>
      <c r="M91" t="s">
        <v>49</v>
      </c>
      <c r="N91" s="18"/>
    </row>
    <row r="92" spans="1:14" x14ac:dyDescent="0.25">
      <c r="A92" t="s">
        <v>1548</v>
      </c>
      <c r="B92" t="s">
        <v>47</v>
      </c>
      <c r="C92" t="s">
        <v>57</v>
      </c>
      <c r="D92" t="s">
        <v>27</v>
      </c>
      <c r="E92" t="s">
        <v>33</v>
      </c>
      <c r="F92">
        <v>27</v>
      </c>
      <c r="G92" t="s">
        <v>120</v>
      </c>
      <c r="H92" s="18">
        <v>43368</v>
      </c>
      <c r="I92">
        <v>114441</v>
      </c>
      <c r="J92">
        <v>0.1</v>
      </c>
      <c r="K92">
        <v>11444.1</v>
      </c>
      <c r="L92" t="s">
        <v>34</v>
      </c>
      <c r="M92" t="s">
        <v>35</v>
      </c>
      <c r="N92" s="18">
        <v>43821</v>
      </c>
    </row>
    <row r="93" spans="1:14" x14ac:dyDescent="0.25">
      <c r="A93" t="s">
        <v>1549</v>
      </c>
      <c r="B93" t="s">
        <v>25</v>
      </c>
      <c r="C93" t="s">
        <v>38</v>
      </c>
      <c r="D93" t="s">
        <v>39</v>
      </c>
      <c r="E93" t="s">
        <v>28</v>
      </c>
      <c r="F93">
        <v>33</v>
      </c>
      <c r="G93" t="s">
        <v>120</v>
      </c>
      <c r="H93" s="18">
        <v>43211</v>
      </c>
      <c r="I93">
        <v>140402</v>
      </c>
      <c r="J93">
        <v>0.15</v>
      </c>
      <c r="K93">
        <v>21060.3</v>
      </c>
      <c r="L93" t="s">
        <v>34</v>
      </c>
      <c r="M93" t="s">
        <v>64</v>
      </c>
      <c r="N93" s="18"/>
    </row>
    <row r="94" spans="1:14" x14ac:dyDescent="0.25">
      <c r="A94" t="s">
        <v>1550</v>
      </c>
      <c r="B94" t="s">
        <v>66</v>
      </c>
      <c r="C94" t="s">
        <v>38</v>
      </c>
      <c r="D94" t="s">
        <v>46</v>
      </c>
      <c r="E94" t="s">
        <v>28</v>
      </c>
      <c r="F94">
        <v>26</v>
      </c>
      <c r="G94" t="s">
        <v>120</v>
      </c>
      <c r="H94" s="18">
        <v>43578</v>
      </c>
      <c r="I94">
        <v>59817</v>
      </c>
      <c r="J94">
        <v>0</v>
      </c>
      <c r="K94">
        <v>0</v>
      </c>
      <c r="L94" t="s">
        <v>59</v>
      </c>
      <c r="M94" t="s">
        <v>76</v>
      </c>
      <c r="N94" s="18"/>
    </row>
    <row r="95" spans="1:14" x14ac:dyDescent="0.25">
      <c r="A95" t="s">
        <v>1551</v>
      </c>
      <c r="B95" t="s">
        <v>44</v>
      </c>
      <c r="C95" t="s">
        <v>45</v>
      </c>
      <c r="D95" t="s">
        <v>32</v>
      </c>
      <c r="E95" t="s">
        <v>33</v>
      </c>
      <c r="F95">
        <v>31</v>
      </c>
      <c r="G95" t="s">
        <v>120</v>
      </c>
      <c r="H95" s="18">
        <v>42938</v>
      </c>
      <c r="I95">
        <v>55854</v>
      </c>
      <c r="J95">
        <v>0</v>
      </c>
      <c r="K95">
        <v>0</v>
      </c>
      <c r="L95" t="s">
        <v>29</v>
      </c>
      <c r="M95" t="s">
        <v>51</v>
      </c>
      <c r="N95" s="18"/>
    </row>
    <row r="96" spans="1:14" x14ac:dyDescent="0.25">
      <c r="A96" t="s">
        <v>1552</v>
      </c>
      <c r="B96" t="s">
        <v>69</v>
      </c>
      <c r="C96" t="s">
        <v>52</v>
      </c>
      <c r="D96" t="s">
        <v>27</v>
      </c>
      <c r="E96" t="s">
        <v>33</v>
      </c>
      <c r="F96">
        <v>53</v>
      </c>
      <c r="G96" t="s">
        <v>119</v>
      </c>
      <c r="H96" s="18">
        <v>37576</v>
      </c>
      <c r="I96">
        <v>95998</v>
      </c>
      <c r="J96">
        <v>0</v>
      </c>
      <c r="K96">
        <v>0</v>
      </c>
      <c r="L96" t="s">
        <v>29</v>
      </c>
      <c r="M96" t="s">
        <v>30</v>
      </c>
      <c r="N96" s="18"/>
    </row>
    <row r="97" spans="1:14" x14ac:dyDescent="0.25">
      <c r="A97" t="s">
        <v>1553</v>
      </c>
      <c r="B97" t="s">
        <v>25</v>
      </c>
      <c r="C97" t="s">
        <v>45</v>
      </c>
      <c r="D97" t="s">
        <v>32</v>
      </c>
      <c r="E97" t="s">
        <v>28</v>
      </c>
      <c r="F97">
        <v>34</v>
      </c>
      <c r="G97" t="s">
        <v>120</v>
      </c>
      <c r="H97" s="18">
        <v>42116</v>
      </c>
      <c r="I97">
        <v>154941</v>
      </c>
      <c r="J97">
        <v>0.13</v>
      </c>
      <c r="K97">
        <v>20142.330000000002</v>
      </c>
      <c r="L97" t="s">
        <v>29</v>
      </c>
      <c r="M97" t="s">
        <v>43</v>
      </c>
      <c r="N97" s="18"/>
    </row>
    <row r="98" spans="1:14" x14ac:dyDescent="0.25">
      <c r="A98" t="s">
        <v>1554</v>
      </c>
      <c r="B98" t="s">
        <v>56</v>
      </c>
      <c r="C98" t="s">
        <v>38</v>
      </c>
      <c r="D98" t="s">
        <v>39</v>
      </c>
      <c r="E98" t="s">
        <v>28</v>
      </c>
      <c r="F98">
        <v>54</v>
      </c>
      <c r="G98" t="s">
        <v>119</v>
      </c>
      <c r="H98" s="18">
        <v>40734</v>
      </c>
      <c r="I98">
        <v>247022</v>
      </c>
      <c r="J98">
        <v>0.3</v>
      </c>
      <c r="K98">
        <v>74106.599999999991</v>
      </c>
      <c r="L98" t="s">
        <v>34</v>
      </c>
      <c r="M98" t="s">
        <v>64</v>
      </c>
      <c r="N98" s="18"/>
    </row>
    <row r="99" spans="1:14" x14ac:dyDescent="0.25">
      <c r="A99" t="s">
        <v>1555</v>
      </c>
      <c r="B99" t="s">
        <v>78</v>
      </c>
      <c r="C99" t="s">
        <v>26</v>
      </c>
      <c r="D99" t="s">
        <v>32</v>
      </c>
      <c r="E99" t="s">
        <v>28</v>
      </c>
      <c r="F99">
        <v>32</v>
      </c>
      <c r="G99" t="s">
        <v>120</v>
      </c>
      <c r="H99" s="18">
        <v>44474</v>
      </c>
      <c r="I99">
        <v>88072</v>
      </c>
      <c r="J99">
        <v>0</v>
      </c>
      <c r="K99">
        <v>0</v>
      </c>
      <c r="L99" t="s">
        <v>59</v>
      </c>
      <c r="M99" t="s">
        <v>76</v>
      </c>
      <c r="N99" s="18"/>
    </row>
    <row r="100" spans="1:14" x14ac:dyDescent="0.25">
      <c r="A100" t="s">
        <v>1556</v>
      </c>
      <c r="B100" t="s">
        <v>41</v>
      </c>
      <c r="C100" t="s">
        <v>26</v>
      </c>
      <c r="D100" t="s">
        <v>27</v>
      </c>
      <c r="E100" t="s">
        <v>33</v>
      </c>
      <c r="F100">
        <v>28</v>
      </c>
      <c r="G100" t="s">
        <v>120</v>
      </c>
      <c r="H100" s="18">
        <v>43977</v>
      </c>
      <c r="I100">
        <v>67925</v>
      </c>
      <c r="J100">
        <v>0.08</v>
      </c>
      <c r="K100">
        <v>5434</v>
      </c>
      <c r="L100" t="s">
        <v>34</v>
      </c>
      <c r="M100" t="s">
        <v>55</v>
      </c>
      <c r="N100" s="18"/>
    </row>
    <row r="101" spans="1:14" x14ac:dyDescent="0.25">
      <c r="A101" t="s">
        <v>1557</v>
      </c>
      <c r="B101" t="s">
        <v>56</v>
      </c>
      <c r="C101" t="s">
        <v>45</v>
      </c>
      <c r="D101" t="s">
        <v>32</v>
      </c>
      <c r="E101" t="s">
        <v>28</v>
      </c>
      <c r="F101">
        <v>31</v>
      </c>
      <c r="G101" t="s">
        <v>120</v>
      </c>
      <c r="H101" s="18">
        <v>44063</v>
      </c>
      <c r="I101">
        <v>219693</v>
      </c>
      <c r="J101">
        <v>0.3</v>
      </c>
      <c r="K101">
        <v>65907.899999999994</v>
      </c>
      <c r="L101" t="s">
        <v>29</v>
      </c>
      <c r="M101" t="s">
        <v>51</v>
      </c>
      <c r="N101" s="18"/>
    </row>
    <row r="102" spans="1:14" x14ac:dyDescent="0.25">
      <c r="A102" t="s">
        <v>1558</v>
      </c>
      <c r="B102" t="s">
        <v>77</v>
      </c>
      <c r="C102" t="s">
        <v>54</v>
      </c>
      <c r="D102" t="s">
        <v>27</v>
      </c>
      <c r="E102" t="s">
        <v>28</v>
      </c>
      <c r="F102">
        <v>45</v>
      </c>
      <c r="G102" t="s">
        <v>119</v>
      </c>
      <c r="H102" s="18">
        <v>41386</v>
      </c>
      <c r="I102">
        <v>61773</v>
      </c>
      <c r="J102">
        <v>0</v>
      </c>
      <c r="K102">
        <v>0</v>
      </c>
      <c r="L102" t="s">
        <v>29</v>
      </c>
      <c r="M102" t="s">
        <v>30</v>
      </c>
      <c r="N102" s="18"/>
    </row>
    <row r="103" spans="1:14" x14ac:dyDescent="0.25">
      <c r="A103" t="s">
        <v>1559</v>
      </c>
      <c r="B103" t="s">
        <v>41</v>
      </c>
      <c r="C103" t="s">
        <v>26</v>
      </c>
      <c r="D103" t="s">
        <v>39</v>
      </c>
      <c r="E103" t="s">
        <v>28</v>
      </c>
      <c r="F103">
        <v>48</v>
      </c>
      <c r="G103" t="s">
        <v>119</v>
      </c>
      <c r="H103" s="18">
        <v>39091</v>
      </c>
      <c r="I103">
        <v>74546</v>
      </c>
      <c r="J103">
        <v>0.09</v>
      </c>
      <c r="K103">
        <v>6709.1399999999994</v>
      </c>
      <c r="L103" t="s">
        <v>29</v>
      </c>
      <c r="M103" t="s">
        <v>30</v>
      </c>
      <c r="N103" s="18"/>
    </row>
    <row r="104" spans="1:14" x14ac:dyDescent="0.25">
      <c r="A104" t="s">
        <v>1560</v>
      </c>
      <c r="B104" t="s">
        <v>80</v>
      </c>
      <c r="C104" t="s">
        <v>54</v>
      </c>
      <c r="D104" t="s">
        <v>39</v>
      </c>
      <c r="E104" t="s">
        <v>33</v>
      </c>
      <c r="F104">
        <v>56</v>
      </c>
      <c r="G104" t="s">
        <v>118</v>
      </c>
      <c r="H104" s="18">
        <v>42031</v>
      </c>
      <c r="I104">
        <v>62575</v>
      </c>
      <c r="J104">
        <v>0</v>
      </c>
      <c r="K104">
        <v>0</v>
      </c>
      <c r="L104" t="s">
        <v>29</v>
      </c>
      <c r="M104" t="s">
        <v>49</v>
      </c>
      <c r="N104" s="18"/>
    </row>
    <row r="105" spans="1:14" x14ac:dyDescent="0.25">
      <c r="A105" t="s">
        <v>1561</v>
      </c>
      <c r="B105" t="s">
        <v>37</v>
      </c>
      <c r="C105" t="s">
        <v>52</v>
      </c>
      <c r="D105" t="s">
        <v>46</v>
      </c>
      <c r="E105" t="s">
        <v>28</v>
      </c>
      <c r="F105">
        <v>27</v>
      </c>
      <c r="G105" t="s">
        <v>120</v>
      </c>
      <c r="H105" s="18">
        <v>44250</v>
      </c>
      <c r="I105">
        <v>199041</v>
      </c>
      <c r="J105">
        <v>0.16</v>
      </c>
      <c r="K105">
        <v>31846.560000000001</v>
      </c>
      <c r="L105" t="s">
        <v>34</v>
      </c>
      <c r="M105" t="s">
        <v>64</v>
      </c>
      <c r="N105" s="18"/>
    </row>
    <row r="106" spans="1:14" x14ac:dyDescent="0.25">
      <c r="A106" t="s">
        <v>1562</v>
      </c>
      <c r="B106" t="s">
        <v>66</v>
      </c>
      <c r="C106" t="s">
        <v>50</v>
      </c>
      <c r="D106" t="s">
        <v>39</v>
      </c>
      <c r="E106" t="s">
        <v>33</v>
      </c>
      <c r="F106">
        <v>55</v>
      </c>
      <c r="G106" t="s">
        <v>118</v>
      </c>
      <c r="H106" s="18">
        <v>39177</v>
      </c>
      <c r="I106">
        <v>52310</v>
      </c>
      <c r="J106">
        <v>0</v>
      </c>
      <c r="K106">
        <v>0</v>
      </c>
      <c r="L106" t="s">
        <v>29</v>
      </c>
      <c r="M106" t="s">
        <v>49</v>
      </c>
      <c r="N106" s="18">
        <v>43385</v>
      </c>
    </row>
    <row r="107" spans="1:14" x14ac:dyDescent="0.25">
      <c r="A107" t="s">
        <v>1563</v>
      </c>
      <c r="B107" t="s">
        <v>25</v>
      </c>
      <c r="C107" t="s">
        <v>38</v>
      </c>
      <c r="D107" t="s">
        <v>39</v>
      </c>
      <c r="E107" t="s">
        <v>33</v>
      </c>
      <c r="F107">
        <v>64</v>
      </c>
      <c r="G107" t="s">
        <v>118</v>
      </c>
      <c r="H107" s="18">
        <v>41454</v>
      </c>
      <c r="I107">
        <v>159571</v>
      </c>
      <c r="J107">
        <v>0.1</v>
      </c>
      <c r="K107">
        <v>15957.1</v>
      </c>
      <c r="L107" t="s">
        <v>29</v>
      </c>
      <c r="M107" t="s">
        <v>58</v>
      </c>
      <c r="N107" s="18"/>
    </row>
    <row r="108" spans="1:14" x14ac:dyDescent="0.25">
      <c r="A108" t="s">
        <v>1564</v>
      </c>
      <c r="B108" t="s">
        <v>71</v>
      </c>
      <c r="C108" t="s">
        <v>54</v>
      </c>
      <c r="D108" t="s">
        <v>27</v>
      </c>
      <c r="E108" t="s">
        <v>28</v>
      </c>
      <c r="F108">
        <v>50</v>
      </c>
      <c r="G108" t="s">
        <v>119</v>
      </c>
      <c r="H108" s="18">
        <v>35726</v>
      </c>
      <c r="I108">
        <v>91763</v>
      </c>
      <c r="J108">
        <v>0</v>
      </c>
      <c r="K108">
        <v>0</v>
      </c>
      <c r="L108" t="s">
        <v>29</v>
      </c>
      <c r="M108" t="s">
        <v>51</v>
      </c>
      <c r="N108" s="18"/>
    </row>
    <row r="109" spans="1:14" x14ac:dyDescent="0.25">
      <c r="A109" t="s">
        <v>1565</v>
      </c>
      <c r="B109" t="s">
        <v>80</v>
      </c>
      <c r="C109" t="s">
        <v>54</v>
      </c>
      <c r="D109" t="s">
        <v>46</v>
      </c>
      <c r="E109" t="s">
        <v>28</v>
      </c>
      <c r="F109">
        <v>51</v>
      </c>
      <c r="G109" t="s">
        <v>119</v>
      </c>
      <c r="H109" s="18">
        <v>35055</v>
      </c>
      <c r="I109">
        <v>96475</v>
      </c>
      <c r="J109">
        <v>0</v>
      </c>
      <c r="K109">
        <v>0</v>
      </c>
      <c r="L109" t="s">
        <v>29</v>
      </c>
      <c r="M109" t="s">
        <v>51</v>
      </c>
      <c r="N109" s="18"/>
    </row>
    <row r="110" spans="1:14" x14ac:dyDescent="0.25">
      <c r="A110" t="s">
        <v>1566</v>
      </c>
      <c r="B110" t="s">
        <v>53</v>
      </c>
      <c r="C110" t="s">
        <v>54</v>
      </c>
      <c r="D110" t="s">
        <v>32</v>
      </c>
      <c r="E110" t="s">
        <v>33</v>
      </c>
      <c r="F110">
        <v>36</v>
      </c>
      <c r="G110" t="s">
        <v>121</v>
      </c>
      <c r="H110" s="18">
        <v>42706</v>
      </c>
      <c r="I110">
        <v>113781</v>
      </c>
      <c r="J110">
        <v>0</v>
      </c>
      <c r="K110">
        <v>0</v>
      </c>
      <c r="L110" t="s">
        <v>29</v>
      </c>
      <c r="M110" t="s">
        <v>58</v>
      </c>
      <c r="N110" s="18"/>
    </row>
    <row r="111" spans="1:14" x14ac:dyDescent="0.25">
      <c r="A111" t="s">
        <v>1567</v>
      </c>
      <c r="B111" t="s">
        <v>37</v>
      </c>
      <c r="C111" t="s">
        <v>38</v>
      </c>
      <c r="D111" t="s">
        <v>27</v>
      </c>
      <c r="E111" t="s">
        <v>33</v>
      </c>
      <c r="F111">
        <v>42</v>
      </c>
      <c r="G111" t="s">
        <v>121</v>
      </c>
      <c r="H111" s="18">
        <v>37636</v>
      </c>
      <c r="I111">
        <v>166599</v>
      </c>
      <c r="J111">
        <v>0.26</v>
      </c>
      <c r="K111">
        <v>43315.74</v>
      </c>
      <c r="L111" t="s">
        <v>29</v>
      </c>
      <c r="M111" t="s">
        <v>30</v>
      </c>
      <c r="N111" s="18"/>
    </row>
    <row r="112" spans="1:14" x14ac:dyDescent="0.25">
      <c r="A112" t="s">
        <v>1568</v>
      </c>
      <c r="B112" t="s">
        <v>81</v>
      </c>
      <c r="C112" t="s">
        <v>45</v>
      </c>
      <c r="D112" t="s">
        <v>46</v>
      </c>
      <c r="E112" t="s">
        <v>28</v>
      </c>
      <c r="F112">
        <v>41</v>
      </c>
      <c r="G112" t="s">
        <v>121</v>
      </c>
      <c r="H112" s="18">
        <v>38398</v>
      </c>
      <c r="I112">
        <v>95372</v>
      </c>
      <c r="J112">
        <v>0</v>
      </c>
      <c r="K112">
        <v>0</v>
      </c>
      <c r="L112" t="s">
        <v>34</v>
      </c>
      <c r="M112" t="s">
        <v>55</v>
      </c>
      <c r="N112" s="18"/>
    </row>
    <row r="113" spans="1:14" x14ac:dyDescent="0.25">
      <c r="A113" t="s">
        <v>1569</v>
      </c>
      <c r="B113" t="s">
        <v>37</v>
      </c>
      <c r="C113" t="s">
        <v>26</v>
      </c>
      <c r="D113" t="s">
        <v>27</v>
      </c>
      <c r="E113" t="s">
        <v>28</v>
      </c>
      <c r="F113">
        <v>29</v>
      </c>
      <c r="G113" t="s">
        <v>120</v>
      </c>
      <c r="H113" s="18">
        <v>44052</v>
      </c>
      <c r="I113">
        <v>161203</v>
      </c>
      <c r="J113">
        <v>0.15</v>
      </c>
      <c r="K113">
        <v>24180.45</v>
      </c>
      <c r="L113" t="s">
        <v>34</v>
      </c>
      <c r="M113" t="s">
        <v>68</v>
      </c>
      <c r="N113" s="18"/>
    </row>
    <row r="114" spans="1:14" x14ac:dyDescent="0.25">
      <c r="A114" t="s">
        <v>1570</v>
      </c>
      <c r="B114" t="s">
        <v>82</v>
      </c>
      <c r="C114" t="s">
        <v>26</v>
      </c>
      <c r="D114" t="s">
        <v>32</v>
      </c>
      <c r="E114" t="s">
        <v>28</v>
      </c>
      <c r="F114">
        <v>44</v>
      </c>
      <c r="G114" t="s">
        <v>121</v>
      </c>
      <c r="H114" s="18">
        <v>39064</v>
      </c>
      <c r="I114">
        <v>74738</v>
      </c>
      <c r="J114">
        <v>0</v>
      </c>
      <c r="K114">
        <v>0</v>
      </c>
      <c r="L114" t="s">
        <v>29</v>
      </c>
      <c r="M114" t="s">
        <v>49</v>
      </c>
      <c r="N114" s="18"/>
    </row>
    <row r="115" spans="1:14" x14ac:dyDescent="0.25">
      <c r="A115" t="s">
        <v>1571</v>
      </c>
      <c r="B115" t="s">
        <v>37</v>
      </c>
      <c r="C115" t="s">
        <v>45</v>
      </c>
      <c r="D115" t="s">
        <v>27</v>
      </c>
      <c r="E115" t="s">
        <v>28</v>
      </c>
      <c r="F115">
        <v>41</v>
      </c>
      <c r="G115" t="s">
        <v>121</v>
      </c>
      <c r="H115" s="18">
        <v>43322</v>
      </c>
      <c r="I115">
        <v>171173</v>
      </c>
      <c r="J115">
        <v>0.21</v>
      </c>
      <c r="K115">
        <v>35946.33</v>
      </c>
      <c r="L115" t="s">
        <v>29</v>
      </c>
      <c r="M115" t="s">
        <v>58</v>
      </c>
      <c r="N115" s="18"/>
    </row>
    <row r="116" spans="1:14" x14ac:dyDescent="0.25">
      <c r="A116" t="s">
        <v>1572</v>
      </c>
      <c r="B116" t="s">
        <v>56</v>
      </c>
      <c r="C116" t="s">
        <v>45</v>
      </c>
      <c r="D116" t="s">
        <v>46</v>
      </c>
      <c r="E116" t="s">
        <v>33</v>
      </c>
      <c r="F116">
        <v>61</v>
      </c>
      <c r="G116" t="s">
        <v>118</v>
      </c>
      <c r="H116" s="18">
        <v>43732</v>
      </c>
      <c r="I116">
        <v>201464</v>
      </c>
      <c r="J116">
        <v>0.37</v>
      </c>
      <c r="K116">
        <v>74541.679999999993</v>
      </c>
      <c r="L116" t="s">
        <v>29</v>
      </c>
      <c r="M116" t="s">
        <v>40</v>
      </c>
      <c r="N116" s="18"/>
    </row>
    <row r="117" spans="1:14" x14ac:dyDescent="0.25">
      <c r="A117" t="s">
        <v>1573</v>
      </c>
      <c r="B117" t="s">
        <v>37</v>
      </c>
      <c r="C117" t="s">
        <v>52</v>
      </c>
      <c r="D117" t="s">
        <v>46</v>
      </c>
      <c r="E117" t="s">
        <v>33</v>
      </c>
      <c r="F117">
        <v>50</v>
      </c>
      <c r="G117" t="s">
        <v>119</v>
      </c>
      <c r="H117" s="18">
        <v>35998</v>
      </c>
      <c r="I117">
        <v>174895</v>
      </c>
      <c r="J117">
        <v>0.15</v>
      </c>
      <c r="K117">
        <v>26234.25</v>
      </c>
      <c r="L117" t="s">
        <v>29</v>
      </c>
      <c r="M117" t="s">
        <v>40</v>
      </c>
      <c r="N117" s="18"/>
    </row>
    <row r="118" spans="1:14" x14ac:dyDescent="0.25">
      <c r="A118" t="s">
        <v>1574</v>
      </c>
      <c r="B118" t="s">
        <v>25</v>
      </c>
      <c r="C118" t="s">
        <v>26</v>
      </c>
      <c r="D118" t="s">
        <v>32</v>
      </c>
      <c r="E118" t="s">
        <v>28</v>
      </c>
      <c r="F118">
        <v>49</v>
      </c>
      <c r="G118" t="s">
        <v>119</v>
      </c>
      <c r="H118" s="18">
        <v>38825</v>
      </c>
      <c r="I118">
        <v>134486</v>
      </c>
      <c r="J118">
        <v>0.14000000000000001</v>
      </c>
      <c r="K118">
        <v>18828.04</v>
      </c>
      <c r="L118" t="s">
        <v>29</v>
      </c>
      <c r="M118" t="s">
        <v>51</v>
      </c>
      <c r="N118" s="18"/>
    </row>
    <row r="119" spans="1:14" x14ac:dyDescent="0.25">
      <c r="A119" t="s">
        <v>1575</v>
      </c>
      <c r="B119" t="s">
        <v>42</v>
      </c>
      <c r="C119" t="s">
        <v>38</v>
      </c>
      <c r="D119" t="s">
        <v>32</v>
      </c>
      <c r="E119" t="s">
        <v>28</v>
      </c>
      <c r="F119">
        <v>60</v>
      </c>
      <c r="G119" t="s">
        <v>118</v>
      </c>
      <c r="H119" s="18">
        <v>39137</v>
      </c>
      <c r="I119">
        <v>71699</v>
      </c>
      <c r="J119">
        <v>0</v>
      </c>
      <c r="K119">
        <v>0</v>
      </c>
      <c r="L119" t="s">
        <v>59</v>
      </c>
      <c r="M119" t="s">
        <v>60</v>
      </c>
      <c r="N119" s="18"/>
    </row>
    <row r="120" spans="1:14" x14ac:dyDescent="0.25">
      <c r="A120" t="s">
        <v>1576</v>
      </c>
      <c r="B120" t="s">
        <v>42</v>
      </c>
      <c r="C120" t="s">
        <v>57</v>
      </c>
      <c r="D120" t="s">
        <v>46</v>
      </c>
      <c r="E120" t="s">
        <v>28</v>
      </c>
      <c r="F120">
        <v>42</v>
      </c>
      <c r="G120" t="s">
        <v>121</v>
      </c>
      <c r="H120" s="18">
        <v>44198</v>
      </c>
      <c r="I120">
        <v>94430</v>
      </c>
      <c r="J120">
        <v>0</v>
      </c>
      <c r="K120">
        <v>0</v>
      </c>
      <c r="L120" t="s">
        <v>29</v>
      </c>
      <c r="M120" t="s">
        <v>30</v>
      </c>
      <c r="N120" s="18"/>
    </row>
    <row r="121" spans="1:14" x14ac:dyDescent="0.25">
      <c r="A121" t="s">
        <v>1577</v>
      </c>
      <c r="B121" t="s">
        <v>47</v>
      </c>
      <c r="C121" t="s">
        <v>38</v>
      </c>
      <c r="D121" t="s">
        <v>46</v>
      </c>
      <c r="E121" t="s">
        <v>33</v>
      </c>
      <c r="F121">
        <v>39</v>
      </c>
      <c r="G121" t="s">
        <v>121</v>
      </c>
      <c r="H121" s="18">
        <v>40192</v>
      </c>
      <c r="I121">
        <v>103504</v>
      </c>
      <c r="J121">
        <v>7.0000000000000007E-2</v>
      </c>
      <c r="K121">
        <v>7245.2800000000007</v>
      </c>
      <c r="L121" t="s">
        <v>34</v>
      </c>
      <c r="M121" t="s">
        <v>68</v>
      </c>
      <c r="N121" s="18"/>
    </row>
    <row r="122" spans="1:14" x14ac:dyDescent="0.25">
      <c r="A122" t="s">
        <v>1578</v>
      </c>
      <c r="B122" t="s">
        <v>67</v>
      </c>
      <c r="C122" t="s">
        <v>26</v>
      </c>
      <c r="D122" t="s">
        <v>32</v>
      </c>
      <c r="E122" t="s">
        <v>28</v>
      </c>
      <c r="F122">
        <v>55</v>
      </c>
      <c r="G122" t="s">
        <v>118</v>
      </c>
      <c r="H122" s="18">
        <v>38573</v>
      </c>
      <c r="I122">
        <v>92771</v>
      </c>
      <c r="J122">
        <v>0</v>
      </c>
      <c r="K122">
        <v>0</v>
      </c>
      <c r="L122" t="s">
        <v>29</v>
      </c>
      <c r="M122" t="s">
        <v>49</v>
      </c>
      <c r="N122" s="18"/>
    </row>
    <row r="123" spans="1:14" x14ac:dyDescent="0.25">
      <c r="A123" t="s">
        <v>1579</v>
      </c>
      <c r="B123" t="s">
        <v>66</v>
      </c>
      <c r="C123" t="s">
        <v>38</v>
      </c>
      <c r="D123" t="s">
        <v>39</v>
      </c>
      <c r="E123" t="s">
        <v>28</v>
      </c>
      <c r="F123">
        <v>39</v>
      </c>
      <c r="G123" t="s">
        <v>121</v>
      </c>
      <c r="H123" s="18">
        <v>38813</v>
      </c>
      <c r="I123">
        <v>71531</v>
      </c>
      <c r="J123">
        <v>0</v>
      </c>
      <c r="K123">
        <v>0</v>
      </c>
      <c r="L123" t="s">
        <v>29</v>
      </c>
      <c r="M123" t="s">
        <v>58</v>
      </c>
      <c r="N123" s="18"/>
    </row>
    <row r="124" spans="1:14" x14ac:dyDescent="0.25">
      <c r="A124" t="s">
        <v>1580</v>
      </c>
      <c r="B124" t="s">
        <v>75</v>
      </c>
      <c r="C124" t="s">
        <v>26</v>
      </c>
      <c r="D124" t="s">
        <v>39</v>
      </c>
      <c r="E124" t="s">
        <v>33</v>
      </c>
      <c r="F124">
        <v>28</v>
      </c>
      <c r="G124" t="s">
        <v>120</v>
      </c>
      <c r="H124" s="18">
        <v>43530</v>
      </c>
      <c r="I124">
        <v>90304</v>
      </c>
      <c r="J124">
        <v>0</v>
      </c>
      <c r="K124">
        <v>0</v>
      </c>
      <c r="L124" t="s">
        <v>29</v>
      </c>
      <c r="M124" t="s">
        <v>40</v>
      </c>
      <c r="N124" s="18"/>
    </row>
    <row r="125" spans="1:14" x14ac:dyDescent="0.25">
      <c r="A125" t="s">
        <v>1581</v>
      </c>
      <c r="B125" t="s">
        <v>47</v>
      </c>
      <c r="C125" t="s">
        <v>57</v>
      </c>
      <c r="D125" t="s">
        <v>32</v>
      </c>
      <c r="E125" t="s">
        <v>28</v>
      </c>
      <c r="F125">
        <v>65</v>
      </c>
      <c r="G125" t="s">
        <v>122</v>
      </c>
      <c r="H125" s="18">
        <v>40793</v>
      </c>
      <c r="I125">
        <v>104903</v>
      </c>
      <c r="J125">
        <v>0.1</v>
      </c>
      <c r="K125">
        <v>10490.300000000001</v>
      </c>
      <c r="L125" t="s">
        <v>29</v>
      </c>
      <c r="M125" t="s">
        <v>58</v>
      </c>
      <c r="N125" s="18"/>
    </row>
    <row r="126" spans="1:14" x14ac:dyDescent="0.25">
      <c r="A126" t="s">
        <v>1582</v>
      </c>
      <c r="B126" t="s">
        <v>48</v>
      </c>
      <c r="C126" t="s">
        <v>38</v>
      </c>
      <c r="D126" t="s">
        <v>46</v>
      </c>
      <c r="E126" t="s">
        <v>28</v>
      </c>
      <c r="F126">
        <v>52</v>
      </c>
      <c r="G126" t="s">
        <v>119</v>
      </c>
      <c r="H126" s="18">
        <v>43515</v>
      </c>
      <c r="I126">
        <v>55859</v>
      </c>
      <c r="J126">
        <v>0</v>
      </c>
      <c r="K126">
        <v>0</v>
      </c>
      <c r="L126" t="s">
        <v>34</v>
      </c>
      <c r="M126" t="s">
        <v>64</v>
      </c>
      <c r="N126" s="18"/>
    </row>
    <row r="127" spans="1:14" x14ac:dyDescent="0.25">
      <c r="A127" t="s">
        <v>1583</v>
      </c>
      <c r="B127" t="s">
        <v>73</v>
      </c>
      <c r="C127" t="s">
        <v>54</v>
      </c>
      <c r="D127" t="s">
        <v>46</v>
      </c>
      <c r="E127" t="s">
        <v>28</v>
      </c>
      <c r="F127">
        <v>62</v>
      </c>
      <c r="G127" t="s">
        <v>118</v>
      </c>
      <c r="H127" s="18">
        <v>39002</v>
      </c>
      <c r="I127">
        <v>79785</v>
      </c>
      <c r="J127">
        <v>0</v>
      </c>
      <c r="K127">
        <v>0</v>
      </c>
      <c r="L127" t="s">
        <v>29</v>
      </c>
      <c r="M127" t="s">
        <v>51</v>
      </c>
      <c r="N127" s="18"/>
    </row>
    <row r="128" spans="1:14" x14ac:dyDescent="0.25">
      <c r="A128" t="s">
        <v>1584</v>
      </c>
      <c r="B128" t="s">
        <v>42</v>
      </c>
      <c r="C128" t="s">
        <v>57</v>
      </c>
      <c r="D128" t="s">
        <v>46</v>
      </c>
      <c r="E128" t="s">
        <v>28</v>
      </c>
      <c r="F128">
        <v>39</v>
      </c>
      <c r="G128" t="s">
        <v>121</v>
      </c>
      <c r="H128" s="18">
        <v>39391</v>
      </c>
      <c r="I128">
        <v>99017</v>
      </c>
      <c r="J128">
        <v>0</v>
      </c>
      <c r="K128">
        <v>0</v>
      </c>
      <c r="L128" t="s">
        <v>34</v>
      </c>
      <c r="M128" t="s">
        <v>64</v>
      </c>
      <c r="N128" s="18"/>
    </row>
    <row r="129" spans="1:14" x14ac:dyDescent="0.25">
      <c r="A129" t="s">
        <v>1585</v>
      </c>
      <c r="B129" t="s">
        <v>83</v>
      </c>
      <c r="C129" t="s">
        <v>26</v>
      </c>
      <c r="D129" t="s">
        <v>32</v>
      </c>
      <c r="E129" t="s">
        <v>28</v>
      </c>
      <c r="F129">
        <v>63</v>
      </c>
      <c r="G129" t="s">
        <v>118</v>
      </c>
      <c r="H129" s="18">
        <v>33695</v>
      </c>
      <c r="I129">
        <v>53809</v>
      </c>
      <c r="J129">
        <v>0</v>
      </c>
      <c r="K129">
        <v>0</v>
      </c>
      <c r="L129" t="s">
        <v>29</v>
      </c>
      <c r="M129" t="s">
        <v>43</v>
      </c>
      <c r="N129" s="18"/>
    </row>
    <row r="130" spans="1:14" x14ac:dyDescent="0.25">
      <c r="A130" t="s">
        <v>1586</v>
      </c>
      <c r="B130" t="s">
        <v>71</v>
      </c>
      <c r="C130" t="s">
        <v>54</v>
      </c>
      <c r="D130" t="s">
        <v>39</v>
      </c>
      <c r="E130" t="s">
        <v>33</v>
      </c>
      <c r="F130">
        <v>27</v>
      </c>
      <c r="G130" t="s">
        <v>120</v>
      </c>
      <c r="H130" s="18">
        <v>43937</v>
      </c>
      <c r="I130">
        <v>71864</v>
      </c>
      <c r="J130">
        <v>0</v>
      </c>
      <c r="K130">
        <v>0</v>
      </c>
      <c r="L130" t="s">
        <v>34</v>
      </c>
      <c r="M130" t="s">
        <v>68</v>
      </c>
      <c r="N130" s="18"/>
    </row>
    <row r="131" spans="1:14" x14ac:dyDescent="0.25">
      <c r="A131" t="s">
        <v>1587</v>
      </c>
      <c r="B131" t="s">
        <v>56</v>
      </c>
      <c r="C131" t="s">
        <v>38</v>
      </c>
      <c r="D131" t="s">
        <v>46</v>
      </c>
      <c r="E131" t="s">
        <v>28</v>
      </c>
      <c r="F131">
        <v>37</v>
      </c>
      <c r="G131" t="s">
        <v>121</v>
      </c>
      <c r="H131" s="18">
        <v>40883</v>
      </c>
      <c r="I131">
        <v>225558</v>
      </c>
      <c r="J131">
        <v>0.33</v>
      </c>
      <c r="K131">
        <v>74434.14</v>
      </c>
      <c r="L131" t="s">
        <v>34</v>
      </c>
      <c r="M131" t="s">
        <v>55</v>
      </c>
      <c r="N131" s="18"/>
    </row>
    <row r="132" spans="1:14" x14ac:dyDescent="0.25">
      <c r="A132" t="s">
        <v>1588</v>
      </c>
      <c r="B132" t="s">
        <v>25</v>
      </c>
      <c r="C132" t="s">
        <v>26</v>
      </c>
      <c r="D132" t="s">
        <v>32</v>
      </c>
      <c r="E132" t="s">
        <v>33</v>
      </c>
      <c r="F132">
        <v>37</v>
      </c>
      <c r="G132" t="s">
        <v>121</v>
      </c>
      <c r="H132" s="18">
        <v>41695</v>
      </c>
      <c r="I132">
        <v>128984</v>
      </c>
      <c r="J132">
        <v>0.12</v>
      </c>
      <c r="K132">
        <v>15478.08</v>
      </c>
      <c r="L132" t="s">
        <v>29</v>
      </c>
      <c r="M132" t="s">
        <v>49</v>
      </c>
      <c r="N132" s="18">
        <v>44317</v>
      </c>
    </row>
    <row r="133" spans="1:14" x14ac:dyDescent="0.25">
      <c r="A133" t="s">
        <v>1589</v>
      </c>
      <c r="B133" t="s">
        <v>71</v>
      </c>
      <c r="C133" t="s">
        <v>54</v>
      </c>
      <c r="D133" t="s">
        <v>39</v>
      </c>
      <c r="E133" t="s">
        <v>33</v>
      </c>
      <c r="F133">
        <v>46</v>
      </c>
      <c r="G133" t="s">
        <v>119</v>
      </c>
      <c r="H133" s="18">
        <v>36331</v>
      </c>
      <c r="I133">
        <v>96997</v>
      </c>
      <c r="J133">
        <v>0</v>
      </c>
      <c r="K133">
        <v>0</v>
      </c>
      <c r="L133" t="s">
        <v>59</v>
      </c>
      <c r="M133" t="s">
        <v>76</v>
      </c>
      <c r="N133" s="18"/>
    </row>
    <row r="134" spans="1:14" x14ac:dyDescent="0.25">
      <c r="A134" t="s">
        <v>1590</v>
      </c>
      <c r="B134" t="s">
        <v>37</v>
      </c>
      <c r="C134" t="s">
        <v>52</v>
      </c>
      <c r="D134" t="s">
        <v>32</v>
      </c>
      <c r="E134" t="s">
        <v>28</v>
      </c>
      <c r="F134">
        <v>54</v>
      </c>
      <c r="G134" t="s">
        <v>119</v>
      </c>
      <c r="H134" s="18">
        <v>43122</v>
      </c>
      <c r="I134">
        <v>176294</v>
      </c>
      <c r="J134">
        <v>0.28000000000000003</v>
      </c>
      <c r="K134">
        <v>49362.320000000007</v>
      </c>
      <c r="L134" t="s">
        <v>29</v>
      </c>
      <c r="M134" t="s">
        <v>51</v>
      </c>
      <c r="N134" s="18"/>
    </row>
    <row r="135" spans="1:14" x14ac:dyDescent="0.25">
      <c r="A135" t="s">
        <v>1591</v>
      </c>
      <c r="B135" t="s">
        <v>48</v>
      </c>
      <c r="C135" t="s">
        <v>45</v>
      </c>
      <c r="D135" t="s">
        <v>27</v>
      </c>
      <c r="E135" t="s">
        <v>28</v>
      </c>
      <c r="F135">
        <v>30</v>
      </c>
      <c r="G135" t="s">
        <v>120</v>
      </c>
      <c r="H135" s="18">
        <v>44241</v>
      </c>
      <c r="I135">
        <v>48340</v>
      </c>
      <c r="J135">
        <v>0</v>
      </c>
      <c r="K135">
        <v>0</v>
      </c>
      <c r="L135" t="s">
        <v>34</v>
      </c>
      <c r="M135" t="s">
        <v>64</v>
      </c>
      <c r="N135" s="18"/>
    </row>
    <row r="136" spans="1:14" x14ac:dyDescent="0.25">
      <c r="A136" t="s">
        <v>1592</v>
      </c>
      <c r="B136" t="s">
        <v>56</v>
      </c>
      <c r="C136" t="s">
        <v>54</v>
      </c>
      <c r="D136" t="s">
        <v>46</v>
      </c>
      <c r="E136" t="s">
        <v>28</v>
      </c>
      <c r="F136">
        <v>28</v>
      </c>
      <c r="G136" t="s">
        <v>120</v>
      </c>
      <c r="H136" s="18">
        <v>42922</v>
      </c>
      <c r="I136">
        <v>240488</v>
      </c>
      <c r="J136">
        <v>0.4</v>
      </c>
      <c r="K136">
        <v>96195.200000000012</v>
      </c>
      <c r="L136" t="s">
        <v>59</v>
      </c>
      <c r="M136" t="s">
        <v>61</v>
      </c>
      <c r="N136" s="18"/>
    </row>
    <row r="137" spans="1:14" x14ac:dyDescent="0.25">
      <c r="A137" t="s">
        <v>1593</v>
      </c>
      <c r="B137" t="s">
        <v>67</v>
      </c>
      <c r="C137" t="s">
        <v>26</v>
      </c>
      <c r="D137" t="s">
        <v>32</v>
      </c>
      <c r="E137" t="s">
        <v>33</v>
      </c>
      <c r="F137">
        <v>40</v>
      </c>
      <c r="G137" t="s">
        <v>121</v>
      </c>
      <c r="H137" s="18">
        <v>40565</v>
      </c>
      <c r="I137">
        <v>97339</v>
      </c>
      <c r="J137">
        <v>0</v>
      </c>
      <c r="K137">
        <v>0</v>
      </c>
      <c r="L137" t="s">
        <v>29</v>
      </c>
      <c r="M137" t="s">
        <v>51</v>
      </c>
      <c r="N137" s="18"/>
    </row>
    <row r="138" spans="1:14" x14ac:dyDescent="0.25">
      <c r="A138" t="s">
        <v>1594</v>
      </c>
      <c r="B138" t="s">
        <v>56</v>
      </c>
      <c r="C138" t="s">
        <v>52</v>
      </c>
      <c r="D138" t="s">
        <v>32</v>
      </c>
      <c r="E138" t="s">
        <v>28</v>
      </c>
      <c r="F138">
        <v>49</v>
      </c>
      <c r="G138" t="s">
        <v>119</v>
      </c>
      <c r="H138" s="18">
        <v>37680</v>
      </c>
      <c r="I138">
        <v>211291</v>
      </c>
      <c r="J138">
        <v>0.37</v>
      </c>
      <c r="K138">
        <v>78177.67</v>
      </c>
      <c r="L138" t="s">
        <v>34</v>
      </c>
      <c r="M138" t="s">
        <v>35</v>
      </c>
      <c r="N138" s="18"/>
    </row>
    <row r="139" spans="1:14" x14ac:dyDescent="0.25">
      <c r="A139" t="s">
        <v>1595</v>
      </c>
      <c r="B139" t="s">
        <v>56</v>
      </c>
      <c r="C139" t="s">
        <v>45</v>
      </c>
      <c r="D139" t="s">
        <v>27</v>
      </c>
      <c r="E139" t="s">
        <v>33</v>
      </c>
      <c r="F139">
        <v>39</v>
      </c>
      <c r="G139" t="s">
        <v>121</v>
      </c>
      <c r="H139" s="18">
        <v>40778</v>
      </c>
      <c r="I139">
        <v>249506</v>
      </c>
      <c r="J139">
        <v>0.3</v>
      </c>
      <c r="K139">
        <v>74851.8</v>
      </c>
      <c r="L139" t="s">
        <v>59</v>
      </c>
      <c r="M139" t="s">
        <v>61</v>
      </c>
      <c r="N139" s="18"/>
    </row>
    <row r="140" spans="1:14" x14ac:dyDescent="0.25">
      <c r="A140" t="s">
        <v>1596</v>
      </c>
      <c r="B140" t="s">
        <v>62</v>
      </c>
      <c r="C140" t="s">
        <v>54</v>
      </c>
      <c r="D140" t="s">
        <v>39</v>
      </c>
      <c r="E140" t="s">
        <v>33</v>
      </c>
      <c r="F140">
        <v>61</v>
      </c>
      <c r="G140" t="s">
        <v>118</v>
      </c>
      <c r="H140" s="18">
        <v>37582</v>
      </c>
      <c r="I140">
        <v>80950</v>
      </c>
      <c r="J140">
        <v>0</v>
      </c>
      <c r="K140">
        <v>0</v>
      </c>
      <c r="L140" t="s">
        <v>34</v>
      </c>
      <c r="M140" t="s">
        <v>35</v>
      </c>
      <c r="N140" s="18"/>
    </row>
    <row r="141" spans="1:14" x14ac:dyDescent="0.25">
      <c r="A141" t="s">
        <v>1597</v>
      </c>
      <c r="B141" t="s">
        <v>72</v>
      </c>
      <c r="C141" t="s">
        <v>54</v>
      </c>
      <c r="D141" t="s">
        <v>27</v>
      </c>
      <c r="E141" t="s">
        <v>28</v>
      </c>
      <c r="F141">
        <v>46</v>
      </c>
      <c r="G141" t="s">
        <v>119</v>
      </c>
      <c r="H141" s="18">
        <v>44206</v>
      </c>
      <c r="I141">
        <v>86538</v>
      </c>
      <c r="J141">
        <v>0</v>
      </c>
      <c r="K141">
        <v>0</v>
      </c>
      <c r="L141" t="s">
        <v>34</v>
      </c>
      <c r="M141" t="s">
        <v>68</v>
      </c>
      <c r="N141" s="18"/>
    </row>
    <row r="142" spans="1:14" x14ac:dyDescent="0.25">
      <c r="A142" t="s">
        <v>1598</v>
      </c>
      <c r="B142" t="s">
        <v>42</v>
      </c>
      <c r="C142" t="s">
        <v>57</v>
      </c>
      <c r="D142" t="s">
        <v>39</v>
      </c>
      <c r="E142" t="s">
        <v>28</v>
      </c>
      <c r="F142">
        <v>35</v>
      </c>
      <c r="G142" t="s">
        <v>121</v>
      </c>
      <c r="H142" s="18">
        <v>43715</v>
      </c>
      <c r="I142">
        <v>70992</v>
      </c>
      <c r="J142">
        <v>0</v>
      </c>
      <c r="K142">
        <v>0</v>
      </c>
      <c r="L142" t="s">
        <v>29</v>
      </c>
      <c r="M142" t="s">
        <v>51</v>
      </c>
      <c r="N142" s="18"/>
    </row>
    <row r="143" spans="1:14" x14ac:dyDescent="0.25">
      <c r="A143" t="s">
        <v>1599</v>
      </c>
      <c r="B143" t="s">
        <v>56</v>
      </c>
      <c r="C143" t="s">
        <v>54</v>
      </c>
      <c r="D143" t="s">
        <v>46</v>
      </c>
      <c r="E143" t="s">
        <v>33</v>
      </c>
      <c r="F143">
        <v>33</v>
      </c>
      <c r="G143" t="s">
        <v>120</v>
      </c>
      <c r="H143" s="18">
        <v>42173</v>
      </c>
      <c r="I143">
        <v>205314</v>
      </c>
      <c r="J143">
        <v>0.3</v>
      </c>
      <c r="K143">
        <v>61594.2</v>
      </c>
      <c r="L143" t="s">
        <v>29</v>
      </c>
      <c r="M143" t="s">
        <v>58</v>
      </c>
      <c r="N143" s="18"/>
    </row>
    <row r="144" spans="1:14" x14ac:dyDescent="0.25">
      <c r="A144" t="s">
        <v>1600</v>
      </c>
      <c r="B144" t="s">
        <v>56</v>
      </c>
      <c r="C144" t="s">
        <v>52</v>
      </c>
      <c r="D144" t="s">
        <v>46</v>
      </c>
      <c r="E144" t="s">
        <v>28</v>
      </c>
      <c r="F144">
        <v>61</v>
      </c>
      <c r="G144" t="s">
        <v>118</v>
      </c>
      <c r="H144" s="18">
        <v>42804</v>
      </c>
      <c r="I144">
        <v>196951</v>
      </c>
      <c r="J144">
        <v>0.33</v>
      </c>
      <c r="K144">
        <v>64993.83</v>
      </c>
      <c r="L144" t="s">
        <v>34</v>
      </c>
      <c r="M144" t="s">
        <v>64</v>
      </c>
      <c r="N144" s="18"/>
    </row>
    <row r="145" spans="1:14" x14ac:dyDescent="0.25">
      <c r="A145" t="s">
        <v>1601</v>
      </c>
      <c r="B145" t="s">
        <v>79</v>
      </c>
      <c r="C145" t="s">
        <v>26</v>
      </c>
      <c r="D145" t="s">
        <v>39</v>
      </c>
      <c r="E145" t="s">
        <v>33</v>
      </c>
      <c r="F145">
        <v>45</v>
      </c>
      <c r="G145" t="s">
        <v>119</v>
      </c>
      <c r="H145" s="18">
        <v>38613</v>
      </c>
      <c r="I145">
        <v>67686</v>
      </c>
      <c r="J145">
        <v>0</v>
      </c>
      <c r="K145">
        <v>0</v>
      </c>
      <c r="L145" t="s">
        <v>34</v>
      </c>
      <c r="M145" t="s">
        <v>64</v>
      </c>
      <c r="N145" s="18"/>
    </row>
    <row r="146" spans="1:14" x14ac:dyDescent="0.25">
      <c r="A146" t="s">
        <v>1602</v>
      </c>
      <c r="B146" t="s">
        <v>31</v>
      </c>
      <c r="C146" t="s">
        <v>26</v>
      </c>
      <c r="D146" t="s">
        <v>27</v>
      </c>
      <c r="E146" t="s">
        <v>33</v>
      </c>
      <c r="F146">
        <v>51</v>
      </c>
      <c r="G146" t="s">
        <v>119</v>
      </c>
      <c r="H146" s="18">
        <v>39553</v>
      </c>
      <c r="I146">
        <v>86431</v>
      </c>
      <c r="J146">
        <v>0</v>
      </c>
      <c r="K146">
        <v>0</v>
      </c>
      <c r="L146" t="s">
        <v>29</v>
      </c>
      <c r="M146" t="s">
        <v>58</v>
      </c>
      <c r="N146" s="18"/>
    </row>
    <row r="147" spans="1:14" x14ac:dyDescent="0.25">
      <c r="A147" t="s">
        <v>1603</v>
      </c>
      <c r="B147" t="s">
        <v>47</v>
      </c>
      <c r="C147" t="s">
        <v>52</v>
      </c>
      <c r="D147" t="s">
        <v>32</v>
      </c>
      <c r="E147" t="s">
        <v>33</v>
      </c>
      <c r="F147">
        <v>55</v>
      </c>
      <c r="G147" t="s">
        <v>118</v>
      </c>
      <c r="H147" s="18">
        <v>35019</v>
      </c>
      <c r="I147">
        <v>125936</v>
      </c>
      <c r="J147">
        <v>0.08</v>
      </c>
      <c r="K147">
        <v>10074.880000000001</v>
      </c>
      <c r="L147" t="s">
        <v>34</v>
      </c>
      <c r="M147" t="s">
        <v>35</v>
      </c>
      <c r="N147" s="18"/>
    </row>
    <row r="148" spans="1:14" x14ac:dyDescent="0.25">
      <c r="A148" t="s">
        <v>1604</v>
      </c>
      <c r="B148" t="s">
        <v>25</v>
      </c>
      <c r="C148" t="s">
        <v>45</v>
      </c>
      <c r="D148" t="s">
        <v>46</v>
      </c>
      <c r="E148" t="s">
        <v>28</v>
      </c>
      <c r="F148">
        <v>46</v>
      </c>
      <c r="G148" t="s">
        <v>119</v>
      </c>
      <c r="H148" s="18">
        <v>41473</v>
      </c>
      <c r="I148">
        <v>149712</v>
      </c>
      <c r="J148">
        <v>0.14000000000000001</v>
      </c>
      <c r="K148">
        <v>20959.68</v>
      </c>
      <c r="L148" t="s">
        <v>29</v>
      </c>
      <c r="M148" t="s">
        <v>58</v>
      </c>
      <c r="N148" s="18"/>
    </row>
    <row r="149" spans="1:14" x14ac:dyDescent="0.25">
      <c r="A149" t="s">
        <v>1605</v>
      </c>
      <c r="B149" t="s">
        <v>71</v>
      </c>
      <c r="C149" t="s">
        <v>54</v>
      </c>
      <c r="D149" t="s">
        <v>39</v>
      </c>
      <c r="E149" t="s">
        <v>33</v>
      </c>
      <c r="F149">
        <v>30</v>
      </c>
      <c r="G149" t="s">
        <v>120</v>
      </c>
      <c r="H149" s="18">
        <v>44471</v>
      </c>
      <c r="I149">
        <v>88758</v>
      </c>
      <c r="J149">
        <v>0</v>
      </c>
      <c r="K149">
        <v>0</v>
      </c>
      <c r="L149" t="s">
        <v>29</v>
      </c>
      <c r="M149" t="s">
        <v>30</v>
      </c>
      <c r="N149" s="18"/>
    </row>
    <row r="150" spans="1:14" x14ac:dyDescent="0.25">
      <c r="A150" t="s">
        <v>1606</v>
      </c>
      <c r="B150" t="s">
        <v>84</v>
      </c>
      <c r="C150" t="s">
        <v>26</v>
      </c>
      <c r="D150" t="s">
        <v>27</v>
      </c>
      <c r="E150" t="s">
        <v>33</v>
      </c>
      <c r="F150">
        <v>54</v>
      </c>
      <c r="G150" t="s">
        <v>119</v>
      </c>
      <c r="H150" s="18">
        <v>41468</v>
      </c>
      <c r="I150">
        <v>83639</v>
      </c>
      <c r="J150">
        <v>0</v>
      </c>
      <c r="K150">
        <v>0</v>
      </c>
      <c r="L150" t="s">
        <v>34</v>
      </c>
      <c r="M150" t="s">
        <v>64</v>
      </c>
      <c r="N150" s="18"/>
    </row>
    <row r="151" spans="1:14" x14ac:dyDescent="0.25">
      <c r="A151" t="s">
        <v>1607</v>
      </c>
      <c r="B151" t="s">
        <v>78</v>
      </c>
      <c r="C151" t="s">
        <v>26</v>
      </c>
      <c r="D151" t="s">
        <v>27</v>
      </c>
      <c r="E151" t="s">
        <v>28</v>
      </c>
      <c r="F151">
        <v>54</v>
      </c>
      <c r="G151" t="s">
        <v>119</v>
      </c>
      <c r="H151" s="18">
        <v>35933</v>
      </c>
      <c r="I151">
        <v>68268</v>
      </c>
      <c r="J151">
        <v>0</v>
      </c>
      <c r="K151">
        <v>0</v>
      </c>
      <c r="L151" t="s">
        <v>29</v>
      </c>
      <c r="M151" t="s">
        <v>43</v>
      </c>
      <c r="N151" s="18"/>
    </row>
    <row r="152" spans="1:14" x14ac:dyDescent="0.25">
      <c r="A152" t="s">
        <v>1608</v>
      </c>
      <c r="B152" t="s">
        <v>71</v>
      </c>
      <c r="C152" t="s">
        <v>54</v>
      </c>
      <c r="D152" t="s">
        <v>32</v>
      </c>
      <c r="E152" t="s">
        <v>33</v>
      </c>
      <c r="F152">
        <v>45</v>
      </c>
      <c r="G152" t="s">
        <v>119</v>
      </c>
      <c r="H152" s="18">
        <v>37313</v>
      </c>
      <c r="I152">
        <v>75819</v>
      </c>
      <c r="J152">
        <v>0</v>
      </c>
      <c r="K152">
        <v>0</v>
      </c>
      <c r="L152" t="s">
        <v>59</v>
      </c>
      <c r="M152" t="s">
        <v>76</v>
      </c>
      <c r="N152" s="18"/>
    </row>
    <row r="153" spans="1:14" x14ac:dyDescent="0.25">
      <c r="A153" t="s">
        <v>1609</v>
      </c>
      <c r="B153" t="s">
        <v>42</v>
      </c>
      <c r="C153" t="s">
        <v>45</v>
      </c>
      <c r="D153" t="s">
        <v>39</v>
      </c>
      <c r="E153" t="s">
        <v>28</v>
      </c>
      <c r="F153">
        <v>49</v>
      </c>
      <c r="G153" t="s">
        <v>119</v>
      </c>
      <c r="H153" s="18">
        <v>35200</v>
      </c>
      <c r="I153">
        <v>86658</v>
      </c>
      <c r="J153">
        <v>0</v>
      </c>
      <c r="K153">
        <v>0</v>
      </c>
      <c r="L153" t="s">
        <v>29</v>
      </c>
      <c r="M153" t="s">
        <v>43</v>
      </c>
      <c r="N153" s="18"/>
    </row>
    <row r="154" spans="1:14" x14ac:dyDescent="0.25">
      <c r="A154" t="s">
        <v>1610</v>
      </c>
      <c r="B154" t="s">
        <v>66</v>
      </c>
      <c r="C154" t="s">
        <v>38</v>
      </c>
      <c r="D154" t="s">
        <v>27</v>
      </c>
      <c r="E154" t="s">
        <v>33</v>
      </c>
      <c r="F154">
        <v>55</v>
      </c>
      <c r="G154" t="s">
        <v>118</v>
      </c>
      <c r="H154" s="18">
        <v>41714</v>
      </c>
      <c r="I154">
        <v>74552</v>
      </c>
      <c r="J154">
        <v>0</v>
      </c>
      <c r="K154">
        <v>0</v>
      </c>
      <c r="L154" t="s">
        <v>34</v>
      </c>
      <c r="M154" t="s">
        <v>68</v>
      </c>
      <c r="N154" s="18"/>
    </row>
    <row r="155" spans="1:14" x14ac:dyDescent="0.25">
      <c r="A155" t="s">
        <v>1611</v>
      </c>
      <c r="B155" t="s">
        <v>67</v>
      </c>
      <c r="C155" t="s">
        <v>26</v>
      </c>
      <c r="D155" t="s">
        <v>32</v>
      </c>
      <c r="E155" t="s">
        <v>28</v>
      </c>
      <c r="F155">
        <v>62</v>
      </c>
      <c r="G155" t="s">
        <v>118</v>
      </c>
      <c r="H155" s="18">
        <v>39887</v>
      </c>
      <c r="I155">
        <v>82839</v>
      </c>
      <c r="J155">
        <v>0</v>
      </c>
      <c r="K155">
        <v>0</v>
      </c>
      <c r="L155" t="s">
        <v>29</v>
      </c>
      <c r="M155" t="s">
        <v>49</v>
      </c>
      <c r="N155" s="18"/>
    </row>
    <row r="156" spans="1:14" x14ac:dyDescent="0.25">
      <c r="A156" t="s">
        <v>1612</v>
      </c>
      <c r="B156" t="s">
        <v>78</v>
      </c>
      <c r="C156" t="s">
        <v>26</v>
      </c>
      <c r="D156" t="s">
        <v>39</v>
      </c>
      <c r="E156" t="s">
        <v>28</v>
      </c>
      <c r="F156">
        <v>28</v>
      </c>
      <c r="G156" t="s">
        <v>120</v>
      </c>
      <c r="H156" s="18">
        <v>44477</v>
      </c>
      <c r="I156">
        <v>64475</v>
      </c>
      <c r="J156">
        <v>0</v>
      </c>
      <c r="K156">
        <v>0</v>
      </c>
      <c r="L156" t="s">
        <v>29</v>
      </c>
      <c r="M156" t="s">
        <v>43</v>
      </c>
      <c r="N156" s="18"/>
    </row>
    <row r="157" spans="1:14" x14ac:dyDescent="0.25">
      <c r="A157" t="s">
        <v>1613</v>
      </c>
      <c r="B157" t="s">
        <v>78</v>
      </c>
      <c r="C157" t="s">
        <v>26</v>
      </c>
      <c r="D157" t="s">
        <v>32</v>
      </c>
      <c r="E157" t="s">
        <v>33</v>
      </c>
      <c r="F157">
        <v>33</v>
      </c>
      <c r="G157" t="s">
        <v>120</v>
      </c>
      <c r="H157" s="18">
        <v>44036</v>
      </c>
      <c r="I157">
        <v>69453</v>
      </c>
      <c r="J157">
        <v>0</v>
      </c>
      <c r="K157">
        <v>0</v>
      </c>
      <c r="L157" t="s">
        <v>34</v>
      </c>
      <c r="M157" t="s">
        <v>68</v>
      </c>
      <c r="N157" s="18"/>
    </row>
    <row r="158" spans="1:14" x14ac:dyDescent="0.25">
      <c r="A158" t="s">
        <v>1614</v>
      </c>
      <c r="B158" t="s">
        <v>47</v>
      </c>
      <c r="C158" t="s">
        <v>26</v>
      </c>
      <c r="D158" t="s">
        <v>46</v>
      </c>
      <c r="E158" t="s">
        <v>33</v>
      </c>
      <c r="F158">
        <v>32</v>
      </c>
      <c r="G158" t="s">
        <v>120</v>
      </c>
      <c r="H158" s="18">
        <v>41642</v>
      </c>
      <c r="I158">
        <v>127148</v>
      </c>
      <c r="J158">
        <v>0.1</v>
      </c>
      <c r="K158">
        <v>12714.800000000001</v>
      </c>
      <c r="L158" t="s">
        <v>29</v>
      </c>
      <c r="M158" t="s">
        <v>49</v>
      </c>
      <c r="N158" s="18"/>
    </row>
    <row r="159" spans="1:14" x14ac:dyDescent="0.25">
      <c r="A159" t="s">
        <v>1615</v>
      </c>
      <c r="B159" t="s">
        <v>56</v>
      </c>
      <c r="C159" t="s">
        <v>38</v>
      </c>
      <c r="D159" t="s">
        <v>39</v>
      </c>
      <c r="E159" t="s">
        <v>28</v>
      </c>
      <c r="F159">
        <v>32</v>
      </c>
      <c r="G159" t="s">
        <v>120</v>
      </c>
      <c r="H159" s="18">
        <v>43102</v>
      </c>
      <c r="I159">
        <v>190253</v>
      </c>
      <c r="J159">
        <v>0.33</v>
      </c>
      <c r="K159">
        <v>62783.490000000005</v>
      </c>
      <c r="L159" t="s">
        <v>29</v>
      </c>
      <c r="M159" t="s">
        <v>51</v>
      </c>
      <c r="N159" s="18"/>
    </row>
    <row r="160" spans="1:14" x14ac:dyDescent="0.25">
      <c r="A160" t="s">
        <v>1616</v>
      </c>
      <c r="B160" t="s">
        <v>47</v>
      </c>
      <c r="C160" t="s">
        <v>50</v>
      </c>
      <c r="D160" t="s">
        <v>27</v>
      </c>
      <c r="E160" t="s">
        <v>33</v>
      </c>
      <c r="F160">
        <v>55</v>
      </c>
      <c r="G160" t="s">
        <v>118</v>
      </c>
      <c r="H160" s="18">
        <v>36644</v>
      </c>
      <c r="I160">
        <v>115798</v>
      </c>
      <c r="J160">
        <v>0.05</v>
      </c>
      <c r="K160">
        <v>5789.9000000000005</v>
      </c>
      <c r="L160" t="s">
        <v>29</v>
      </c>
      <c r="M160" t="s">
        <v>49</v>
      </c>
      <c r="N160" s="18"/>
    </row>
    <row r="161" spans="1:14" x14ac:dyDescent="0.25">
      <c r="A161" t="s">
        <v>1617</v>
      </c>
      <c r="B161" t="s">
        <v>69</v>
      </c>
      <c r="C161" t="s">
        <v>52</v>
      </c>
      <c r="D161" t="s">
        <v>27</v>
      </c>
      <c r="E161" t="s">
        <v>28</v>
      </c>
      <c r="F161">
        <v>58</v>
      </c>
      <c r="G161" t="s">
        <v>118</v>
      </c>
      <c r="H161" s="18">
        <v>34567</v>
      </c>
      <c r="I161">
        <v>93102</v>
      </c>
      <c r="J161">
        <v>0</v>
      </c>
      <c r="K161">
        <v>0</v>
      </c>
      <c r="L161" t="s">
        <v>29</v>
      </c>
      <c r="M161" t="s">
        <v>30</v>
      </c>
      <c r="N161" s="18">
        <v>41621</v>
      </c>
    </row>
    <row r="162" spans="1:14" x14ac:dyDescent="0.25">
      <c r="A162" t="s">
        <v>1618</v>
      </c>
      <c r="B162" t="s">
        <v>63</v>
      </c>
      <c r="C162" t="s">
        <v>54</v>
      </c>
      <c r="D162" t="s">
        <v>39</v>
      </c>
      <c r="E162" t="s">
        <v>33</v>
      </c>
      <c r="F162">
        <v>34</v>
      </c>
      <c r="G162" t="s">
        <v>120</v>
      </c>
      <c r="H162" s="18">
        <v>43055</v>
      </c>
      <c r="I162">
        <v>110054</v>
      </c>
      <c r="J162">
        <v>0.15</v>
      </c>
      <c r="K162">
        <v>16508.099999999999</v>
      </c>
      <c r="L162" t="s">
        <v>29</v>
      </c>
      <c r="M162" t="s">
        <v>49</v>
      </c>
      <c r="N162" s="18"/>
    </row>
    <row r="163" spans="1:14" x14ac:dyDescent="0.25">
      <c r="A163" t="s">
        <v>1619</v>
      </c>
      <c r="B163" t="s">
        <v>62</v>
      </c>
      <c r="C163" t="s">
        <v>54</v>
      </c>
      <c r="D163" t="s">
        <v>27</v>
      </c>
      <c r="E163" t="s">
        <v>28</v>
      </c>
      <c r="F163">
        <v>27</v>
      </c>
      <c r="G163" t="s">
        <v>120</v>
      </c>
      <c r="H163" s="18">
        <v>44224</v>
      </c>
      <c r="I163">
        <v>95786</v>
      </c>
      <c r="J163">
        <v>0</v>
      </c>
      <c r="K163">
        <v>0</v>
      </c>
      <c r="L163" t="s">
        <v>29</v>
      </c>
      <c r="M163" t="s">
        <v>40</v>
      </c>
      <c r="N163" s="18"/>
    </row>
    <row r="164" spans="1:14" x14ac:dyDescent="0.25">
      <c r="A164" t="s">
        <v>1620</v>
      </c>
      <c r="B164" t="s">
        <v>42</v>
      </c>
      <c r="C164" t="s">
        <v>45</v>
      </c>
      <c r="D164" t="s">
        <v>39</v>
      </c>
      <c r="E164" t="s">
        <v>33</v>
      </c>
      <c r="F164">
        <v>61</v>
      </c>
      <c r="G164" t="s">
        <v>118</v>
      </c>
      <c r="H164" s="18">
        <v>42858</v>
      </c>
      <c r="I164">
        <v>90855</v>
      </c>
      <c r="J164">
        <v>0</v>
      </c>
      <c r="K164">
        <v>0</v>
      </c>
      <c r="L164" t="s">
        <v>59</v>
      </c>
      <c r="M164" t="s">
        <v>76</v>
      </c>
      <c r="N164" s="18"/>
    </row>
    <row r="165" spans="1:14" x14ac:dyDescent="0.25">
      <c r="A165" t="s">
        <v>1621</v>
      </c>
      <c r="B165" t="s">
        <v>67</v>
      </c>
      <c r="C165" t="s">
        <v>26</v>
      </c>
      <c r="D165" t="s">
        <v>32</v>
      </c>
      <c r="E165" t="s">
        <v>33</v>
      </c>
      <c r="F165">
        <v>47</v>
      </c>
      <c r="G165" t="s">
        <v>119</v>
      </c>
      <c r="H165" s="18">
        <v>36233</v>
      </c>
      <c r="I165">
        <v>92897</v>
      </c>
      <c r="J165">
        <v>0</v>
      </c>
      <c r="K165">
        <v>0</v>
      </c>
      <c r="L165" t="s">
        <v>59</v>
      </c>
      <c r="M165" t="s">
        <v>76</v>
      </c>
      <c r="N165" s="18"/>
    </row>
    <row r="166" spans="1:14" x14ac:dyDescent="0.25">
      <c r="A166" t="s">
        <v>1622</v>
      </c>
      <c r="B166" t="s">
        <v>56</v>
      </c>
      <c r="C166" t="s">
        <v>57</v>
      </c>
      <c r="D166" t="s">
        <v>39</v>
      </c>
      <c r="E166" t="s">
        <v>33</v>
      </c>
      <c r="F166">
        <v>40</v>
      </c>
      <c r="G166" t="s">
        <v>121</v>
      </c>
      <c r="H166" s="18">
        <v>39872</v>
      </c>
      <c r="I166">
        <v>242919</v>
      </c>
      <c r="J166">
        <v>0.31</v>
      </c>
      <c r="K166">
        <v>75304.89</v>
      </c>
      <c r="L166" t="s">
        <v>34</v>
      </c>
      <c r="M166" t="s">
        <v>35</v>
      </c>
      <c r="N166" s="18"/>
    </row>
    <row r="167" spans="1:14" x14ac:dyDescent="0.25">
      <c r="A167" t="s">
        <v>1623</v>
      </c>
      <c r="B167" t="s">
        <v>37</v>
      </c>
      <c r="C167" t="s">
        <v>54</v>
      </c>
      <c r="D167" t="s">
        <v>39</v>
      </c>
      <c r="E167" t="s">
        <v>33</v>
      </c>
      <c r="F167">
        <v>30</v>
      </c>
      <c r="G167" t="s">
        <v>120</v>
      </c>
      <c r="H167" s="18">
        <v>43240</v>
      </c>
      <c r="I167">
        <v>184368</v>
      </c>
      <c r="J167">
        <v>0.28999999999999998</v>
      </c>
      <c r="K167">
        <v>53466.719999999994</v>
      </c>
      <c r="L167" t="s">
        <v>29</v>
      </c>
      <c r="M167" t="s">
        <v>51</v>
      </c>
      <c r="N167" s="18"/>
    </row>
    <row r="168" spans="1:14" x14ac:dyDescent="0.25">
      <c r="A168" t="s">
        <v>1624</v>
      </c>
      <c r="B168" t="s">
        <v>25</v>
      </c>
      <c r="C168" t="s">
        <v>38</v>
      </c>
      <c r="D168" t="s">
        <v>46</v>
      </c>
      <c r="E168" t="s">
        <v>33</v>
      </c>
      <c r="F168">
        <v>45</v>
      </c>
      <c r="G168" t="s">
        <v>119</v>
      </c>
      <c r="H168" s="18">
        <v>44554</v>
      </c>
      <c r="I168">
        <v>144754</v>
      </c>
      <c r="J168">
        <v>0.15</v>
      </c>
      <c r="K168">
        <v>21713.1</v>
      </c>
      <c r="L168" t="s">
        <v>29</v>
      </c>
      <c r="M168" t="s">
        <v>43</v>
      </c>
      <c r="N168" s="18"/>
    </row>
    <row r="169" spans="1:14" x14ac:dyDescent="0.25">
      <c r="A169" t="s">
        <v>1625</v>
      </c>
      <c r="B169" t="s">
        <v>81</v>
      </c>
      <c r="C169" t="s">
        <v>45</v>
      </c>
      <c r="D169" t="s">
        <v>27</v>
      </c>
      <c r="E169" t="s">
        <v>28</v>
      </c>
      <c r="F169">
        <v>30</v>
      </c>
      <c r="G169" t="s">
        <v>120</v>
      </c>
      <c r="H169" s="18">
        <v>42722</v>
      </c>
      <c r="I169">
        <v>89458</v>
      </c>
      <c r="J169">
        <v>0</v>
      </c>
      <c r="K169">
        <v>0</v>
      </c>
      <c r="L169" t="s">
        <v>29</v>
      </c>
      <c r="M169" t="s">
        <v>51</v>
      </c>
      <c r="N169" s="18"/>
    </row>
    <row r="170" spans="1:14" x14ac:dyDescent="0.25">
      <c r="A170" t="s">
        <v>1626</v>
      </c>
      <c r="B170" t="s">
        <v>56</v>
      </c>
      <c r="C170" t="s">
        <v>50</v>
      </c>
      <c r="D170" t="s">
        <v>46</v>
      </c>
      <c r="E170" t="s">
        <v>28</v>
      </c>
      <c r="F170">
        <v>56</v>
      </c>
      <c r="G170" t="s">
        <v>118</v>
      </c>
      <c r="H170" s="18">
        <v>41714</v>
      </c>
      <c r="I170">
        <v>190815</v>
      </c>
      <c r="J170">
        <v>0.4</v>
      </c>
      <c r="K170">
        <v>76326</v>
      </c>
      <c r="L170" t="s">
        <v>29</v>
      </c>
      <c r="M170" t="s">
        <v>51</v>
      </c>
      <c r="N170" s="18"/>
    </row>
    <row r="171" spans="1:14" x14ac:dyDescent="0.25">
      <c r="A171" t="s">
        <v>1627</v>
      </c>
      <c r="B171" t="s">
        <v>25</v>
      </c>
      <c r="C171" t="s">
        <v>45</v>
      </c>
      <c r="D171" t="s">
        <v>27</v>
      </c>
      <c r="E171" t="s">
        <v>28</v>
      </c>
      <c r="F171">
        <v>62</v>
      </c>
      <c r="G171" t="s">
        <v>118</v>
      </c>
      <c r="H171" s="18">
        <v>36374</v>
      </c>
      <c r="I171">
        <v>137995</v>
      </c>
      <c r="J171">
        <v>0.14000000000000001</v>
      </c>
      <c r="K171">
        <v>19319.300000000003</v>
      </c>
      <c r="L171" t="s">
        <v>29</v>
      </c>
      <c r="M171" t="s">
        <v>51</v>
      </c>
      <c r="N171" s="18"/>
    </row>
    <row r="172" spans="1:14" x14ac:dyDescent="0.25">
      <c r="A172" t="s">
        <v>1628</v>
      </c>
      <c r="B172" t="s">
        <v>69</v>
      </c>
      <c r="C172" t="s">
        <v>52</v>
      </c>
      <c r="D172" t="s">
        <v>32</v>
      </c>
      <c r="E172" t="s">
        <v>28</v>
      </c>
      <c r="F172">
        <v>45</v>
      </c>
      <c r="G172" t="s">
        <v>119</v>
      </c>
      <c r="H172" s="18">
        <v>39437</v>
      </c>
      <c r="I172">
        <v>93840</v>
      </c>
      <c r="J172">
        <v>0</v>
      </c>
      <c r="K172">
        <v>0</v>
      </c>
      <c r="L172" t="s">
        <v>59</v>
      </c>
      <c r="M172" t="s">
        <v>60</v>
      </c>
      <c r="N172" s="18"/>
    </row>
    <row r="173" spans="1:14" x14ac:dyDescent="0.25">
      <c r="A173" t="s">
        <v>1629</v>
      </c>
      <c r="B173" t="s">
        <v>31</v>
      </c>
      <c r="C173" t="s">
        <v>26</v>
      </c>
      <c r="D173" t="s">
        <v>27</v>
      </c>
      <c r="E173" t="s">
        <v>33</v>
      </c>
      <c r="F173">
        <v>46</v>
      </c>
      <c r="G173" t="s">
        <v>119</v>
      </c>
      <c r="H173" s="18">
        <v>44495</v>
      </c>
      <c r="I173">
        <v>94790</v>
      </c>
      <c r="J173">
        <v>0</v>
      </c>
      <c r="K173">
        <v>0</v>
      </c>
      <c r="L173" t="s">
        <v>34</v>
      </c>
      <c r="M173" t="s">
        <v>35</v>
      </c>
      <c r="N173" s="18"/>
    </row>
    <row r="174" spans="1:14" x14ac:dyDescent="0.25">
      <c r="A174" t="s">
        <v>1630</v>
      </c>
      <c r="B174" t="s">
        <v>56</v>
      </c>
      <c r="C174" t="s">
        <v>52</v>
      </c>
      <c r="D174" t="s">
        <v>27</v>
      </c>
      <c r="E174" t="s">
        <v>33</v>
      </c>
      <c r="F174">
        <v>48</v>
      </c>
      <c r="G174" t="s">
        <v>119</v>
      </c>
      <c r="H174" s="18">
        <v>41706</v>
      </c>
      <c r="I174">
        <v>197367</v>
      </c>
      <c r="J174">
        <v>0.39</v>
      </c>
      <c r="K174">
        <v>76973.13</v>
      </c>
      <c r="L174" t="s">
        <v>29</v>
      </c>
      <c r="M174" t="s">
        <v>51</v>
      </c>
      <c r="N174" s="18"/>
    </row>
    <row r="175" spans="1:14" x14ac:dyDescent="0.25">
      <c r="A175" t="s">
        <v>1631</v>
      </c>
      <c r="B175" t="s">
        <v>37</v>
      </c>
      <c r="C175" t="s">
        <v>50</v>
      </c>
      <c r="D175" t="s">
        <v>32</v>
      </c>
      <c r="E175" t="s">
        <v>28</v>
      </c>
      <c r="F175">
        <v>27</v>
      </c>
      <c r="G175" t="s">
        <v>120</v>
      </c>
      <c r="H175" s="18">
        <v>43276</v>
      </c>
      <c r="I175">
        <v>174097</v>
      </c>
      <c r="J175">
        <v>0.21</v>
      </c>
      <c r="K175">
        <v>36560.369999999995</v>
      </c>
      <c r="L175" t="s">
        <v>29</v>
      </c>
      <c r="M175" t="s">
        <v>43</v>
      </c>
      <c r="N175" s="18"/>
    </row>
    <row r="176" spans="1:14" x14ac:dyDescent="0.25">
      <c r="A176" t="s">
        <v>1632</v>
      </c>
      <c r="B176" t="s">
        <v>47</v>
      </c>
      <c r="C176" t="s">
        <v>26</v>
      </c>
      <c r="D176" t="s">
        <v>39</v>
      </c>
      <c r="E176" t="s">
        <v>33</v>
      </c>
      <c r="F176">
        <v>53</v>
      </c>
      <c r="G176" t="s">
        <v>119</v>
      </c>
      <c r="H176" s="18">
        <v>39021</v>
      </c>
      <c r="I176">
        <v>120128</v>
      </c>
      <c r="J176">
        <v>0.1</v>
      </c>
      <c r="K176">
        <v>12012.800000000001</v>
      </c>
      <c r="L176" t="s">
        <v>29</v>
      </c>
      <c r="M176" t="s">
        <v>51</v>
      </c>
      <c r="N176" s="18"/>
    </row>
    <row r="177" spans="1:14" x14ac:dyDescent="0.25">
      <c r="A177" t="s">
        <v>1633</v>
      </c>
      <c r="B177" t="s">
        <v>47</v>
      </c>
      <c r="C177" t="s">
        <v>57</v>
      </c>
      <c r="D177" t="s">
        <v>32</v>
      </c>
      <c r="E177" t="s">
        <v>28</v>
      </c>
      <c r="F177">
        <v>59</v>
      </c>
      <c r="G177" t="s">
        <v>118</v>
      </c>
      <c r="H177" s="18">
        <v>39197</v>
      </c>
      <c r="I177">
        <v>129708</v>
      </c>
      <c r="J177">
        <v>0.05</v>
      </c>
      <c r="K177">
        <v>6485.4000000000005</v>
      </c>
      <c r="L177" t="s">
        <v>29</v>
      </c>
      <c r="M177" t="s">
        <v>49</v>
      </c>
      <c r="N177" s="18"/>
    </row>
    <row r="178" spans="1:14" x14ac:dyDescent="0.25">
      <c r="A178" t="s">
        <v>1634</v>
      </c>
      <c r="B178" t="s">
        <v>47</v>
      </c>
      <c r="C178" t="s">
        <v>57</v>
      </c>
      <c r="D178" t="s">
        <v>27</v>
      </c>
      <c r="E178" t="s">
        <v>33</v>
      </c>
      <c r="F178">
        <v>55</v>
      </c>
      <c r="G178" t="s">
        <v>118</v>
      </c>
      <c r="H178" s="18">
        <v>34595</v>
      </c>
      <c r="I178">
        <v>102270</v>
      </c>
      <c r="J178">
        <v>0.1</v>
      </c>
      <c r="K178">
        <v>10227</v>
      </c>
      <c r="L178" t="s">
        <v>29</v>
      </c>
      <c r="M178" t="s">
        <v>40</v>
      </c>
      <c r="N178" s="18"/>
    </row>
    <row r="179" spans="1:14" x14ac:dyDescent="0.25">
      <c r="A179" t="s">
        <v>1635</v>
      </c>
      <c r="B179" t="s">
        <v>56</v>
      </c>
      <c r="C179" t="s">
        <v>38</v>
      </c>
      <c r="D179" t="s">
        <v>39</v>
      </c>
      <c r="E179" t="s">
        <v>28</v>
      </c>
      <c r="F179">
        <v>43</v>
      </c>
      <c r="G179" t="s">
        <v>121</v>
      </c>
      <c r="H179" s="18">
        <v>38564</v>
      </c>
      <c r="I179">
        <v>249686</v>
      </c>
      <c r="J179">
        <v>0.31</v>
      </c>
      <c r="K179">
        <v>77402.66</v>
      </c>
      <c r="L179" t="s">
        <v>34</v>
      </c>
      <c r="M179" t="s">
        <v>35</v>
      </c>
      <c r="N179" s="18"/>
    </row>
    <row r="180" spans="1:14" x14ac:dyDescent="0.25">
      <c r="A180" t="s">
        <v>1636</v>
      </c>
      <c r="B180" t="s">
        <v>48</v>
      </c>
      <c r="C180" t="s">
        <v>38</v>
      </c>
      <c r="D180" t="s">
        <v>32</v>
      </c>
      <c r="E180" t="s">
        <v>28</v>
      </c>
      <c r="F180">
        <v>55</v>
      </c>
      <c r="G180" t="s">
        <v>118</v>
      </c>
      <c r="H180" s="18">
        <v>37343</v>
      </c>
      <c r="I180">
        <v>50475</v>
      </c>
      <c r="J180">
        <v>0</v>
      </c>
      <c r="K180">
        <v>0</v>
      </c>
      <c r="L180" t="s">
        <v>29</v>
      </c>
      <c r="M180" t="s">
        <v>58</v>
      </c>
      <c r="N180" s="18"/>
    </row>
    <row r="181" spans="1:14" x14ac:dyDescent="0.25">
      <c r="A181" t="s">
        <v>1637</v>
      </c>
      <c r="B181" t="s">
        <v>47</v>
      </c>
      <c r="C181" t="s">
        <v>57</v>
      </c>
      <c r="D181" t="s">
        <v>27</v>
      </c>
      <c r="E181" t="s">
        <v>33</v>
      </c>
      <c r="F181">
        <v>51</v>
      </c>
      <c r="G181" t="s">
        <v>119</v>
      </c>
      <c r="H181" s="18">
        <v>44014</v>
      </c>
      <c r="I181">
        <v>100099</v>
      </c>
      <c r="J181">
        <v>0.08</v>
      </c>
      <c r="K181">
        <v>8007.92</v>
      </c>
      <c r="L181" t="s">
        <v>29</v>
      </c>
      <c r="M181" t="s">
        <v>49</v>
      </c>
      <c r="N181" s="18"/>
    </row>
    <row r="182" spans="1:14" x14ac:dyDescent="0.25">
      <c r="A182" t="s">
        <v>1638</v>
      </c>
      <c r="B182" t="s">
        <v>65</v>
      </c>
      <c r="C182" t="s">
        <v>26</v>
      </c>
      <c r="D182" t="s">
        <v>32</v>
      </c>
      <c r="E182" t="s">
        <v>28</v>
      </c>
      <c r="F182">
        <v>54</v>
      </c>
      <c r="G182" t="s">
        <v>119</v>
      </c>
      <c r="H182" s="18">
        <v>42731</v>
      </c>
      <c r="I182">
        <v>41673</v>
      </c>
      <c r="J182">
        <v>0</v>
      </c>
      <c r="K182">
        <v>0</v>
      </c>
      <c r="L182" t="s">
        <v>29</v>
      </c>
      <c r="M182" t="s">
        <v>49</v>
      </c>
      <c r="N182" s="18"/>
    </row>
    <row r="183" spans="1:14" x14ac:dyDescent="0.25">
      <c r="A183" t="s">
        <v>1639</v>
      </c>
      <c r="B183" t="s">
        <v>42</v>
      </c>
      <c r="C183" t="s">
        <v>57</v>
      </c>
      <c r="D183" t="s">
        <v>39</v>
      </c>
      <c r="E183" t="s">
        <v>28</v>
      </c>
      <c r="F183">
        <v>47</v>
      </c>
      <c r="G183" t="s">
        <v>119</v>
      </c>
      <c r="H183" s="18">
        <v>42928</v>
      </c>
      <c r="I183">
        <v>70996</v>
      </c>
      <c r="J183">
        <v>0</v>
      </c>
      <c r="K183">
        <v>0</v>
      </c>
      <c r="L183" t="s">
        <v>34</v>
      </c>
      <c r="M183" t="s">
        <v>68</v>
      </c>
      <c r="N183" s="18"/>
    </row>
    <row r="184" spans="1:14" x14ac:dyDescent="0.25">
      <c r="A184" t="s">
        <v>1640</v>
      </c>
      <c r="B184" t="s">
        <v>48</v>
      </c>
      <c r="C184" t="s">
        <v>57</v>
      </c>
      <c r="D184" t="s">
        <v>46</v>
      </c>
      <c r="E184" t="s">
        <v>33</v>
      </c>
      <c r="F184">
        <v>55</v>
      </c>
      <c r="G184" t="s">
        <v>118</v>
      </c>
      <c r="H184" s="18">
        <v>38328</v>
      </c>
      <c r="I184">
        <v>40752</v>
      </c>
      <c r="J184">
        <v>0</v>
      </c>
      <c r="K184">
        <v>0</v>
      </c>
      <c r="L184" t="s">
        <v>29</v>
      </c>
      <c r="M184" t="s">
        <v>43</v>
      </c>
      <c r="N184" s="18"/>
    </row>
    <row r="185" spans="1:14" x14ac:dyDescent="0.25">
      <c r="A185" t="s">
        <v>1641</v>
      </c>
      <c r="B185" t="s">
        <v>79</v>
      </c>
      <c r="C185" t="s">
        <v>26</v>
      </c>
      <c r="D185" t="s">
        <v>32</v>
      </c>
      <c r="E185" t="s">
        <v>28</v>
      </c>
      <c r="F185">
        <v>50</v>
      </c>
      <c r="G185" t="s">
        <v>119</v>
      </c>
      <c r="H185" s="18">
        <v>36914</v>
      </c>
      <c r="I185">
        <v>97537</v>
      </c>
      <c r="J185">
        <v>0</v>
      </c>
      <c r="K185">
        <v>0</v>
      </c>
      <c r="L185" t="s">
        <v>34</v>
      </c>
      <c r="M185" t="s">
        <v>68</v>
      </c>
      <c r="N185" s="18"/>
    </row>
    <row r="186" spans="1:14" x14ac:dyDescent="0.25">
      <c r="A186" t="s">
        <v>1642</v>
      </c>
      <c r="B186" t="s">
        <v>85</v>
      </c>
      <c r="C186" t="s">
        <v>26</v>
      </c>
      <c r="D186" t="s">
        <v>27</v>
      </c>
      <c r="E186" t="s">
        <v>33</v>
      </c>
      <c r="F186">
        <v>31</v>
      </c>
      <c r="G186" t="s">
        <v>120</v>
      </c>
      <c r="H186" s="18">
        <v>44086</v>
      </c>
      <c r="I186">
        <v>96567</v>
      </c>
      <c r="J186">
        <v>0</v>
      </c>
      <c r="K186">
        <v>0</v>
      </c>
      <c r="L186" t="s">
        <v>34</v>
      </c>
      <c r="M186" t="s">
        <v>55</v>
      </c>
      <c r="N186" s="18"/>
    </row>
    <row r="187" spans="1:14" x14ac:dyDescent="0.25">
      <c r="A187" t="s">
        <v>1643</v>
      </c>
      <c r="B187" t="s">
        <v>83</v>
      </c>
      <c r="C187" t="s">
        <v>26</v>
      </c>
      <c r="D187" t="s">
        <v>39</v>
      </c>
      <c r="E187" t="s">
        <v>33</v>
      </c>
      <c r="F187">
        <v>47</v>
      </c>
      <c r="G187" t="s">
        <v>119</v>
      </c>
      <c r="H187" s="18">
        <v>36229</v>
      </c>
      <c r="I187">
        <v>49404</v>
      </c>
      <c r="J187">
        <v>0</v>
      </c>
      <c r="K187">
        <v>0</v>
      </c>
      <c r="L187" t="s">
        <v>34</v>
      </c>
      <c r="M187" t="s">
        <v>64</v>
      </c>
      <c r="N187" s="18"/>
    </row>
    <row r="188" spans="1:14" x14ac:dyDescent="0.25">
      <c r="A188" t="s">
        <v>1644</v>
      </c>
      <c r="B188" t="s">
        <v>85</v>
      </c>
      <c r="C188" t="s">
        <v>26</v>
      </c>
      <c r="D188" t="s">
        <v>27</v>
      </c>
      <c r="E188" t="s">
        <v>33</v>
      </c>
      <c r="F188">
        <v>29</v>
      </c>
      <c r="G188" t="s">
        <v>120</v>
      </c>
      <c r="H188" s="18">
        <v>43753</v>
      </c>
      <c r="I188">
        <v>66819</v>
      </c>
      <c r="J188">
        <v>0</v>
      </c>
      <c r="K188">
        <v>0</v>
      </c>
      <c r="L188" t="s">
        <v>59</v>
      </c>
      <c r="M188" t="s">
        <v>61</v>
      </c>
      <c r="N188" s="18"/>
    </row>
    <row r="189" spans="1:14" x14ac:dyDescent="0.25">
      <c r="A189" t="s">
        <v>1645</v>
      </c>
      <c r="B189" t="s">
        <v>48</v>
      </c>
      <c r="C189" t="s">
        <v>57</v>
      </c>
      <c r="D189" t="s">
        <v>39</v>
      </c>
      <c r="E189" t="s">
        <v>33</v>
      </c>
      <c r="F189">
        <v>38</v>
      </c>
      <c r="G189" t="s">
        <v>121</v>
      </c>
      <c r="H189" s="18">
        <v>42492</v>
      </c>
      <c r="I189">
        <v>50784</v>
      </c>
      <c r="J189">
        <v>0</v>
      </c>
      <c r="K189">
        <v>0</v>
      </c>
      <c r="L189" t="s">
        <v>59</v>
      </c>
      <c r="M189" t="s">
        <v>61</v>
      </c>
      <c r="N189" s="18"/>
    </row>
    <row r="190" spans="1:14" x14ac:dyDescent="0.25">
      <c r="A190" t="s">
        <v>1646</v>
      </c>
      <c r="B190" t="s">
        <v>25</v>
      </c>
      <c r="C190" t="s">
        <v>52</v>
      </c>
      <c r="D190" t="s">
        <v>27</v>
      </c>
      <c r="E190" t="s">
        <v>33</v>
      </c>
      <c r="F190">
        <v>29</v>
      </c>
      <c r="G190" t="s">
        <v>120</v>
      </c>
      <c r="H190" s="18">
        <v>43594</v>
      </c>
      <c r="I190">
        <v>125828</v>
      </c>
      <c r="J190">
        <v>0.15</v>
      </c>
      <c r="K190">
        <v>18874.2</v>
      </c>
      <c r="L190" t="s">
        <v>59</v>
      </c>
      <c r="M190" t="s">
        <v>76</v>
      </c>
      <c r="N190" s="18"/>
    </row>
    <row r="191" spans="1:14" x14ac:dyDescent="0.25">
      <c r="A191" t="s">
        <v>1647</v>
      </c>
      <c r="B191" t="s">
        <v>69</v>
      </c>
      <c r="C191" t="s">
        <v>52</v>
      </c>
      <c r="D191" t="s">
        <v>32</v>
      </c>
      <c r="E191" t="s">
        <v>33</v>
      </c>
      <c r="F191">
        <v>33</v>
      </c>
      <c r="G191" t="s">
        <v>120</v>
      </c>
      <c r="H191" s="18">
        <v>42951</v>
      </c>
      <c r="I191">
        <v>92610</v>
      </c>
      <c r="J191">
        <v>0</v>
      </c>
      <c r="K191">
        <v>0</v>
      </c>
      <c r="L191" t="s">
        <v>29</v>
      </c>
      <c r="M191" t="s">
        <v>58</v>
      </c>
      <c r="N191" s="18"/>
    </row>
    <row r="192" spans="1:14" x14ac:dyDescent="0.25">
      <c r="A192" t="s">
        <v>1648</v>
      </c>
      <c r="B192" t="s">
        <v>25</v>
      </c>
      <c r="C192" t="s">
        <v>45</v>
      </c>
      <c r="D192" t="s">
        <v>39</v>
      </c>
      <c r="E192" t="s">
        <v>33</v>
      </c>
      <c r="F192">
        <v>50</v>
      </c>
      <c r="G192" t="s">
        <v>119</v>
      </c>
      <c r="H192" s="18">
        <v>37705</v>
      </c>
      <c r="I192">
        <v>123405</v>
      </c>
      <c r="J192">
        <v>0.13</v>
      </c>
      <c r="K192">
        <v>16042.650000000001</v>
      </c>
      <c r="L192" t="s">
        <v>29</v>
      </c>
      <c r="M192" t="s">
        <v>58</v>
      </c>
      <c r="N192" s="18"/>
    </row>
    <row r="193" spans="1:14" x14ac:dyDescent="0.25">
      <c r="A193" t="s">
        <v>1649</v>
      </c>
      <c r="B193" t="s">
        <v>44</v>
      </c>
      <c r="C193" t="s">
        <v>45</v>
      </c>
      <c r="D193" t="s">
        <v>32</v>
      </c>
      <c r="E193" t="s">
        <v>28</v>
      </c>
      <c r="F193">
        <v>46</v>
      </c>
      <c r="G193" t="s">
        <v>119</v>
      </c>
      <c r="H193" s="18">
        <v>38066</v>
      </c>
      <c r="I193">
        <v>73004</v>
      </c>
      <c r="J193">
        <v>0</v>
      </c>
      <c r="K193">
        <v>0</v>
      </c>
      <c r="L193" t="s">
        <v>34</v>
      </c>
      <c r="M193" t="s">
        <v>64</v>
      </c>
      <c r="N193" s="18"/>
    </row>
    <row r="194" spans="1:14" x14ac:dyDescent="0.25">
      <c r="A194" t="s">
        <v>1650</v>
      </c>
      <c r="B194" t="s">
        <v>63</v>
      </c>
      <c r="C194" t="s">
        <v>54</v>
      </c>
      <c r="D194" t="s">
        <v>46</v>
      </c>
      <c r="E194" t="s">
        <v>33</v>
      </c>
      <c r="F194">
        <v>57</v>
      </c>
      <c r="G194" t="s">
        <v>118</v>
      </c>
      <c r="H194" s="18">
        <v>36275</v>
      </c>
      <c r="I194">
        <v>95061</v>
      </c>
      <c r="J194">
        <v>0.1</v>
      </c>
      <c r="K194">
        <v>9506.1</v>
      </c>
      <c r="L194" t="s">
        <v>34</v>
      </c>
      <c r="M194" t="s">
        <v>55</v>
      </c>
      <c r="N194" s="18"/>
    </row>
    <row r="195" spans="1:14" x14ac:dyDescent="0.25">
      <c r="A195" t="s">
        <v>1651</v>
      </c>
      <c r="B195" t="s">
        <v>37</v>
      </c>
      <c r="C195" t="s">
        <v>45</v>
      </c>
      <c r="D195" t="s">
        <v>46</v>
      </c>
      <c r="E195" t="s">
        <v>28</v>
      </c>
      <c r="F195">
        <v>49</v>
      </c>
      <c r="G195" t="s">
        <v>119</v>
      </c>
      <c r="H195" s="18">
        <v>35887</v>
      </c>
      <c r="I195">
        <v>160832</v>
      </c>
      <c r="J195">
        <v>0.3</v>
      </c>
      <c r="K195">
        <v>48249.599999999999</v>
      </c>
      <c r="L195" t="s">
        <v>29</v>
      </c>
      <c r="M195" t="s">
        <v>43</v>
      </c>
      <c r="N195" s="18"/>
    </row>
    <row r="196" spans="1:14" x14ac:dyDescent="0.25">
      <c r="A196" t="s">
        <v>1652</v>
      </c>
      <c r="B196" t="s">
        <v>86</v>
      </c>
      <c r="C196" t="s">
        <v>26</v>
      </c>
      <c r="D196" t="s">
        <v>32</v>
      </c>
      <c r="E196" t="s">
        <v>33</v>
      </c>
      <c r="F196">
        <v>54</v>
      </c>
      <c r="G196" t="s">
        <v>119</v>
      </c>
      <c r="H196" s="18">
        <v>40540</v>
      </c>
      <c r="I196">
        <v>64417</v>
      </c>
      <c r="J196">
        <v>0</v>
      </c>
      <c r="K196">
        <v>0</v>
      </c>
      <c r="L196" t="s">
        <v>29</v>
      </c>
      <c r="M196" t="s">
        <v>58</v>
      </c>
      <c r="N196" s="18"/>
    </row>
    <row r="197" spans="1:14" x14ac:dyDescent="0.25">
      <c r="A197" t="s">
        <v>1653</v>
      </c>
      <c r="B197" t="s">
        <v>47</v>
      </c>
      <c r="C197" t="s">
        <v>45</v>
      </c>
      <c r="D197" t="s">
        <v>46</v>
      </c>
      <c r="E197" t="s">
        <v>33</v>
      </c>
      <c r="F197">
        <v>28</v>
      </c>
      <c r="G197" t="s">
        <v>120</v>
      </c>
      <c r="H197" s="18">
        <v>44274</v>
      </c>
      <c r="I197">
        <v>127543</v>
      </c>
      <c r="J197">
        <v>0.06</v>
      </c>
      <c r="K197">
        <v>7652.58</v>
      </c>
      <c r="L197" t="s">
        <v>34</v>
      </c>
      <c r="M197" t="s">
        <v>55</v>
      </c>
      <c r="N197" s="18"/>
    </row>
    <row r="198" spans="1:14" x14ac:dyDescent="0.25">
      <c r="A198" t="s">
        <v>1654</v>
      </c>
      <c r="B198" t="s">
        <v>48</v>
      </c>
      <c r="C198" t="s">
        <v>57</v>
      </c>
      <c r="D198" t="s">
        <v>32</v>
      </c>
      <c r="E198" t="s">
        <v>33</v>
      </c>
      <c r="F198">
        <v>30</v>
      </c>
      <c r="G198" t="s">
        <v>120</v>
      </c>
      <c r="H198" s="18">
        <v>43272</v>
      </c>
      <c r="I198">
        <v>56154</v>
      </c>
      <c r="J198">
        <v>0</v>
      </c>
      <c r="K198">
        <v>0</v>
      </c>
      <c r="L198" t="s">
        <v>59</v>
      </c>
      <c r="M198" t="s">
        <v>76</v>
      </c>
      <c r="N198" s="18"/>
    </row>
    <row r="199" spans="1:14" x14ac:dyDescent="0.25">
      <c r="A199" t="s">
        <v>1655</v>
      </c>
      <c r="B199" t="s">
        <v>56</v>
      </c>
      <c r="C199" t="s">
        <v>45</v>
      </c>
      <c r="D199" t="s">
        <v>32</v>
      </c>
      <c r="E199" t="s">
        <v>28</v>
      </c>
      <c r="F199">
        <v>36</v>
      </c>
      <c r="G199" t="s">
        <v>121</v>
      </c>
      <c r="H199" s="18">
        <v>41692</v>
      </c>
      <c r="I199">
        <v>218530</v>
      </c>
      <c r="J199">
        <v>0.3</v>
      </c>
      <c r="K199">
        <v>65559</v>
      </c>
      <c r="L199" t="s">
        <v>34</v>
      </c>
      <c r="M199" t="s">
        <v>55</v>
      </c>
      <c r="N199" s="18"/>
    </row>
    <row r="200" spans="1:14" x14ac:dyDescent="0.25">
      <c r="A200" t="s">
        <v>1656</v>
      </c>
      <c r="B200" t="s">
        <v>86</v>
      </c>
      <c r="C200" t="s">
        <v>26</v>
      </c>
      <c r="D200" t="s">
        <v>32</v>
      </c>
      <c r="E200" t="s">
        <v>28</v>
      </c>
      <c r="F200">
        <v>36</v>
      </c>
      <c r="G200" t="s">
        <v>121</v>
      </c>
      <c r="H200" s="18">
        <v>43818</v>
      </c>
      <c r="I200">
        <v>91954</v>
      </c>
      <c r="J200">
        <v>0</v>
      </c>
      <c r="K200">
        <v>0</v>
      </c>
      <c r="L200" t="s">
        <v>29</v>
      </c>
      <c r="M200" t="s">
        <v>58</v>
      </c>
      <c r="N200" s="18"/>
    </row>
    <row r="201" spans="1:14" x14ac:dyDescent="0.25">
      <c r="A201" t="s">
        <v>1657</v>
      </c>
      <c r="B201" t="s">
        <v>56</v>
      </c>
      <c r="C201" t="s">
        <v>57</v>
      </c>
      <c r="D201" t="s">
        <v>46</v>
      </c>
      <c r="E201" t="s">
        <v>28</v>
      </c>
      <c r="F201">
        <v>30</v>
      </c>
      <c r="G201" t="s">
        <v>120</v>
      </c>
      <c r="H201" s="18">
        <v>42634</v>
      </c>
      <c r="I201">
        <v>221217</v>
      </c>
      <c r="J201">
        <v>0.32</v>
      </c>
      <c r="K201">
        <v>70789.440000000002</v>
      </c>
      <c r="L201" t="s">
        <v>29</v>
      </c>
      <c r="M201" t="s">
        <v>58</v>
      </c>
      <c r="N201" s="18">
        <v>43003</v>
      </c>
    </row>
    <row r="202" spans="1:14" x14ac:dyDescent="0.25">
      <c r="A202" t="s">
        <v>1658</v>
      </c>
      <c r="B202" t="s">
        <v>82</v>
      </c>
      <c r="C202" t="s">
        <v>26</v>
      </c>
      <c r="D202" t="s">
        <v>32</v>
      </c>
      <c r="E202" t="s">
        <v>33</v>
      </c>
      <c r="F202">
        <v>29</v>
      </c>
      <c r="G202" t="s">
        <v>120</v>
      </c>
      <c r="H202" s="18">
        <v>42866</v>
      </c>
      <c r="I202">
        <v>87536</v>
      </c>
      <c r="J202">
        <v>0</v>
      </c>
      <c r="K202">
        <v>0</v>
      </c>
      <c r="L202" t="s">
        <v>29</v>
      </c>
      <c r="M202" t="s">
        <v>30</v>
      </c>
      <c r="N202" s="18"/>
    </row>
    <row r="203" spans="1:14" x14ac:dyDescent="0.25">
      <c r="A203" t="s">
        <v>1659</v>
      </c>
      <c r="B203" t="s">
        <v>48</v>
      </c>
      <c r="C203" t="s">
        <v>45</v>
      </c>
      <c r="D203" t="s">
        <v>46</v>
      </c>
      <c r="E203" t="s">
        <v>28</v>
      </c>
      <c r="F203">
        <v>47</v>
      </c>
      <c r="G203" t="s">
        <v>119</v>
      </c>
      <c r="H203" s="18">
        <v>42164</v>
      </c>
      <c r="I203">
        <v>41429</v>
      </c>
      <c r="J203">
        <v>0</v>
      </c>
      <c r="K203">
        <v>0</v>
      </c>
      <c r="L203" t="s">
        <v>29</v>
      </c>
      <c r="M203" t="s">
        <v>30</v>
      </c>
      <c r="N203" s="18"/>
    </row>
    <row r="204" spans="1:14" x14ac:dyDescent="0.25">
      <c r="A204" t="s">
        <v>1660</v>
      </c>
      <c r="B204" t="s">
        <v>56</v>
      </c>
      <c r="C204" t="s">
        <v>54</v>
      </c>
      <c r="D204" t="s">
        <v>32</v>
      </c>
      <c r="E204" t="s">
        <v>33</v>
      </c>
      <c r="F204">
        <v>35</v>
      </c>
      <c r="G204" t="s">
        <v>121</v>
      </c>
      <c r="H204" s="18">
        <v>40826</v>
      </c>
      <c r="I204">
        <v>245482</v>
      </c>
      <c r="J204">
        <v>0.39</v>
      </c>
      <c r="K204">
        <v>95737.98000000001</v>
      </c>
      <c r="L204" t="s">
        <v>29</v>
      </c>
      <c r="M204" t="s">
        <v>30</v>
      </c>
      <c r="N204" s="18"/>
    </row>
    <row r="205" spans="1:14" x14ac:dyDescent="0.25">
      <c r="A205" t="s">
        <v>1661</v>
      </c>
      <c r="B205" t="s">
        <v>80</v>
      </c>
      <c r="C205" t="s">
        <v>54</v>
      </c>
      <c r="D205" t="s">
        <v>32</v>
      </c>
      <c r="E205" t="s">
        <v>28</v>
      </c>
      <c r="F205">
        <v>25</v>
      </c>
      <c r="G205" t="s">
        <v>120</v>
      </c>
      <c r="H205" s="18">
        <v>43850</v>
      </c>
      <c r="I205">
        <v>71359</v>
      </c>
      <c r="J205">
        <v>0</v>
      </c>
      <c r="K205">
        <v>0</v>
      </c>
      <c r="L205" t="s">
        <v>29</v>
      </c>
      <c r="M205" t="s">
        <v>43</v>
      </c>
      <c r="N205" s="18"/>
    </row>
    <row r="206" spans="1:14" x14ac:dyDescent="0.25">
      <c r="A206" t="s">
        <v>1662</v>
      </c>
      <c r="B206" t="s">
        <v>37</v>
      </c>
      <c r="C206" t="s">
        <v>54</v>
      </c>
      <c r="D206" t="s">
        <v>39</v>
      </c>
      <c r="E206" t="s">
        <v>33</v>
      </c>
      <c r="F206">
        <v>45</v>
      </c>
      <c r="G206" t="s">
        <v>119</v>
      </c>
      <c r="H206" s="18">
        <v>41879</v>
      </c>
      <c r="I206">
        <v>183161</v>
      </c>
      <c r="J206">
        <v>0.22</v>
      </c>
      <c r="K206">
        <v>40295.42</v>
      </c>
      <c r="L206" t="s">
        <v>29</v>
      </c>
      <c r="M206" t="s">
        <v>49</v>
      </c>
      <c r="N206" s="18"/>
    </row>
    <row r="207" spans="1:14" x14ac:dyDescent="0.25">
      <c r="A207" t="s">
        <v>1663</v>
      </c>
      <c r="B207" t="s">
        <v>87</v>
      </c>
      <c r="C207" t="s">
        <v>26</v>
      </c>
      <c r="D207" t="s">
        <v>46</v>
      </c>
      <c r="E207" t="s">
        <v>33</v>
      </c>
      <c r="F207">
        <v>58</v>
      </c>
      <c r="G207" t="s">
        <v>118</v>
      </c>
      <c r="H207" s="18">
        <v>34176</v>
      </c>
      <c r="I207">
        <v>69260</v>
      </c>
      <c r="J207">
        <v>0</v>
      </c>
      <c r="K207">
        <v>0</v>
      </c>
      <c r="L207" t="s">
        <v>29</v>
      </c>
      <c r="M207" t="s">
        <v>43</v>
      </c>
      <c r="N207" s="18"/>
    </row>
    <row r="208" spans="1:14" x14ac:dyDescent="0.25">
      <c r="A208" t="s">
        <v>1664</v>
      </c>
      <c r="B208" t="s">
        <v>73</v>
      </c>
      <c r="C208" t="s">
        <v>54</v>
      </c>
      <c r="D208" t="s">
        <v>39</v>
      </c>
      <c r="E208" t="s">
        <v>33</v>
      </c>
      <c r="F208">
        <v>51</v>
      </c>
      <c r="G208" t="s">
        <v>119</v>
      </c>
      <c r="H208" s="18">
        <v>36442</v>
      </c>
      <c r="I208">
        <v>95639</v>
      </c>
      <c r="J208">
        <v>0</v>
      </c>
      <c r="K208">
        <v>0</v>
      </c>
      <c r="L208" t="s">
        <v>29</v>
      </c>
      <c r="M208" t="s">
        <v>51</v>
      </c>
      <c r="N208" s="18"/>
    </row>
    <row r="209" spans="1:14" x14ac:dyDescent="0.25">
      <c r="A209" t="s">
        <v>1665</v>
      </c>
      <c r="B209" t="s">
        <v>47</v>
      </c>
      <c r="C209" t="s">
        <v>52</v>
      </c>
      <c r="D209" t="s">
        <v>27</v>
      </c>
      <c r="E209" t="s">
        <v>33</v>
      </c>
      <c r="F209">
        <v>48</v>
      </c>
      <c r="G209" t="s">
        <v>119</v>
      </c>
      <c r="H209" s="18">
        <v>38168</v>
      </c>
      <c r="I209">
        <v>120660</v>
      </c>
      <c r="J209">
        <v>7.0000000000000007E-2</v>
      </c>
      <c r="K209">
        <v>8446.2000000000007</v>
      </c>
      <c r="L209" t="s">
        <v>34</v>
      </c>
      <c r="M209" t="s">
        <v>68</v>
      </c>
      <c r="N209" s="18"/>
    </row>
    <row r="210" spans="1:14" x14ac:dyDescent="0.25">
      <c r="A210" t="s">
        <v>1666</v>
      </c>
      <c r="B210" t="s">
        <v>42</v>
      </c>
      <c r="C210" t="s">
        <v>45</v>
      </c>
      <c r="D210" t="s">
        <v>46</v>
      </c>
      <c r="E210" t="s">
        <v>33</v>
      </c>
      <c r="F210">
        <v>36</v>
      </c>
      <c r="G210" t="s">
        <v>121</v>
      </c>
      <c r="H210" s="18">
        <v>44556</v>
      </c>
      <c r="I210">
        <v>75119</v>
      </c>
      <c r="J210">
        <v>0</v>
      </c>
      <c r="K210">
        <v>0</v>
      </c>
      <c r="L210" t="s">
        <v>29</v>
      </c>
      <c r="M210" t="s">
        <v>40</v>
      </c>
      <c r="N210" s="18"/>
    </row>
    <row r="211" spans="1:14" x14ac:dyDescent="0.25">
      <c r="A211" t="s">
        <v>1667</v>
      </c>
      <c r="B211" t="s">
        <v>56</v>
      </c>
      <c r="C211" t="s">
        <v>50</v>
      </c>
      <c r="D211" t="s">
        <v>27</v>
      </c>
      <c r="E211" t="s">
        <v>33</v>
      </c>
      <c r="F211">
        <v>59</v>
      </c>
      <c r="G211" t="s">
        <v>118</v>
      </c>
      <c r="H211" s="18">
        <v>40681</v>
      </c>
      <c r="I211">
        <v>192213</v>
      </c>
      <c r="J211">
        <v>0.4</v>
      </c>
      <c r="K211">
        <v>76885.2</v>
      </c>
      <c r="L211" t="s">
        <v>29</v>
      </c>
      <c r="M211" t="s">
        <v>40</v>
      </c>
      <c r="N211" s="18"/>
    </row>
    <row r="212" spans="1:14" x14ac:dyDescent="0.25">
      <c r="A212" t="s">
        <v>1668</v>
      </c>
      <c r="B212" t="s">
        <v>44</v>
      </c>
      <c r="C212" t="s">
        <v>45</v>
      </c>
      <c r="D212" t="s">
        <v>39</v>
      </c>
      <c r="E212" t="s">
        <v>28</v>
      </c>
      <c r="F212">
        <v>45</v>
      </c>
      <c r="G212" t="s">
        <v>119</v>
      </c>
      <c r="H212" s="18">
        <v>41769</v>
      </c>
      <c r="I212">
        <v>65047</v>
      </c>
      <c r="J212">
        <v>0</v>
      </c>
      <c r="K212">
        <v>0</v>
      </c>
      <c r="L212" t="s">
        <v>59</v>
      </c>
      <c r="M212" t="s">
        <v>76</v>
      </c>
      <c r="N212" s="18"/>
    </row>
    <row r="213" spans="1:14" x14ac:dyDescent="0.25">
      <c r="A213" t="s">
        <v>1669</v>
      </c>
      <c r="B213" t="s">
        <v>25</v>
      </c>
      <c r="C213" t="s">
        <v>45</v>
      </c>
      <c r="D213" t="s">
        <v>32</v>
      </c>
      <c r="E213" t="s">
        <v>33</v>
      </c>
      <c r="F213">
        <v>29</v>
      </c>
      <c r="G213" t="s">
        <v>120</v>
      </c>
      <c r="H213" s="18">
        <v>42810</v>
      </c>
      <c r="I213">
        <v>151413</v>
      </c>
      <c r="J213">
        <v>0.15</v>
      </c>
      <c r="K213">
        <v>22711.95</v>
      </c>
      <c r="L213" t="s">
        <v>29</v>
      </c>
      <c r="M213" t="s">
        <v>30</v>
      </c>
      <c r="N213" s="18"/>
    </row>
    <row r="214" spans="1:14" x14ac:dyDescent="0.25">
      <c r="A214" t="s">
        <v>1670</v>
      </c>
      <c r="B214" t="s">
        <v>42</v>
      </c>
      <c r="C214" t="s">
        <v>50</v>
      </c>
      <c r="D214" t="s">
        <v>39</v>
      </c>
      <c r="E214" t="s">
        <v>33</v>
      </c>
      <c r="F214">
        <v>62</v>
      </c>
      <c r="G214" t="s">
        <v>118</v>
      </c>
      <c r="H214" s="18">
        <v>37733</v>
      </c>
      <c r="I214">
        <v>76906</v>
      </c>
      <c r="J214">
        <v>0</v>
      </c>
      <c r="K214">
        <v>0</v>
      </c>
      <c r="L214" t="s">
        <v>29</v>
      </c>
      <c r="M214" t="s">
        <v>30</v>
      </c>
      <c r="N214" s="18"/>
    </row>
    <row r="215" spans="1:14" x14ac:dyDescent="0.25">
      <c r="A215" t="s">
        <v>1671</v>
      </c>
      <c r="B215" t="s">
        <v>47</v>
      </c>
      <c r="C215" t="s">
        <v>26</v>
      </c>
      <c r="D215" t="s">
        <v>46</v>
      </c>
      <c r="E215" t="s">
        <v>33</v>
      </c>
      <c r="F215">
        <v>51</v>
      </c>
      <c r="G215" t="s">
        <v>119</v>
      </c>
      <c r="H215" s="18">
        <v>34388</v>
      </c>
      <c r="I215">
        <v>122802</v>
      </c>
      <c r="J215">
        <v>0.05</v>
      </c>
      <c r="K215">
        <v>6140.1</v>
      </c>
      <c r="L215" t="s">
        <v>34</v>
      </c>
      <c r="M215" t="s">
        <v>55</v>
      </c>
      <c r="N215" s="18"/>
    </row>
    <row r="216" spans="1:14" x14ac:dyDescent="0.25">
      <c r="A216" t="s">
        <v>1672</v>
      </c>
      <c r="B216" t="s">
        <v>80</v>
      </c>
      <c r="C216" t="s">
        <v>54</v>
      </c>
      <c r="D216" t="s">
        <v>27</v>
      </c>
      <c r="E216" t="s">
        <v>33</v>
      </c>
      <c r="F216">
        <v>47</v>
      </c>
      <c r="G216" t="s">
        <v>119</v>
      </c>
      <c r="H216" s="18">
        <v>35990</v>
      </c>
      <c r="I216">
        <v>99091</v>
      </c>
      <c r="J216">
        <v>0</v>
      </c>
      <c r="K216">
        <v>0</v>
      </c>
      <c r="L216" t="s">
        <v>29</v>
      </c>
      <c r="M216" t="s">
        <v>51</v>
      </c>
      <c r="N216" s="18"/>
    </row>
    <row r="217" spans="1:14" x14ac:dyDescent="0.25">
      <c r="A217" t="s">
        <v>1673</v>
      </c>
      <c r="B217" t="s">
        <v>53</v>
      </c>
      <c r="C217" t="s">
        <v>54</v>
      </c>
      <c r="D217" t="s">
        <v>32</v>
      </c>
      <c r="E217" t="s">
        <v>33</v>
      </c>
      <c r="F217">
        <v>40</v>
      </c>
      <c r="G217" t="s">
        <v>121</v>
      </c>
      <c r="H217" s="18">
        <v>39506</v>
      </c>
      <c r="I217">
        <v>113987</v>
      </c>
      <c r="J217">
        <v>0</v>
      </c>
      <c r="K217">
        <v>0</v>
      </c>
      <c r="L217" t="s">
        <v>59</v>
      </c>
      <c r="M217" t="s">
        <v>60</v>
      </c>
      <c r="N217" s="18"/>
    </row>
    <row r="218" spans="1:14" x14ac:dyDescent="0.25">
      <c r="A218" t="s">
        <v>1674</v>
      </c>
      <c r="B218" t="s">
        <v>42</v>
      </c>
      <c r="C218" t="s">
        <v>38</v>
      </c>
      <c r="D218" t="s">
        <v>46</v>
      </c>
      <c r="E218" t="s">
        <v>28</v>
      </c>
      <c r="F218">
        <v>28</v>
      </c>
      <c r="G218" t="s">
        <v>120</v>
      </c>
      <c r="H218" s="18">
        <v>44078</v>
      </c>
      <c r="I218">
        <v>95045</v>
      </c>
      <c r="J218">
        <v>0</v>
      </c>
      <c r="K218">
        <v>0</v>
      </c>
      <c r="L218" t="s">
        <v>29</v>
      </c>
      <c r="M218" t="s">
        <v>40</v>
      </c>
      <c r="N218" s="18"/>
    </row>
    <row r="219" spans="1:14" x14ac:dyDescent="0.25">
      <c r="A219" t="s">
        <v>1675</v>
      </c>
      <c r="B219" t="s">
        <v>56</v>
      </c>
      <c r="C219" t="s">
        <v>57</v>
      </c>
      <c r="D219" t="s">
        <v>39</v>
      </c>
      <c r="E219" t="s">
        <v>28</v>
      </c>
      <c r="F219">
        <v>29</v>
      </c>
      <c r="G219" t="s">
        <v>120</v>
      </c>
      <c r="H219" s="18">
        <v>42740</v>
      </c>
      <c r="I219">
        <v>190401</v>
      </c>
      <c r="J219">
        <v>0.37</v>
      </c>
      <c r="K219">
        <v>70448.37</v>
      </c>
      <c r="L219" t="s">
        <v>29</v>
      </c>
      <c r="M219" t="s">
        <v>58</v>
      </c>
      <c r="N219" s="18"/>
    </row>
    <row r="220" spans="1:14" x14ac:dyDescent="0.25">
      <c r="A220" t="s">
        <v>1676</v>
      </c>
      <c r="B220" t="s">
        <v>42</v>
      </c>
      <c r="C220" t="s">
        <v>38</v>
      </c>
      <c r="D220" t="s">
        <v>46</v>
      </c>
      <c r="E220" t="s">
        <v>33</v>
      </c>
      <c r="F220">
        <v>46</v>
      </c>
      <c r="G220" t="s">
        <v>119</v>
      </c>
      <c r="H220" s="18">
        <v>41294</v>
      </c>
      <c r="I220">
        <v>86061</v>
      </c>
      <c r="J220">
        <v>0</v>
      </c>
      <c r="K220">
        <v>0</v>
      </c>
      <c r="L220" t="s">
        <v>59</v>
      </c>
      <c r="M220" t="s">
        <v>61</v>
      </c>
      <c r="N220" s="18"/>
    </row>
    <row r="221" spans="1:14" x14ac:dyDescent="0.25">
      <c r="A221" t="s">
        <v>1677</v>
      </c>
      <c r="B221" t="s">
        <v>81</v>
      </c>
      <c r="C221" t="s">
        <v>45</v>
      </c>
      <c r="D221" t="s">
        <v>39</v>
      </c>
      <c r="E221" t="s">
        <v>33</v>
      </c>
      <c r="F221">
        <v>45</v>
      </c>
      <c r="G221" t="s">
        <v>119</v>
      </c>
      <c r="H221" s="18">
        <v>44237</v>
      </c>
      <c r="I221">
        <v>79882</v>
      </c>
      <c r="J221">
        <v>0</v>
      </c>
      <c r="K221">
        <v>0</v>
      </c>
      <c r="L221" t="s">
        <v>29</v>
      </c>
      <c r="M221" t="s">
        <v>43</v>
      </c>
      <c r="N221" s="18"/>
    </row>
    <row r="222" spans="1:14" x14ac:dyDescent="0.25">
      <c r="A222" t="s">
        <v>1678</v>
      </c>
      <c r="B222" t="s">
        <v>56</v>
      </c>
      <c r="C222" t="s">
        <v>54</v>
      </c>
      <c r="D222" t="s">
        <v>32</v>
      </c>
      <c r="E222" t="s">
        <v>28</v>
      </c>
      <c r="F222">
        <v>30</v>
      </c>
      <c r="G222" t="s">
        <v>120</v>
      </c>
      <c r="H222" s="18">
        <v>43165</v>
      </c>
      <c r="I222">
        <v>255431</v>
      </c>
      <c r="J222">
        <v>0.36</v>
      </c>
      <c r="K222">
        <v>91955.16</v>
      </c>
      <c r="L222" t="s">
        <v>29</v>
      </c>
      <c r="M222" t="s">
        <v>58</v>
      </c>
      <c r="N222" s="18"/>
    </row>
    <row r="223" spans="1:14" x14ac:dyDescent="0.25">
      <c r="A223" t="s">
        <v>1679</v>
      </c>
      <c r="B223" t="s">
        <v>86</v>
      </c>
      <c r="C223" t="s">
        <v>26</v>
      </c>
      <c r="D223" t="s">
        <v>32</v>
      </c>
      <c r="E223" t="s">
        <v>28</v>
      </c>
      <c r="F223">
        <v>48</v>
      </c>
      <c r="G223" t="s">
        <v>119</v>
      </c>
      <c r="H223" s="18">
        <v>37855</v>
      </c>
      <c r="I223">
        <v>82017</v>
      </c>
      <c r="J223">
        <v>0</v>
      </c>
      <c r="K223">
        <v>0</v>
      </c>
      <c r="L223" t="s">
        <v>34</v>
      </c>
      <c r="M223" t="s">
        <v>64</v>
      </c>
      <c r="N223" s="18"/>
    </row>
    <row r="224" spans="1:14" x14ac:dyDescent="0.25">
      <c r="A224" t="s">
        <v>1680</v>
      </c>
      <c r="B224" t="s">
        <v>48</v>
      </c>
      <c r="C224" t="s">
        <v>38</v>
      </c>
      <c r="D224" t="s">
        <v>32</v>
      </c>
      <c r="E224" t="s">
        <v>28</v>
      </c>
      <c r="F224">
        <v>51</v>
      </c>
      <c r="G224" t="s">
        <v>119</v>
      </c>
      <c r="H224" s="18">
        <v>42753</v>
      </c>
      <c r="I224">
        <v>53799</v>
      </c>
      <c r="J224">
        <v>0</v>
      </c>
      <c r="K224">
        <v>0</v>
      </c>
      <c r="L224" t="s">
        <v>29</v>
      </c>
      <c r="M224" t="s">
        <v>58</v>
      </c>
      <c r="N224" s="18"/>
    </row>
    <row r="225" spans="1:14" x14ac:dyDescent="0.25">
      <c r="A225" t="s">
        <v>1681</v>
      </c>
      <c r="B225" t="s">
        <v>42</v>
      </c>
      <c r="C225" t="s">
        <v>45</v>
      </c>
      <c r="D225" t="s">
        <v>46</v>
      </c>
      <c r="E225" t="s">
        <v>28</v>
      </c>
      <c r="F225">
        <v>28</v>
      </c>
      <c r="G225" t="s">
        <v>120</v>
      </c>
      <c r="H225" s="18">
        <v>44380</v>
      </c>
      <c r="I225">
        <v>82739</v>
      </c>
      <c r="J225">
        <v>0</v>
      </c>
      <c r="K225">
        <v>0</v>
      </c>
      <c r="L225" t="s">
        <v>29</v>
      </c>
      <c r="M225" t="s">
        <v>43</v>
      </c>
      <c r="N225" s="18"/>
    </row>
    <row r="226" spans="1:14" x14ac:dyDescent="0.25">
      <c r="A226" t="s">
        <v>1682</v>
      </c>
      <c r="B226" t="s">
        <v>75</v>
      </c>
      <c r="C226" t="s">
        <v>26</v>
      </c>
      <c r="D226" t="s">
        <v>32</v>
      </c>
      <c r="E226" t="s">
        <v>28</v>
      </c>
      <c r="F226">
        <v>36</v>
      </c>
      <c r="G226" t="s">
        <v>121</v>
      </c>
      <c r="H226" s="18">
        <v>41789</v>
      </c>
      <c r="I226">
        <v>99080</v>
      </c>
      <c r="J226">
        <v>0</v>
      </c>
      <c r="K226">
        <v>0</v>
      </c>
      <c r="L226" t="s">
        <v>29</v>
      </c>
      <c r="M226" t="s">
        <v>40</v>
      </c>
      <c r="N226" s="18"/>
    </row>
    <row r="227" spans="1:14" x14ac:dyDescent="0.25">
      <c r="A227" t="s">
        <v>1683</v>
      </c>
      <c r="B227" t="s">
        <v>81</v>
      </c>
      <c r="C227" t="s">
        <v>45</v>
      </c>
      <c r="D227" t="s">
        <v>46</v>
      </c>
      <c r="E227" t="s">
        <v>28</v>
      </c>
      <c r="F227">
        <v>40</v>
      </c>
      <c r="G227" t="s">
        <v>121</v>
      </c>
      <c r="H227" s="18">
        <v>40563</v>
      </c>
      <c r="I227">
        <v>96719</v>
      </c>
      <c r="J227">
        <v>0</v>
      </c>
      <c r="K227">
        <v>0</v>
      </c>
      <c r="L227" t="s">
        <v>34</v>
      </c>
      <c r="M227" t="s">
        <v>68</v>
      </c>
      <c r="N227" s="18"/>
    </row>
    <row r="228" spans="1:14" x14ac:dyDescent="0.25">
      <c r="A228" t="s">
        <v>1684</v>
      </c>
      <c r="B228" t="s">
        <v>37</v>
      </c>
      <c r="C228" t="s">
        <v>52</v>
      </c>
      <c r="D228" t="s">
        <v>27</v>
      </c>
      <c r="E228" t="s">
        <v>28</v>
      </c>
      <c r="F228">
        <v>51</v>
      </c>
      <c r="G228" t="s">
        <v>119</v>
      </c>
      <c r="H228" s="18">
        <v>44283</v>
      </c>
      <c r="I228">
        <v>180687</v>
      </c>
      <c r="J228">
        <v>0.19</v>
      </c>
      <c r="K228">
        <v>34330.53</v>
      </c>
      <c r="L228" t="s">
        <v>29</v>
      </c>
      <c r="M228" t="s">
        <v>43</v>
      </c>
      <c r="N228" s="18"/>
    </row>
    <row r="229" spans="1:14" x14ac:dyDescent="0.25">
      <c r="A229" t="s">
        <v>1685</v>
      </c>
      <c r="B229" t="s">
        <v>63</v>
      </c>
      <c r="C229" t="s">
        <v>54</v>
      </c>
      <c r="D229" t="s">
        <v>46</v>
      </c>
      <c r="E229" t="s">
        <v>33</v>
      </c>
      <c r="F229">
        <v>45</v>
      </c>
      <c r="G229" t="s">
        <v>119</v>
      </c>
      <c r="H229" s="18">
        <v>36993</v>
      </c>
      <c r="I229">
        <v>95743</v>
      </c>
      <c r="J229">
        <v>0.15</v>
      </c>
      <c r="K229">
        <v>14361.449999999999</v>
      </c>
      <c r="L229" t="s">
        <v>29</v>
      </c>
      <c r="M229" t="s">
        <v>51</v>
      </c>
      <c r="N229" s="18">
        <v>40193</v>
      </c>
    </row>
    <row r="230" spans="1:14" x14ac:dyDescent="0.25">
      <c r="A230" t="s">
        <v>1686</v>
      </c>
      <c r="B230" t="s">
        <v>80</v>
      </c>
      <c r="C230" t="s">
        <v>54</v>
      </c>
      <c r="D230" t="s">
        <v>27</v>
      </c>
      <c r="E230" t="s">
        <v>28</v>
      </c>
      <c r="F230">
        <v>44</v>
      </c>
      <c r="G230" t="s">
        <v>121</v>
      </c>
      <c r="H230" s="18">
        <v>40060</v>
      </c>
      <c r="I230">
        <v>89695</v>
      </c>
      <c r="J230">
        <v>0</v>
      </c>
      <c r="K230">
        <v>0</v>
      </c>
      <c r="L230" t="s">
        <v>29</v>
      </c>
      <c r="M230" t="s">
        <v>51</v>
      </c>
      <c r="N230" s="18"/>
    </row>
    <row r="231" spans="1:14" x14ac:dyDescent="0.25">
      <c r="A231" t="s">
        <v>1687</v>
      </c>
      <c r="B231" t="s">
        <v>47</v>
      </c>
      <c r="C231" t="s">
        <v>38</v>
      </c>
      <c r="D231" t="s">
        <v>32</v>
      </c>
      <c r="E231" t="s">
        <v>33</v>
      </c>
      <c r="F231">
        <v>64</v>
      </c>
      <c r="G231" t="s">
        <v>118</v>
      </c>
      <c r="H231" s="18">
        <v>35996</v>
      </c>
      <c r="I231">
        <v>122753</v>
      </c>
      <c r="J231">
        <v>0.09</v>
      </c>
      <c r="K231">
        <v>11047.77</v>
      </c>
      <c r="L231" t="s">
        <v>34</v>
      </c>
      <c r="M231" t="s">
        <v>35</v>
      </c>
      <c r="N231" s="18"/>
    </row>
    <row r="232" spans="1:14" x14ac:dyDescent="0.25">
      <c r="A232" t="s">
        <v>1688</v>
      </c>
      <c r="B232" t="s">
        <v>69</v>
      </c>
      <c r="C232" t="s">
        <v>52</v>
      </c>
      <c r="D232" t="s">
        <v>27</v>
      </c>
      <c r="E232" t="s">
        <v>33</v>
      </c>
      <c r="F232">
        <v>30</v>
      </c>
      <c r="G232" t="s">
        <v>120</v>
      </c>
      <c r="H232" s="18">
        <v>42078</v>
      </c>
      <c r="I232">
        <v>93734</v>
      </c>
      <c r="J232">
        <v>0</v>
      </c>
      <c r="K232">
        <v>0</v>
      </c>
      <c r="L232" t="s">
        <v>29</v>
      </c>
      <c r="M232" t="s">
        <v>43</v>
      </c>
      <c r="N232" s="18"/>
    </row>
    <row r="233" spans="1:14" x14ac:dyDescent="0.25">
      <c r="A233" t="s">
        <v>1689</v>
      </c>
      <c r="B233" t="s">
        <v>48</v>
      </c>
      <c r="C233" t="s">
        <v>50</v>
      </c>
      <c r="D233" t="s">
        <v>46</v>
      </c>
      <c r="E233" t="s">
        <v>33</v>
      </c>
      <c r="F233">
        <v>28</v>
      </c>
      <c r="G233" t="s">
        <v>120</v>
      </c>
      <c r="H233" s="18">
        <v>42867</v>
      </c>
      <c r="I233">
        <v>52069</v>
      </c>
      <c r="J233">
        <v>0</v>
      </c>
      <c r="K233">
        <v>0</v>
      </c>
      <c r="L233" t="s">
        <v>34</v>
      </c>
      <c r="M233" t="s">
        <v>35</v>
      </c>
      <c r="N233" s="18"/>
    </row>
    <row r="234" spans="1:14" x14ac:dyDescent="0.25">
      <c r="A234" t="s">
        <v>1690</v>
      </c>
      <c r="B234" t="s">
        <v>56</v>
      </c>
      <c r="C234" t="s">
        <v>50</v>
      </c>
      <c r="D234" t="s">
        <v>46</v>
      </c>
      <c r="E234" t="s">
        <v>28</v>
      </c>
      <c r="F234">
        <v>33</v>
      </c>
      <c r="G234" t="s">
        <v>120</v>
      </c>
      <c r="H234" s="18">
        <v>44181</v>
      </c>
      <c r="I234">
        <v>258426</v>
      </c>
      <c r="J234">
        <v>0.4</v>
      </c>
      <c r="K234">
        <v>103370.40000000001</v>
      </c>
      <c r="L234" t="s">
        <v>59</v>
      </c>
      <c r="M234" t="s">
        <v>61</v>
      </c>
      <c r="N234" s="18"/>
    </row>
    <row r="235" spans="1:14" x14ac:dyDescent="0.25">
      <c r="A235" t="s">
        <v>1691</v>
      </c>
      <c r="B235" t="s">
        <v>47</v>
      </c>
      <c r="C235" t="s">
        <v>38</v>
      </c>
      <c r="D235" t="s">
        <v>39</v>
      </c>
      <c r="E235" t="s">
        <v>33</v>
      </c>
      <c r="F235">
        <v>51</v>
      </c>
      <c r="G235" t="s">
        <v>119</v>
      </c>
      <c r="H235" s="18">
        <v>34746</v>
      </c>
      <c r="I235">
        <v>125375</v>
      </c>
      <c r="J235">
        <v>0.09</v>
      </c>
      <c r="K235">
        <v>11283.75</v>
      </c>
      <c r="L235" t="s">
        <v>29</v>
      </c>
      <c r="M235" t="s">
        <v>40</v>
      </c>
      <c r="N235" s="18"/>
    </row>
    <row r="236" spans="1:14" x14ac:dyDescent="0.25">
      <c r="A236" t="s">
        <v>1692</v>
      </c>
      <c r="B236" t="s">
        <v>56</v>
      </c>
      <c r="C236" t="s">
        <v>50</v>
      </c>
      <c r="D236" t="s">
        <v>32</v>
      </c>
      <c r="E236" t="s">
        <v>33</v>
      </c>
      <c r="F236">
        <v>25</v>
      </c>
      <c r="G236" t="s">
        <v>120</v>
      </c>
      <c r="H236" s="18">
        <v>44235</v>
      </c>
      <c r="I236">
        <v>198243</v>
      </c>
      <c r="J236">
        <v>0.31</v>
      </c>
      <c r="K236">
        <v>61455.33</v>
      </c>
      <c r="L236" t="s">
        <v>29</v>
      </c>
      <c r="M236" t="s">
        <v>49</v>
      </c>
      <c r="N236" s="18"/>
    </row>
    <row r="237" spans="1:14" x14ac:dyDescent="0.25">
      <c r="A237" t="s">
        <v>1693</v>
      </c>
      <c r="B237" t="s">
        <v>77</v>
      </c>
      <c r="C237" t="s">
        <v>54</v>
      </c>
      <c r="D237" t="s">
        <v>27</v>
      </c>
      <c r="E237" t="s">
        <v>28</v>
      </c>
      <c r="F237">
        <v>42</v>
      </c>
      <c r="G237" t="s">
        <v>121</v>
      </c>
      <c r="H237" s="18">
        <v>43062</v>
      </c>
      <c r="I237">
        <v>96023</v>
      </c>
      <c r="J237">
        <v>0</v>
      </c>
      <c r="K237">
        <v>0</v>
      </c>
      <c r="L237" t="s">
        <v>29</v>
      </c>
      <c r="M237" t="s">
        <v>49</v>
      </c>
      <c r="N237" s="18"/>
    </row>
    <row r="238" spans="1:14" x14ac:dyDescent="0.25">
      <c r="A238" t="s">
        <v>1694</v>
      </c>
      <c r="B238" t="s">
        <v>42</v>
      </c>
      <c r="C238" t="s">
        <v>57</v>
      </c>
      <c r="D238" t="s">
        <v>27</v>
      </c>
      <c r="E238" t="s">
        <v>28</v>
      </c>
      <c r="F238">
        <v>34</v>
      </c>
      <c r="G238" t="s">
        <v>120</v>
      </c>
      <c r="H238" s="18">
        <v>41085</v>
      </c>
      <c r="I238">
        <v>83066</v>
      </c>
      <c r="J238">
        <v>0</v>
      </c>
      <c r="K238">
        <v>0</v>
      </c>
      <c r="L238" t="s">
        <v>29</v>
      </c>
      <c r="M238" t="s">
        <v>40</v>
      </c>
      <c r="N238" s="18">
        <v>41430</v>
      </c>
    </row>
    <row r="239" spans="1:14" x14ac:dyDescent="0.25">
      <c r="A239" t="s">
        <v>1695</v>
      </c>
      <c r="B239" t="s">
        <v>66</v>
      </c>
      <c r="C239" t="s">
        <v>45</v>
      </c>
      <c r="D239" t="s">
        <v>27</v>
      </c>
      <c r="E239" t="s">
        <v>28</v>
      </c>
      <c r="F239">
        <v>48</v>
      </c>
      <c r="G239" t="s">
        <v>119</v>
      </c>
      <c r="H239" s="18">
        <v>41773</v>
      </c>
      <c r="I239">
        <v>61216</v>
      </c>
      <c r="J239">
        <v>0</v>
      </c>
      <c r="K239">
        <v>0</v>
      </c>
      <c r="L239" t="s">
        <v>29</v>
      </c>
      <c r="M239" t="s">
        <v>30</v>
      </c>
      <c r="N239" s="18"/>
    </row>
    <row r="240" spans="1:14" x14ac:dyDescent="0.25">
      <c r="A240" t="s">
        <v>1696</v>
      </c>
      <c r="B240" t="s">
        <v>25</v>
      </c>
      <c r="C240" t="s">
        <v>50</v>
      </c>
      <c r="D240" t="s">
        <v>46</v>
      </c>
      <c r="E240" t="s">
        <v>33</v>
      </c>
      <c r="F240">
        <v>33</v>
      </c>
      <c r="G240" t="s">
        <v>120</v>
      </c>
      <c r="H240" s="18">
        <v>41315</v>
      </c>
      <c r="I240">
        <v>144231</v>
      </c>
      <c r="J240">
        <v>0.14000000000000001</v>
      </c>
      <c r="K240">
        <v>20192.34</v>
      </c>
      <c r="L240" t="s">
        <v>29</v>
      </c>
      <c r="M240" t="s">
        <v>58</v>
      </c>
      <c r="N240" s="18">
        <v>44029</v>
      </c>
    </row>
    <row r="241" spans="1:14" x14ac:dyDescent="0.25">
      <c r="A241" t="s">
        <v>1697</v>
      </c>
      <c r="B241" t="s">
        <v>70</v>
      </c>
      <c r="C241" t="s">
        <v>52</v>
      </c>
      <c r="D241" t="s">
        <v>27</v>
      </c>
      <c r="E241" t="s">
        <v>33</v>
      </c>
      <c r="F241">
        <v>41</v>
      </c>
      <c r="G241" t="s">
        <v>121</v>
      </c>
      <c r="H241" s="18">
        <v>39379</v>
      </c>
      <c r="I241">
        <v>51630</v>
      </c>
      <c r="J241">
        <v>0</v>
      </c>
      <c r="K241">
        <v>0</v>
      </c>
      <c r="L241" t="s">
        <v>34</v>
      </c>
      <c r="M241" t="s">
        <v>64</v>
      </c>
      <c r="N241" s="18"/>
    </row>
    <row r="242" spans="1:14" x14ac:dyDescent="0.25">
      <c r="A242" t="s">
        <v>1698</v>
      </c>
      <c r="B242" t="s">
        <v>25</v>
      </c>
      <c r="C242" t="s">
        <v>45</v>
      </c>
      <c r="D242" t="s">
        <v>46</v>
      </c>
      <c r="E242" t="s">
        <v>33</v>
      </c>
      <c r="F242">
        <v>55</v>
      </c>
      <c r="G242" t="s">
        <v>118</v>
      </c>
      <c r="H242" s="18">
        <v>41594</v>
      </c>
      <c r="I242">
        <v>124129</v>
      </c>
      <c r="J242">
        <v>0.15</v>
      </c>
      <c r="K242">
        <v>18619.349999999999</v>
      </c>
      <c r="L242" t="s">
        <v>59</v>
      </c>
      <c r="M242" t="s">
        <v>76</v>
      </c>
      <c r="N242" s="18"/>
    </row>
    <row r="243" spans="1:14" x14ac:dyDescent="0.25">
      <c r="A243" t="s">
        <v>1699</v>
      </c>
      <c r="B243" t="s">
        <v>77</v>
      </c>
      <c r="C243" t="s">
        <v>54</v>
      </c>
      <c r="D243" t="s">
        <v>32</v>
      </c>
      <c r="E243" t="s">
        <v>33</v>
      </c>
      <c r="F243">
        <v>36</v>
      </c>
      <c r="G243" t="s">
        <v>121</v>
      </c>
      <c r="H243" s="18">
        <v>39912</v>
      </c>
      <c r="I243">
        <v>60055</v>
      </c>
      <c r="J243">
        <v>0</v>
      </c>
      <c r="K243">
        <v>0</v>
      </c>
      <c r="L243" t="s">
        <v>29</v>
      </c>
      <c r="M243" t="s">
        <v>30</v>
      </c>
      <c r="N243" s="18"/>
    </row>
    <row r="244" spans="1:14" x14ac:dyDescent="0.25">
      <c r="A244" t="s">
        <v>1700</v>
      </c>
      <c r="B244" t="s">
        <v>37</v>
      </c>
      <c r="C244" t="s">
        <v>54</v>
      </c>
      <c r="D244" t="s">
        <v>27</v>
      </c>
      <c r="E244" t="s">
        <v>33</v>
      </c>
      <c r="F244">
        <v>31</v>
      </c>
      <c r="G244" t="s">
        <v>120</v>
      </c>
      <c r="H244" s="18">
        <v>44069</v>
      </c>
      <c r="I244">
        <v>189290</v>
      </c>
      <c r="J244">
        <v>0.22</v>
      </c>
      <c r="K244">
        <v>41643.800000000003</v>
      </c>
      <c r="L244" t="s">
        <v>59</v>
      </c>
      <c r="M244" t="s">
        <v>76</v>
      </c>
      <c r="N244" s="18">
        <v>44099</v>
      </c>
    </row>
    <row r="245" spans="1:14" x14ac:dyDescent="0.25">
      <c r="A245" t="s">
        <v>1701</v>
      </c>
      <c r="B245" t="s">
        <v>56</v>
      </c>
      <c r="C245" t="s">
        <v>26</v>
      </c>
      <c r="D245" t="s">
        <v>46</v>
      </c>
      <c r="E245" t="s">
        <v>28</v>
      </c>
      <c r="F245">
        <v>53</v>
      </c>
      <c r="G245" t="s">
        <v>119</v>
      </c>
      <c r="H245" s="18">
        <v>39568</v>
      </c>
      <c r="I245">
        <v>182202</v>
      </c>
      <c r="J245">
        <v>0.3</v>
      </c>
      <c r="K245">
        <v>54660.6</v>
      </c>
      <c r="L245" t="s">
        <v>29</v>
      </c>
      <c r="M245" t="s">
        <v>51</v>
      </c>
      <c r="N245" s="18"/>
    </row>
    <row r="246" spans="1:14" x14ac:dyDescent="0.25">
      <c r="A246" t="s">
        <v>1702</v>
      </c>
      <c r="B246" t="s">
        <v>47</v>
      </c>
      <c r="C246" t="s">
        <v>45</v>
      </c>
      <c r="D246" t="s">
        <v>39</v>
      </c>
      <c r="E246" t="s">
        <v>33</v>
      </c>
      <c r="F246">
        <v>43</v>
      </c>
      <c r="G246" t="s">
        <v>121</v>
      </c>
      <c r="H246" s="18">
        <v>38748</v>
      </c>
      <c r="I246">
        <v>117518</v>
      </c>
      <c r="J246">
        <v>7.0000000000000007E-2</v>
      </c>
      <c r="K246">
        <v>8226.26</v>
      </c>
      <c r="L246" t="s">
        <v>29</v>
      </c>
      <c r="M246" t="s">
        <v>30</v>
      </c>
      <c r="N246" s="18"/>
    </row>
    <row r="247" spans="1:14" x14ac:dyDescent="0.25">
      <c r="A247" t="s">
        <v>1703</v>
      </c>
      <c r="B247" t="s">
        <v>25</v>
      </c>
      <c r="C247" t="s">
        <v>38</v>
      </c>
      <c r="D247" t="s">
        <v>32</v>
      </c>
      <c r="E247" t="s">
        <v>28</v>
      </c>
      <c r="F247">
        <v>37</v>
      </c>
      <c r="G247" t="s">
        <v>121</v>
      </c>
      <c r="H247" s="18">
        <v>41329</v>
      </c>
      <c r="I247">
        <v>157474</v>
      </c>
      <c r="J247">
        <v>0.11</v>
      </c>
      <c r="K247">
        <v>17322.14</v>
      </c>
      <c r="L247" t="s">
        <v>59</v>
      </c>
      <c r="M247" t="s">
        <v>61</v>
      </c>
      <c r="N247" s="18"/>
    </row>
    <row r="248" spans="1:14" x14ac:dyDescent="0.25">
      <c r="A248" t="s">
        <v>1704</v>
      </c>
      <c r="B248" t="s">
        <v>47</v>
      </c>
      <c r="C248" t="s">
        <v>57</v>
      </c>
      <c r="D248" t="s">
        <v>32</v>
      </c>
      <c r="E248" t="s">
        <v>33</v>
      </c>
      <c r="F248">
        <v>38</v>
      </c>
      <c r="G248" t="s">
        <v>121</v>
      </c>
      <c r="H248" s="18">
        <v>39544</v>
      </c>
      <c r="I248">
        <v>126856</v>
      </c>
      <c r="J248">
        <v>0.06</v>
      </c>
      <c r="K248">
        <v>7611.36</v>
      </c>
      <c r="L248" t="s">
        <v>29</v>
      </c>
      <c r="M248" t="s">
        <v>58</v>
      </c>
      <c r="N248" s="18"/>
    </row>
    <row r="249" spans="1:14" x14ac:dyDescent="0.25">
      <c r="A249" t="s">
        <v>1705</v>
      </c>
      <c r="B249" t="s">
        <v>25</v>
      </c>
      <c r="C249" t="s">
        <v>50</v>
      </c>
      <c r="D249" t="s">
        <v>32</v>
      </c>
      <c r="E249" t="s">
        <v>28</v>
      </c>
      <c r="F249">
        <v>49</v>
      </c>
      <c r="G249" t="s">
        <v>119</v>
      </c>
      <c r="H249" s="18">
        <v>36983</v>
      </c>
      <c r="I249">
        <v>129124</v>
      </c>
      <c r="J249">
        <v>0.12</v>
      </c>
      <c r="K249">
        <v>15494.88</v>
      </c>
      <c r="L249" t="s">
        <v>34</v>
      </c>
      <c r="M249" t="s">
        <v>55</v>
      </c>
      <c r="N249" s="18"/>
    </row>
    <row r="250" spans="1:14" x14ac:dyDescent="0.25">
      <c r="A250" t="s">
        <v>1706</v>
      </c>
      <c r="B250" t="s">
        <v>37</v>
      </c>
      <c r="C250" t="s">
        <v>45</v>
      </c>
      <c r="D250" t="s">
        <v>27</v>
      </c>
      <c r="E250" t="s">
        <v>28</v>
      </c>
      <c r="F250">
        <v>45</v>
      </c>
      <c r="G250" t="s">
        <v>119</v>
      </c>
      <c r="H250" s="18">
        <v>37316</v>
      </c>
      <c r="I250">
        <v>165181</v>
      </c>
      <c r="J250">
        <v>0.16</v>
      </c>
      <c r="K250">
        <v>26428.959999999999</v>
      </c>
      <c r="L250" t="s">
        <v>29</v>
      </c>
      <c r="M250" t="s">
        <v>30</v>
      </c>
      <c r="N250" s="18"/>
    </row>
    <row r="251" spans="1:14" x14ac:dyDescent="0.25">
      <c r="A251" t="s">
        <v>1707</v>
      </c>
      <c r="B251" t="s">
        <v>56</v>
      </c>
      <c r="C251" t="s">
        <v>38</v>
      </c>
      <c r="D251" t="s">
        <v>46</v>
      </c>
      <c r="E251" t="s">
        <v>33</v>
      </c>
      <c r="F251">
        <v>50</v>
      </c>
      <c r="G251" t="s">
        <v>119</v>
      </c>
      <c r="H251" s="18">
        <v>38004</v>
      </c>
      <c r="I251">
        <v>247939</v>
      </c>
      <c r="J251">
        <v>0.35</v>
      </c>
      <c r="K251">
        <v>86778.65</v>
      </c>
      <c r="L251" t="s">
        <v>59</v>
      </c>
      <c r="M251" t="s">
        <v>61</v>
      </c>
      <c r="N251" s="18"/>
    </row>
    <row r="252" spans="1:14" x14ac:dyDescent="0.25">
      <c r="A252" t="s">
        <v>1708</v>
      </c>
      <c r="B252" t="s">
        <v>37</v>
      </c>
      <c r="C252" t="s">
        <v>54</v>
      </c>
      <c r="D252" t="s">
        <v>39</v>
      </c>
      <c r="E252" t="s">
        <v>33</v>
      </c>
      <c r="F252">
        <v>64</v>
      </c>
      <c r="G252" t="s">
        <v>118</v>
      </c>
      <c r="H252" s="18">
        <v>42972</v>
      </c>
      <c r="I252">
        <v>169509</v>
      </c>
      <c r="J252">
        <v>0.18</v>
      </c>
      <c r="K252">
        <v>30511.62</v>
      </c>
      <c r="L252" t="s">
        <v>59</v>
      </c>
      <c r="M252" t="s">
        <v>60</v>
      </c>
      <c r="N252" s="18"/>
    </row>
    <row r="253" spans="1:14" x14ac:dyDescent="0.25">
      <c r="A253" t="s">
        <v>1709</v>
      </c>
      <c r="B253" t="s">
        <v>25</v>
      </c>
      <c r="C253" t="s">
        <v>50</v>
      </c>
      <c r="D253" t="s">
        <v>32</v>
      </c>
      <c r="E253" t="s">
        <v>28</v>
      </c>
      <c r="F253">
        <v>55</v>
      </c>
      <c r="G253" t="s">
        <v>118</v>
      </c>
      <c r="H253" s="18">
        <v>40552</v>
      </c>
      <c r="I253">
        <v>138521</v>
      </c>
      <c r="J253">
        <v>0.1</v>
      </c>
      <c r="K253">
        <v>13852.1</v>
      </c>
      <c r="L253" t="s">
        <v>29</v>
      </c>
      <c r="M253" t="s">
        <v>49</v>
      </c>
      <c r="N253" s="18"/>
    </row>
    <row r="254" spans="1:14" x14ac:dyDescent="0.25">
      <c r="A254" t="s">
        <v>1710</v>
      </c>
      <c r="B254" t="s">
        <v>63</v>
      </c>
      <c r="C254" t="s">
        <v>54</v>
      </c>
      <c r="D254" t="s">
        <v>39</v>
      </c>
      <c r="E254" t="s">
        <v>28</v>
      </c>
      <c r="F254">
        <v>45</v>
      </c>
      <c r="G254" t="s">
        <v>119</v>
      </c>
      <c r="H254" s="18">
        <v>41712</v>
      </c>
      <c r="I254">
        <v>113873</v>
      </c>
      <c r="J254">
        <v>0.11</v>
      </c>
      <c r="K254">
        <v>12526.03</v>
      </c>
      <c r="L254" t="s">
        <v>59</v>
      </c>
      <c r="M254" t="s">
        <v>61</v>
      </c>
      <c r="N254" s="18"/>
    </row>
    <row r="255" spans="1:14" x14ac:dyDescent="0.25">
      <c r="A255" t="s">
        <v>1711</v>
      </c>
      <c r="B255" t="s">
        <v>67</v>
      </c>
      <c r="C255" t="s">
        <v>26</v>
      </c>
      <c r="D255" t="s">
        <v>46</v>
      </c>
      <c r="E255" t="s">
        <v>28</v>
      </c>
      <c r="F255">
        <v>39</v>
      </c>
      <c r="G255" t="s">
        <v>121</v>
      </c>
      <c r="H255" s="18">
        <v>43229</v>
      </c>
      <c r="I255">
        <v>73317</v>
      </c>
      <c r="J255">
        <v>0</v>
      </c>
      <c r="K255">
        <v>0</v>
      </c>
      <c r="L255" t="s">
        <v>29</v>
      </c>
      <c r="M255" t="s">
        <v>49</v>
      </c>
      <c r="N255" s="18"/>
    </row>
    <row r="256" spans="1:14" x14ac:dyDescent="0.25">
      <c r="A256" t="s">
        <v>1712</v>
      </c>
      <c r="B256" t="s">
        <v>86</v>
      </c>
      <c r="C256" t="s">
        <v>26</v>
      </c>
      <c r="D256" t="s">
        <v>39</v>
      </c>
      <c r="E256" t="s">
        <v>28</v>
      </c>
      <c r="F256">
        <v>40</v>
      </c>
      <c r="G256" t="s">
        <v>121</v>
      </c>
      <c r="H256" s="18">
        <v>41451</v>
      </c>
      <c r="I256">
        <v>69096</v>
      </c>
      <c r="J256">
        <v>0</v>
      </c>
      <c r="K256">
        <v>0</v>
      </c>
      <c r="L256" t="s">
        <v>29</v>
      </c>
      <c r="M256" t="s">
        <v>30</v>
      </c>
      <c r="N256" s="18"/>
    </row>
    <row r="257" spans="1:14" x14ac:dyDescent="0.25">
      <c r="A257" t="s">
        <v>1713</v>
      </c>
      <c r="B257" t="s">
        <v>69</v>
      </c>
      <c r="C257" t="s">
        <v>52</v>
      </c>
      <c r="D257" t="s">
        <v>32</v>
      </c>
      <c r="E257" t="s">
        <v>33</v>
      </c>
      <c r="F257">
        <v>48</v>
      </c>
      <c r="G257" t="s">
        <v>119</v>
      </c>
      <c r="H257" s="18">
        <v>38454</v>
      </c>
      <c r="I257">
        <v>87158</v>
      </c>
      <c r="J257">
        <v>0</v>
      </c>
      <c r="K257">
        <v>0</v>
      </c>
      <c r="L257" t="s">
        <v>59</v>
      </c>
      <c r="M257" t="s">
        <v>60</v>
      </c>
      <c r="N257" s="18"/>
    </row>
    <row r="258" spans="1:14" x14ac:dyDescent="0.25">
      <c r="A258" t="s">
        <v>1714</v>
      </c>
      <c r="B258" t="s">
        <v>77</v>
      </c>
      <c r="C258" t="s">
        <v>54</v>
      </c>
      <c r="D258" t="s">
        <v>46</v>
      </c>
      <c r="E258" t="s">
        <v>33</v>
      </c>
      <c r="F258">
        <v>64</v>
      </c>
      <c r="G258" t="s">
        <v>118</v>
      </c>
      <c r="H258" s="18">
        <v>33875</v>
      </c>
      <c r="I258">
        <v>70778</v>
      </c>
      <c r="J258">
        <v>0</v>
      </c>
      <c r="K258">
        <v>0</v>
      </c>
      <c r="L258" t="s">
        <v>29</v>
      </c>
      <c r="M258" t="s">
        <v>51</v>
      </c>
      <c r="N258" s="18"/>
    </row>
    <row r="259" spans="1:14" x14ac:dyDescent="0.25">
      <c r="A259" t="s">
        <v>1715</v>
      </c>
      <c r="B259" t="s">
        <v>37</v>
      </c>
      <c r="C259" t="s">
        <v>52</v>
      </c>
      <c r="D259" t="s">
        <v>39</v>
      </c>
      <c r="E259" t="s">
        <v>28</v>
      </c>
      <c r="F259">
        <v>65</v>
      </c>
      <c r="G259" t="s">
        <v>122</v>
      </c>
      <c r="H259" s="18">
        <v>38130</v>
      </c>
      <c r="I259">
        <v>153938</v>
      </c>
      <c r="J259">
        <v>0.2</v>
      </c>
      <c r="K259">
        <v>30787.600000000002</v>
      </c>
      <c r="L259" t="s">
        <v>29</v>
      </c>
      <c r="M259" t="s">
        <v>43</v>
      </c>
      <c r="N259" s="18"/>
    </row>
    <row r="260" spans="1:14" x14ac:dyDescent="0.25">
      <c r="A260" t="s">
        <v>1716</v>
      </c>
      <c r="B260" t="s">
        <v>83</v>
      </c>
      <c r="C260" t="s">
        <v>26</v>
      </c>
      <c r="D260" t="s">
        <v>27</v>
      </c>
      <c r="E260" t="s">
        <v>33</v>
      </c>
      <c r="F260">
        <v>43</v>
      </c>
      <c r="G260" t="s">
        <v>121</v>
      </c>
      <c r="H260" s="18">
        <v>43224</v>
      </c>
      <c r="I260">
        <v>59888</v>
      </c>
      <c r="J260">
        <v>0</v>
      </c>
      <c r="K260">
        <v>0</v>
      </c>
      <c r="L260" t="s">
        <v>34</v>
      </c>
      <c r="M260" t="s">
        <v>64</v>
      </c>
      <c r="N260" s="18"/>
    </row>
    <row r="261" spans="1:14" x14ac:dyDescent="0.25">
      <c r="A261" t="s">
        <v>1717</v>
      </c>
      <c r="B261" t="s">
        <v>77</v>
      </c>
      <c r="C261" t="s">
        <v>54</v>
      </c>
      <c r="D261" t="s">
        <v>46</v>
      </c>
      <c r="E261" t="s">
        <v>33</v>
      </c>
      <c r="F261">
        <v>50</v>
      </c>
      <c r="G261" t="s">
        <v>119</v>
      </c>
      <c r="H261" s="18">
        <v>43447</v>
      </c>
      <c r="I261">
        <v>63098</v>
      </c>
      <c r="J261">
        <v>0</v>
      </c>
      <c r="K261">
        <v>0</v>
      </c>
      <c r="L261" t="s">
        <v>29</v>
      </c>
      <c r="M261" t="s">
        <v>58</v>
      </c>
      <c r="N261" s="18"/>
    </row>
    <row r="262" spans="1:14" x14ac:dyDescent="0.25">
      <c r="A262" t="s">
        <v>1718</v>
      </c>
      <c r="B262" t="s">
        <v>56</v>
      </c>
      <c r="C262" t="s">
        <v>38</v>
      </c>
      <c r="D262" t="s">
        <v>46</v>
      </c>
      <c r="E262" t="s">
        <v>28</v>
      </c>
      <c r="F262">
        <v>27</v>
      </c>
      <c r="G262" t="s">
        <v>120</v>
      </c>
      <c r="H262" s="18">
        <v>44545</v>
      </c>
      <c r="I262">
        <v>255369</v>
      </c>
      <c r="J262">
        <v>0.33</v>
      </c>
      <c r="K262">
        <v>84271.77</v>
      </c>
      <c r="L262" t="s">
        <v>59</v>
      </c>
      <c r="M262" t="s">
        <v>76</v>
      </c>
      <c r="N262" s="18"/>
    </row>
    <row r="263" spans="1:14" x14ac:dyDescent="0.25">
      <c r="A263" t="s">
        <v>1719</v>
      </c>
      <c r="B263" t="s">
        <v>25</v>
      </c>
      <c r="C263" t="s">
        <v>52</v>
      </c>
      <c r="D263" t="s">
        <v>32</v>
      </c>
      <c r="E263" t="s">
        <v>28</v>
      </c>
      <c r="F263">
        <v>55</v>
      </c>
      <c r="G263" t="s">
        <v>118</v>
      </c>
      <c r="H263" s="18">
        <v>38301</v>
      </c>
      <c r="I263">
        <v>142318</v>
      </c>
      <c r="J263">
        <v>0.14000000000000001</v>
      </c>
      <c r="K263">
        <v>19924.52</v>
      </c>
      <c r="L263" t="s">
        <v>29</v>
      </c>
      <c r="M263" t="s">
        <v>40</v>
      </c>
      <c r="N263" s="18"/>
    </row>
    <row r="264" spans="1:14" x14ac:dyDescent="0.25">
      <c r="A264" t="s">
        <v>1720</v>
      </c>
      <c r="B264" t="s">
        <v>74</v>
      </c>
      <c r="C264" t="s">
        <v>52</v>
      </c>
      <c r="D264" t="s">
        <v>32</v>
      </c>
      <c r="E264" t="s">
        <v>33</v>
      </c>
      <c r="F264">
        <v>41</v>
      </c>
      <c r="G264" t="s">
        <v>121</v>
      </c>
      <c r="H264" s="18">
        <v>38219</v>
      </c>
      <c r="I264">
        <v>49186</v>
      </c>
      <c r="J264">
        <v>0</v>
      </c>
      <c r="K264">
        <v>0</v>
      </c>
      <c r="L264" t="s">
        <v>29</v>
      </c>
      <c r="M264" t="s">
        <v>51</v>
      </c>
      <c r="N264" s="18">
        <v>39616</v>
      </c>
    </row>
    <row r="265" spans="1:14" x14ac:dyDescent="0.25">
      <c r="A265" t="s">
        <v>1721</v>
      </c>
      <c r="B265" t="s">
        <v>56</v>
      </c>
      <c r="C265" t="s">
        <v>52</v>
      </c>
      <c r="D265" t="s">
        <v>27</v>
      </c>
      <c r="E265" t="s">
        <v>28</v>
      </c>
      <c r="F265">
        <v>34</v>
      </c>
      <c r="G265" t="s">
        <v>120</v>
      </c>
      <c r="H265" s="18">
        <v>43673</v>
      </c>
      <c r="I265">
        <v>220937</v>
      </c>
      <c r="J265">
        <v>0.38</v>
      </c>
      <c r="K265">
        <v>83956.06</v>
      </c>
      <c r="L265" t="s">
        <v>29</v>
      </c>
      <c r="M265" t="s">
        <v>51</v>
      </c>
      <c r="N265" s="18"/>
    </row>
    <row r="266" spans="1:14" x14ac:dyDescent="0.25">
      <c r="A266" t="s">
        <v>1722</v>
      </c>
      <c r="B266" t="s">
        <v>37</v>
      </c>
      <c r="C266" t="s">
        <v>26</v>
      </c>
      <c r="D266" t="s">
        <v>39</v>
      </c>
      <c r="E266" t="s">
        <v>28</v>
      </c>
      <c r="F266">
        <v>47</v>
      </c>
      <c r="G266" t="s">
        <v>119</v>
      </c>
      <c r="H266" s="18">
        <v>41208</v>
      </c>
      <c r="I266">
        <v>183156</v>
      </c>
      <c r="J266">
        <v>0.3</v>
      </c>
      <c r="K266">
        <v>54946.799999999996</v>
      </c>
      <c r="L266" t="s">
        <v>29</v>
      </c>
      <c r="M266" t="s">
        <v>30</v>
      </c>
      <c r="N266" s="18"/>
    </row>
    <row r="267" spans="1:14" x14ac:dyDescent="0.25">
      <c r="A267" t="s">
        <v>1723</v>
      </c>
      <c r="B267" t="s">
        <v>56</v>
      </c>
      <c r="C267" t="s">
        <v>26</v>
      </c>
      <c r="D267" t="s">
        <v>39</v>
      </c>
      <c r="E267" t="s">
        <v>28</v>
      </c>
      <c r="F267">
        <v>32</v>
      </c>
      <c r="G267" t="s">
        <v>120</v>
      </c>
      <c r="H267" s="18">
        <v>44034</v>
      </c>
      <c r="I267">
        <v>192749</v>
      </c>
      <c r="J267">
        <v>0.31</v>
      </c>
      <c r="K267">
        <v>59752.19</v>
      </c>
      <c r="L267" t="s">
        <v>29</v>
      </c>
      <c r="M267" t="s">
        <v>40</v>
      </c>
      <c r="N267" s="18"/>
    </row>
    <row r="268" spans="1:14" x14ac:dyDescent="0.25">
      <c r="A268" t="s">
        <v>1724</v>
      </c>
      <c r="B268" t="s">
        <v>25</v>
      </c>
      <c r="C268" t="s">
        <v>26</v>
      </c>
      <c r="D268" t="s">
        <v>32</v>
      </c>
      <c r="E268" t="s">
        <v>28</v>
      </c>
      <c r="F268">
        <v>39</v>
      </c>
      <c r="G268" t="s">
        <v>121</v>
      </c>
      <c r="H268" s="18">
        <v>42819</v>
      </c>
      <c r="I268">
        <v>135325</v>
      </c>
      <c r="J268">
        <v>0.14000000000000001</v>
      </c>
      <c r="K268">
        <v>18945.5</v>
      </c>
      <c r="L268" t="s">
        <v>29</v>
      </c>
      <c r="M268" t="s">
        <v>43</v>
      </c>
      <c r="N268" s="18"/>
    </row>
    <row r="269" spans="1:14" x14ac:dyDescent="0.25">
      <c r="A269" t="s">
        <v>1725</v>
      </c>
      <c r="B269" t="s">
        <v>42</v>
      </c>
      <c r="C269" t="s">
        <v>45</v>
      </c>
      <c r="D269" t="s">
        <v>39</v>
      </c>
      <c r="E269" t="s">
        <v>28</v>
      </c>
      <c r="F269">
        <v>26</v>
      </c>
      <c r="G269" t="s">
        <v>120</v>
      </c>
      <c r="H269" s="18">
        <v>43752</v>
      </c>
      <c r="I269">
        <v>79356</v>
      </c>
      <c r="J269">
        <v>0</v>
      </c>
      <c r="K269">
        <v>0</v>
      </c>
      <c r="L269" t="s">
        <v>29</v>
      </c>
      <c r="M269" t="s">
        <v>43</v>
      </c>
      <c r="N269" s="18"/>
    </row>
    <row r="270" spans="1:14" x14ac:dyDescent="0.25">
      <c r="A270" t="s">
        <v>1726</v>
      </c>
      <c r="B270" t="s">
        <v>80</v>
      </c>
      <c r="C270" t="s">
        <v>54</v>
      </c>
      <c r="D270" t="s">
        <v>32</v>
      </c>
      <c r="E270" t="s">
        <v>33</v>
      </c>
      <c r="F270">
        <v>40</v>
      </c>
      <c r="G270" t="s">
        <v>121</v>
      </c>
      <c r="H270" s="18">
        <v>38540</v>
      </c>
      <c r="I270">
        <v>74412</v>
      </c>
      <c r="J270">
        <v>0</v>
      </c>
      <c r="K270">
        <v>0</v>
      </c>
      <c r="L270" t="s">
        <v>29</v>
      </c>
      <c r="M270" t="s">
        <v>30</v>
      </c>
      <c r="N270" s="18"/>
    </row>
    <row r="271" spans="1:14" x14ac:dyDescent="0.25">
      <c r="A271" t="s">
        <v>1727</v>
      </c>
      <c r="B271" t="s">
        <v>41</v>
      </c>
      <c r="C271" t="s">
        <v>26</v>
      </c>
      <c r="D271" t="s">
        <v>32</v>
      </c>
      <c r="E271" t="s">
        <v>28</v>
      </c>
      <c r="F271">
        <v>32</v>
      </c>
      <c r="G271" t="s">
        <v>120</v>
      </c>
      <c r="H271" s="18">
        <v>43010</v>
      </c>
      <c r="I271">
        <v>61886</v>
      </c>
      <c r="J271">
        <v>0.09</v>
      </c>
      <c r="K271">
        <v>5569.74</v>
      </c>
      <c r="L271" t="s">
        <v>59</v>
      </c>
      <c r="M271" t="s">
        <v>61</v>
      </c>
      <c r="N271" s="18"/>
    </row>
    <row r="272" spans="1:14" x14ac:dyDescent="0.25">
      <c r="A272" t="s">
        <v>1728</v>
      </c>
      <c r="B272" t="s">
        <v>37</v>
      </c>
      <c r="C272" t="s">
        <v>50</v>
      </c>
      <c r="D272" t="s">
        <v>27</v>
      </c>
      <c r="E272" t="s">
        <v>28</v>
      </c>
      <c r="F272">
        <v>58</v>
      </c>
      <c r="G272" t="s">
        <v>118</v>
      </c>
      <c r="H272" s="18">
        <v>37755</v>
      </c>
      <c r="I272">
        <v>173071</v>
      </c>
      <c r="J272">
        <v>0.28999999999999998</v>
      </c>
      <c r="K272">
        <v>50190.59</v>
      </c>
      <c r="L272" t="s">
        <v>29</v>
      </c>
      <c r="M272" t="s">
        <v>58</v>
      </c>
      <c r="N272" s="18"/>
    </row>
    <row r="273" spans="1:14" x14ac:dyDescent="0.25">
      <c r="A273" t="s">
        <v>1729</v>
      </c>
      <c r="B273" t="s">
        <v>71</v>
      </c>
      <c r="C273" t="s">
        <v>54</v>
      </c>
      <c r="D273" t="s">
        <v>27</v>
      </c>
      <c r="E273" t="s">
        <v>28</v>
      </c>
      <c r="F273">
        <v>58</v>
      </c>
      <c r="G273" t="s">
        <v>118</v>
      </c>
      <c r="H273" s="18">
        <v>34999</v>
      </c>
      <c r="I273">
        <v>70189</v>
      </c>
      <c r="J273">
        <v>0</v>
      </c>
      <c r="K273">
        <v>0</v>
      </c>
      <c r="L273" t="s">
        <v>29</v>
      </c>
      <c r="M273" t="s">
        <v>58</v>
      </c>
      <c r="N273" s="18"/>
    </row>
    <row r="274" spans="1:14" x14ac:dyDescent="0.25">
      <c r="A274" t="s">
        <v>1730</v>
      </c>
      <c r="B274" t="s">
        <v>56</v>
      </c>
      <c r="C274" t="s">
        <v>45</v>
      </c>
      <c r="D274" t="s">
        <v>27</v>
      </c>
      <c r="E274" t="s">
        <v>28</v>
      </c>
      <c r="F274">
        <v>42</v>
      </c>
      <c r="G274" t="s">
        <v>121</v>
      </c>
      <c r="H274" s="18">
        <v>41528</v>
      </c>
      <c r="I274">
        <v>181452</v>
      </c>
      <c r="J274">
        <v>0.3</v>
      </c>
      <c r="K274">
        <v>54435.6</v>
      </c>
      <c r="L274" t="s">
        <v>29</v>
      </c>
      <c r="M274" t="s">
        <v>58</v>
      </c>
      <c r="N274" s="18"/>
    </row>
    <row r="275" spans="1:14" x14ac:dyDescent="0.25">
      <c r="A275" t="s">
        <v>1731</v>
      </c>
      <c r="B275" t="s">
        <v>70</v>
      </c>
      <c r="C275" t="s">
        <v>52</v>
      </c>
      <c r="D275" t="s">
        <v>39</v>
      </c>
      <c r="E275" t="s">
        <v>33</v>
      </c>
      <c r="F275">
        <v>26</v>
      </c>
      <c r="G275" t="s">
        <v>120</v>
      </c>
      <c r="H275" s="18">
        <v>44267</v>
      </c>
      <c r="I275">
        <v>70369</v>
      </c>
      <c r="J275">
        <v>0</v>
      </c>
      <c r="K275">
        <v>0</v>
      </c>
      <c r="L275" t="s">
        <v>29</v>
      </c>
      <c r="M275" t="s">
        <v>30</v>
      </c>
      <c r="N275" s="18"/>
    </row>
    <row r="276" spans="1:14" x14ac:dyDescent="0.25">
      <c r="A276" t="s">
        <v>1732</v>
      </c>
      <c r="B276" t="s">
        <v>42</v>
      </c>
      <c r="C276" t="s">
        <v>50</v>
      </c>
      <c r="D276" t="s">
        <v>32</v>
      </c>
      <c r="E276" t="s">
        <v>33</v>
      </c>
      <c r="F276">
        <v>38</v>
      </c>
      <c r="G276" t="s">
        <v>121</v>
      </c>
      <c r="H276" s="18">
        <v>39634</v>
      </c>
      <c r="I276">
        <v>78056</v>
      </c>
      <c r="J276">
        <v>0</v>
      </c>
      <c r="K276">
        <v>0</v>
      </c>
      <c r="L276" t="s">
        <v>59</v>
      </c>
      <c r="M276" t="s">
        <v>76</v>
      </c>
      <c r="N276" s="18"/>
    </row>
    <row r="277" spans="1:14" x14ac:dyDescent="0.25">
      <c r="A277" t="s">
        <v>1733</v>
      </c>
      <c r="B277" t="s">
        <v>37</v>
      </c>
      <c r="C277" t="s">
        <v>38</v>
      </c>
      <c r="D277" t="s">
        <v>27</v>
      </c>
      <c r="E277" t="s">
        <v>33</v>
      </c>
      <c r="F277">
        <v>64</v>
      </c>
      <c r="G277" t="s">
        <v>118</v>
      </c>
      <c r="H277" s="18">
        <v>35187</v>
      </c>
      <c r="I277">
        <v>189933</v>
      </c>
      <c r="J277">
        <v>0.23</v>
      </c>
      <c r="K277">
        <v>43684.590000000004</v>
      </c>
      <c r="L277" t="s">
        <v>29</v>
      </c>
      <c r="M277" t="s">
        <v>49</v>
      </c>
      <c r="N277" s="18"/>
    </row>
    <row r="278" spans="1:14" x14ac:dyDescent="0.25">
      <c r="A278" t="s">
        <v>1734</v>
      </c>
      <c r="B278" t="s">
        <v>72</v>
      </c>
      <c r="C278" t="s">
        <v>54</v>
      </c>
      <c r="D278" t="s">
        <v>39</v>
      </c>
      <c r="E278" t="s">
        <v>33</v>
      </c>
      <c r="F278">
        <v>38</v>
      </c>
      <c r="G278" t="s">
        <v>121</v>
      </c>
      <c r="H278" s="18">
        <v>40360</v>
      </c>
      <c r="I278">
        <v>78237</v>
      </c>
      <c r="J278">
        <v>0</v>
      </c>
      <c r="K278">
        <v>0</v>
      </c>
      <c r="L278" t="s">
        <v>29</v>
      </c>
      <c r="M278" t="s">
        <v>43</v>
      </c>
      <c r="N278" s="18"/>
    </row>
    <row r="279" spans="1:14" x14ac:dyDescent="0.25">
      <c r="A279" t="s">
        <v>1735</v>
      </c>
      <c r="B279" t="s">
        <v>48</v>
      </c>
      <c r="C279" t="s">
        <v>50</v>
      </c>
      <c r="D279" t="s">
        <v>27</v>
      </c>
      <c r="E279" t="s">
        <v>28</v>
      </c>
      <c r="F279">
        <v>55</v>
      </c>
      <c r="G279" t="s">
        <v>118</v>
      </c>
      <c r="H279" s="18">
        <v>35242</v>
      </c>
      <c r="I279">
        <v>48687</v>
      </c>
      <c r="J279">
        <v>0</v>
      </c>
      <c r="K279">
        <v>0</v>
      </c>
      <c r="L279" t="s">
        <v>59</v>
      </c>
      <c r="M279" t="s">
        <v>61</v>
      </c>
      <c r="N279" s="18"/>
    </row>
    <row r="280" spans="1:14" x14ac:dyDescent="0.25">
      <c r="A280" t="s">
        <v>1736</v>
      </c>
      <c r="B280" t="s">
        <v>25</v>
      </c>
      <c r="C280" t="s">
        <v>57</v>
      </c>
      <c r="D280" t="s">
        <v>32</v>
      </c>
      <c r="E280" t="s">
        <v>28</v>
      </c>
      <c r="F280">
        <v>45</v>
      </c>
      <c r="G280" t="s">
        <v>119</v>
      </c>
      <c r="H280" s="18">
        <v>38218</v>
      </c>
      <c r="I280">
        <v>121065</v>
      </c>
      <c r="J280">
        <v>0.15</v>
      </c>
      <c r="K280">
        <v>18159.75</v>
      </c>
      <c r="L280" t="s">
        <v>59</v>
      </c>
      <c r="M280" t="s">
        <v>61</v>
      </c>
      <c r="N280" s="18"/>
    </row>
    <row r="281" spans="1:14" x14ac:dyDescent="0.25">
      <c r="A281" t="s">
        <v>1737</v>
      </c>
      <c r="B281" t="s">
        <v>42</v>
      </c>
      <c r="C281" t="s">
        <v>45</v>
      </c>
      <c r="D281" t="s">
        <v>46</v>
      </c>
      <c r="E281" t="s">
        <v>33</v>
      </c>
      <c r="F281">
        <v>43</v>
      </c>
      <c r="G281" t="s">
        <v>121</v>
      </c>
      <c r="H281" s="18">
        <v>38093</v>
      </c>
      <c r="I281">
        <v>94246</v>
      </c>
      <c r="J281">
        <v>0</v>
      </c>
      <c r="K281">
        <v>0</v>
      </c>
      <c r="L281" t="s">
        <v>29</v>
      </c>
      <c r="M281" t="s">
        <v>51</v>
      </c>
      <c r="N281" s="18"/>
    </row>
    <row r="282" spans="1:14" x14ac:dyDescent="0.25">
      <c r="A282" t="s">
        <v>1738</v>
      </c>
      <c r="B282" t="s">
        <v>83</v>
      </c>
      <c r="C282" t="s">
        <v>26</v>
      </c>
      <c r="D282" t="s">
        <v>32</v>
      </c>
      <c r="E282" t="s">
        <v>28</v>
      </c>
      <c r="F282">
        <v>34</v>
      </c>
      <c r="G282" t="s">
        <v>120</v>
      </c>
      <c r="H282" s="18">
        <v>42512</v>
      </c>
      <c r="I282">
        <v>44614</v>
      </c>
      <c r="J282">
        <v>0</v>
      </c>
      <c r="K282">
        <v>0</v>
      </c>
      <c r="L282" t="s">
        <v>29</v>
      </c>
      <c r="M282" t="s">
        <v>49</v>
      </c>
      <c r="N282" s="18"/>
    </row>
    <row r="283" spans="1:14" x14ac:dyDescent="0.25">
      <c r="A283" t="s">
        <v>1739</v>
      </c>
      <c r="B283" t="s">
        <v>56</v>
      </c>
      <c r="C283" t="s">
        <v>26</v>
      </c>
      <c r="D283" t="s">
        <v>27</v>
      </c>
      <c r="E283" t="s">
        <v>33</v>
      </c>
      <c r="F283">
        <v>40</v>
      </c>
      <c r="G283" t="s">
        <v>121</v>
      </c>
      <c r="H283" s="18">
        <v>44143</v>
      </c>
      <c r="I283">
        <v>234469</v>
      </c>
      <c r="J283">
        <v>0.31</v>
      </c>
      <c r="K283">
        <v>72685.39</v>
      </c>
      <c r="L283" t="s">
        <v>34</v>
      </c>
      <c r="M283" t="s">
        <v>68</v>
      </c>
      <c r="N283" s="18"/>
    </row>
    <row r="284" spans="1:14" x14ac:dyDescent="0.25">
      <c r="A284" t="s">
        <v>1740</v>
      </c>
      <c r="B284" t="s">
        <v>72</v>
      </c>
      <c r="C284" t="s">
        <v>54</v>
      </c>
      <c r="D284" t="s">
        <v>27</v>
      </c>
      <c r="E284" t="s">
        <v>33</v>
      </c>
      <c r="F284">
        <v>52</v>
      </c>
      <c r="G284" t="s">
        <v>119</v>
      </c>
      <c r="H284" s="18">
        <v>44022</v>
      </c>
      <c r="I284">
        <v>88272</v>
      </c>
      <c r="J284">
        <v>0</v>
      </c>
      <c r="K284">
        <v>0</v>
      </c>
      <c r="L284" t="s">
        <v>59</v>
      </c>
      <c r="M284" t="s">
        <v>76</v>
      </c>
      <c r="N284" s="18"/>
    </row>
    <row r="285" spans="1:14" x14ac:dyDescent="0.25">
      <c r="A285" t="s">
        <v>1741</v>
      </c>
      <c r="B285" t="s">
        <v>66</v>
      </c>
      <c r="C285" t="s">
        <v>38</v>
      </c>
      <c r="D285" t="s">
        <v>46</v>
      </c>
      <c r="E285" t="s">
        <v>33</v>
      </c>
      <c r="F285">
        <v>52</v>
      </c>
      <c r="G285" t="s">
        <v>119</v>
      </c>
      <c r="H285" s="18">
        <v>42992</v>
      </c>
      <c r="I285">
        <v>74449</v>
      </c>
      <c r="J285">
        <v>0</v>
      </c>
      <c r="K285">
        <v>0</v>
      </c>
      <c r="L285" t="s">
        <v>34</v>
      </c>
      <c r="M285" t="s">
        <v>64</v>
      </c>
      <c r="N285" s="18"/>
    </row>
    <row r="286" spans="1:14" x14ac:dyDescent="0.25">
      <c r="A286" t="s">
        <v>1742</v>
      </c>
      <c r="B286" t="s">
        <v>56</v>
      </c>
      <c r="C286" t="s">
        <v>54</v>
      </c>
      <c r="D286" t="s">
        <v>39</v>
      </c>
      <c r="E286" t="s">
        <v>33</v>
      </c>
      <c r="F286">
        <v>47</v>
      </c>
      <c r="G286" t="s">
        <v>119</v>
      </c>
      <c r="H286" s="18">
        <v>41071</v>
      </c>
      <c r="I286">
        <v>222941</v>
      </c>
      <c r="J286">
        <v>0.39</v>
      </c>
      <c r="K286">
        <v>86946.99</v>
      </c>
      <c r="L286" t="s">
        <v>34</v>
      </c>
      <c r="M286" t="s">
        <v>64</v>
      </c>
      <c r="N286" s="18"/>
    </row>
    <row r="287" spans="1:14" x14ac:dyDescent="0.25">
      <c r="A287" t="s">
        <v>1743</v>
      </c>
      <c r="B287" t="s">
        <v>48</v>
      </c>
      <c r="C287" t="s">
        <v>57</v>
      </c>
      <c r="D287" t="s">
        <v>32</v>
      </c>
      <c r="E287" t="s">
        <v>28</v>
      </c>
      <c r="F287">
        <v>65</v>
      </c>
      <c r="G287" t="s">
        <v>122</v>
      </c>
      <c r="H287" s="18">
        <v>41543</v>
      </c>
      <c r="I287">
        <v>50341</v>
      </c>
      <c r="J287">
        <v>0</v>
      </c>
      <c r="K287">
        <v>0</v>
      </c>
      <c r="L287" t="s">
        <v>34</v>
      </c>
      <c r="M287" t="s">
        <v>64</v>
      </c>
      <c r="N287" s="18"/>
    </row>
    <row r="288" spans="1:14" x14ac:dyDescent="0.25">
      <c r="A288" t="s">
        <v>1744</v>
      </c>
      <c r="B288" t="s">
        <v>70</v>
      </c>
      <c r="C288" t="s">
        <v>52</v>
      </c>
      <c r="D288" t="s">
        <v>46</v>
      </c>
      <c r="E288" t="s">
        <v>28</v>
      </c>
      <c r="F288">
        <v>31</v>
      </c>
      <c r="G288" t="s">
        <v>120</v>
      </c>
      <c r="H288" s="18">
        <v>44297</v>
      </c>
      <c r="I288">
        <v>72235</v>
      </c>
      <c r="J288">
        <v>0</v>
      </c>
      <c r="K288">
        <v>0</v>
      </c>
      <c r="L288" t="s">
        <v>59</v>
      </c>
      <c r="M288" t="s">
        <v>60</v>
      </c>
      <c r="N288" s="18"/>
    </row>
    <row r="289" spans="1:14" x14ac:dyDescent="0.25">
      <c r="A289" t="s">
        <v>1745</v>
      </c>
      <c r="B289" t="s">
        <v>42</v>
      </c>
      <c r="C289" t="s">
        <v>50</v>
      </c>
      <c r="D289" t="s">
        <v>46</v>
      </c>
      <c r="E289" t="s">
        <v>28</v>
      </c>
      <c r="F289">
        <v>41</v>
      </c>
      <c r="G289" t="s">
        <v>121</v>
      </c>
      <c r="H289" s="18">
        <v>42533</v>
      </c>
      <c r="I289">
        <v>70165</v>
      </c>
      <c r="J289">
        <v>0</v>
      </c>
      <c r="K289">
        <v>0</v>
      </c>
      <c r="L289" t="s">
        <v>29</v>
      </c>
      <c r="M289" t="s">
        <v>58</v>
      </c>
      <c r="N289" s="18"/>
    </row>
    <row r="290" spans="1:14" x14ac:dyDescent="0.25">
      <c r="A290" t="s">
        <v>1746</v>
      </c>
      <c r="B290" t="s">
        <v>25</v>
      </c>
      <c r="C290" t="s">
        <v>57</v>
      </c>
      <c r="D290" t="s">
        <v>39</v>
      </c>
      <c r="E290" t="s">
        <v>33</v>
      </c>
      <c r="F290">
        <v>30</v>
      </c>
      <c r="G290" t="s">
        <v>120</v>
      </c>
      <c r="H290" s="18">
        <v>44030</v>
      </c>
      <c r="I290">
        <v>148485</v>
      </c>
      <c r="J290">
        <v>0.15</v>
      </c>
      <c r="K290">
        <v>22272.75</v>
      </c>
      <c r="L290" t="s">
        <v>29</v>
      </c>
      <c r="M290" t="s">
        <v>49</v>
      </c>
      <c r="N290" s="18"/>
    </row>
    <row r="291" spans="1:14" x14ac:dyDescent="0.25">
      <c r="A291" t="s">
        <v>1747</v>
      </c>
      <c r="B291" t="s">
        <v>31</v>
      </c>
      <c r="C291" t="s">
        <v>26</v>
      </c>
      <c r="D291" t="s">
        <v>32</v>
      </c>
      <c r="E291" t="s">
        <v>28</v>
      </c>
      <c r="F291">
        <v>58</v>
      </c>
      <c r="G291" t="s">
        <v>118</v>
      </c>
      <c r="H291" s="18">
        <v>38521</v>
      </c>
      <c r="I291">
        <v>86089</v>
      </c>
      <c r="J291">
        <v>0</v>
      </c>
      <c r="K291">
        <v>0</v>
      </c>
      <c r="L291" t="s">
        <v>29</v>
      </c>
      <c r="M291" t="s">
        <v>40</v>
      </c>
      <c r="N291" s="18"/>
    </row>
    <row r="292" spans="1:14" x14ac:dyDescent="0.25">
      <c r="A292" t="s">
        <v>1748</v>
      </c>
      <c r="B292" t="s">
        <v>63</v>
      </c>
      <c r="C292" t="s">
        <v>54</v>
      </c>
      <c r="D292" t="s">
        <v>27</v>
      </c>
      <c r="E292" t="s">
        <v>33</v>
      </c>
      <c r="F292">
        <v>54</v>
      </c>
      <c r="G292" t="s">
        <v>119</v>
      </c>
      <c r="H292" s="18">
        <v>39382</v>
      </c>
      <c r="I292">
        <v>106313</v>
      </c>
      <c r="J292">
        <v>0.15</v>
      </c>
      <c r="K292">
        <v>15946.949999999999</v>
      </c>
      <c r="L292" t="s">
        <v>29</v>
      </c>
      <c r="M292" t="s">
        <v>40</v>
      </c>
      <c r="N292" s="18"/>
    </row>
    <row r="293" spans="1:14" x14ac:dyDescent="0.25">
      <c r="A293" t="s">
        <v>1749</v>
      </c>
      <c r="B293" t="s">
        <v>48</v>
      </c>
      <c r="C293" t="s">
        <v>57</v>
      </c>
      <c r="D293" t="s">
        <v>27</v>
      </c>
      <c r="E293" t="s">
        <v>28</v>
      </c>
      <c r="F293">
        <v>40</v>
      </c>
      <c r="G293" t="s">
        <v>121</v>
      </c>
      <c r="H293" s="18">
        <v>44251</v>
      </c>
      <c r="I293">
        <v>46833</v>
      </c>
      <c r="J293">
        <v>0</v>
      </c>
      <c r="K293">
        <v>0</v>
      </c>
      <c r="L293" t="s">
        <v>34</v>
      </c>
      <c r="M293" t="s">
        <v>68</v>
      </c>
      <c r="N293" s="18">
        <v>44510</v>
      </c>
    </row>
    <row r="294" spans="1:14" x14ac:dyDescent="0.25">
      <c r="A294" t="s">
        <v>1750</v>
      </c>
      <c r="B294" t="s">
        <v>37</v>
      </c>
      <c r="C294" t="s">
        <v>38</v>
      </c>
      <c r="D294" t="s">
        <v>27</v>
      </c>
      <c r="E294" t="s">
        <v>28</v>
      </c>
      <c r="F294">
        <v>63</v>
      </c>
      <c r="G294" t="s">
        <v>118</v>
      </c>
      <c r="H294" s="18">
        <v>36826</v>
      </c>
      <c r="I294">
        <v>155320</v>
      </c>
      <c r="J294">
        <v>0.17</v>
      </c>
      <c r="K294">
        <v>26404.400000000001</v>
      </c>
      <c r="L294" t="s">
        <v>34</v>
      </c>
      <c r="M294" t="s">
        <v>35</v>
      </c>
      <c r="N294" s="18"/>
    </row>
    <row r="295" spans="1:14" x14ac:dyDescent="0.25">
      <c r="A295" t="s">
        <v>1751</v>
      </c>
      <c r="B295" t="s">
        <v>42</v>
      </c>
      <c r="C295" t="s">
        <v>50</v>
      </c>
      <c r="D295" t="s">
        <v>32</v>
      </c>
      <c r="E295" t="s">
        <v>33</v>
      </c>
      <c r="F295">
        <v>40</v>
      </c>
      <c r="G295" t="s">
        <v>121</v>
      </c>
      <c r="H295" s="18">
        <v>42384</v>
      </c>
      <c r="I295">
        <v>89984</v>
      </c>
      <c r="J295">
        <v>0</v>
      </c>
      <c r="K295">
        <v>0</v>
      </c>
      <c r="L295" t="s">
        <v>34</v>
      </c>
      <c r="M295" t="s">
        <v>68</v>
      </c>
      <c r="N295" s="18"/>
    </row>
    <row r="296" spans="1:14" x14ac:dyDescent="0.25">
      <c r="A296" t="s">
        <v>1752</v>
      </c>
      <c r="B296" t="s">
        <v>63</v>
      </c>
      <c r="C296" t="s">
        <v>54</v>
      </c>
      <c r="D296" t="s">
        <v>39</v>
      </c>
      <c r="E296" t="s">
        <v>28</v>
      </c>
      <c r="F296">
        <v>65</v>
      </c>
      <c r="G296" t="s">
        <v>122</v>
      </c>
      <c r="H296" s="18">
        <v>38792</v>
      </c>
      <c r="I296">
        <v>83756</v>
      </c>
      <c r="J296">
        <v>0.14000000000000001</v>
      </c>
      <c r="K296">
        <v>11725.840000000002</v>
      </c>
      <c r="L296" t="s">
        <v>34</v>
      </c>
      <c r="M296" t="s">
        <v>55</v>
      </c>
      <c r="N296" s="18"/>
    </row>
    <row r="297" spans="1:14" x14ac:dyDescent="0.25">
      <c r="A297" t="s">
        <v>1753</v>
      </c>
      <c r="B297" t="s">
        <v>37</v>
      </c>
      <c r="C297" t="s">
        <v>52</v>
      </c>
      <c r="D297" t="s">
        <v>46</v>
      </c>
      <c r="E297" t="s">
        <v>28</v>
      </c>
      <c r="F297">
        <v>57</v>
      </c>
      <c r="G297" t="s">
        <v>118</v>
      </c>
      <c r="H297" s="18">
        <v>42667</v>
      </c>
      <c r="I297">
        <v>176324</v>
      </c>
      <c r="J297">
        <v>0.23</v>
      </c>
      <c r="K297">
        <v>40554.520000000004</v>
      </c>
      <c r="L297" t="s">
        <v>34</v>
      </c>
      <c r="M297" t="s">
        <v>55</v>
      </c>
      <c r="N297" s="18"/>
    </row>
    <row r="298" spans="1:14" x14ac:dyDescent="0.25">
      <c r="A298" t="s">
        <v>1754</v>
      </c>
      <c r="B298" t="s">
        <v>42</v>
      </c>
      <c r="C298" t="s">
        <v>50</v>
      </c>
      <c r="D298" t="s">
        <v>39</v>
      </c>
      <c r="E298" t="s">
        <v>33</v>
      </c>
      <c r="F298">
        <v>27</v>
      </c>
      <c r="G298" t="s">
        <v>120</v>
      </c>
      <c r="H298" s="18">
        <v>44482</v>
      </c>
      <c r="I298">
        <v>74077</v>
      </c>
      <c r="J298">
        <v>0</v>
      </c>
      <c r="K298">
        <v>0</v>
      </c>
      <c r="L298" t="s">
        <v>29</v>
      </c>
      <c r="M298" t="s">
        <v>30</v>
      </c>
      <c r="N298" s="18"/>
    </row>
    <row r="299" spans="1:14" x14ac:dyDescent="0.25">
      <c r="A299" t="s">
        <v>1755</v>
      </c>
      <c r="B299" t="s">
        <v>47</v>
      </c>
      <c r="C299" t="s">
        <v>52</v>
      </c>
      <c r="D299" t="s">
        <v>32</v>
      </c>
      <c r="E299" t="s">
        <v>28</v>
      </c>
      <c r="F299">
        <v>31</v>
      </c>
      <c r="G299" t="s">
        <v>120</v>
      </c>
      <c r="H299" s="18">
        <v>44214</v>
      </c>
      <c r="I299">
        <v>104162</v>
      </c>
      <c r="J299">
        <v>7.0000000000000007E-2</v>
      </c>
      <c r="K299">
        <v>7291.3400000000011</v>
      </c>
      <c r="L299" t="s">
        <v>29</v>
      </c>
      <c r="M299" t="s">
        <v>51</v>
      </c>
      <c r="N299" s="18"/>
    </row>
    <row r="300" spans="1:14" x14ac:dyDescent="0.25">
      <c r="A300" t="s">
        <v>1756</v>
      </c>
      <c r="B300" t="s">
        <v>85</v>
      </c>
      <c r="C300" t="s">
        <v>26</v>
      </c>
      <c r="D300" t="s">
        <v>46</v>
      </c>
      <c r="E300" t="s">
        <v>28</v>
      </c>
      <c r="F300">
        <v>45</v>
      </c>
      <c r="G300" t="s">
        <v>119</v>
      </c>
      <c r="H300" s="18">
        <v>40418</v>
      </c>
      <c r="I300">
        <v>82162</v>
      </c>
      <c r="J300">
        <v>0</v>
      </c>
      <c r="K300">
        <v>0</v>
      </c>
      <c r="L300" t="s">
        <v>34</v>
      </c>
      <c r="M300" t="s">
        <v>64</v>
      </c>
      <c r="N300" s="18">
        <v>44107</v>
      </c>
    </row>
    <row r="301" spans="1:14" x14ac:dyDescent="0.25">
      <c r="A301" t="s">
        <v>1757</v>
      </c>
      <c r="B301" t="s">
        <v>44</v>
      </c>
      <c r="C301" t="s">
        <v>45</v>
      </c>
      <c r="D301" t="s">
        <v>39</v>
      </c>
      <c r="E301" t="s">
        <v>28</v>
      </c>
      <c r="F301">
        <v>47</v>
      </c>
      <c r="G301" t="s">
        <v>119</v>
      </c>
      <c r="H301" s="18">
        <v>42195</v>
      </c>
      <c r="I301">
        <v>63880</v>
      </c>
      <c r="J301">
        <v>0</v>
      </c>
      <c r="K301">
        <v>0</v>
      </c>
      <c r="L301" t="s">
        <v>34</v>
      </c>
      <c r="M301" t="s">
        <v>35</v>
      </c>
      <c r="N301" s="18"/>
    </row>
    <row r="302" spans="1:14" x14ac:dyDescent="0.25">
      <c r="A302" t="s">
        <v>1758</v>
      </c>
      <c r="B302" t="s">
        <v>77</v>
      </c>
      <c r="C302" t="s">
        <v>54</v>
      </c>
      <c r="D302" t="s">
        <v>27</v>
      </c>
      <c r="E302" t="s">
        <v>28</v>
      </c>
      <c r="F302">
        <v>55</v>
      </c>
      <c r="G302" t="s">
        <v>118</v>
      </c>
      <c r="H302" s="18">
        <v>41525</v>
      </c>
      <c r="I302">
        <v>73248</v>
      </c>
      <c r="J302">
        <v>0</v>
      </c>
      <c r="K302">
        <v>0</v>
      </c>
      <c r="L302" t="s">
        <v>29</v>
      </c>
      <c r="M302" t="s">
        <v>58</v>
      </c>
      <c r="N302" s="18"/>
    </row>
    <row r="303" spans="1:14" x14ac:dyDescent="0.25">
      <c r="A303" t="s">
        <v>1759</v>
      </c>
      <c r="B303" t="s">
        <v>42</v>
      </c>
      <c r="C303" t="s">
        <v>50</v>
      </c>
      <c r="D303" t="s">
        <v>32</v>
      </c>
      <c r="E303" t="s">
        <v>33</v>
      </c>
      <c r="F303">
        <v>51</v>
      </c>
      <c r="G303" t="s">
        <v>119</v>
      </c>
      <c r="H303" s="18">
        <v>44113</v>
      </c>
      <c r="I303">
        <v>91853</v>
      </c>
      <c r="J303">
        <v>0</v>
      </c>
      <c r="K303">
        <v>0</v>
      </c>
      <c r="L303" t="s">
        <v>29</v>
      </c>
      <c r="M303" t="s">
        <v>40</v>
      </c>
      <c r="N303" s="18"/>
    </row>
    <row r="304" spans="1:14" x14ac:dyDescent="0.25">
      <c r="A304" t="s">
        <v>1760</v>
      </c>
      <c r="B304" t="s">
        <v>37</v>
      </c>
      <c r="C304" t="s">
        <v>38</v>
      </c>
      <c r="D304" t="s">
        <v>39</v>
      </c>
      <c r="E304" t="s">
        <v>33</v>
      </c>
      <c r="F304">
        <v>25</v>
      </c>
      <c r="G304" t="s">
        <v>120</v>
      </c>
      <c r="H304" s="18">
        <v>43844</v>
      </c>
      <c r="I304">
        <v>168014</v>
      </c>
      <c r="J304">
        <v>0.27</v>
      </c>
      <c r="K304">
        <v>45363.780000000006</v>
      </c>
      <c r="L304" t="s">
        <v>29</v>
      </c>
      <c r="M304" t="s">
        <v>40</v>
      </c>
      <c r="N304" s="18">
        <v>44404</v>
      </c>
    </row>
    <row r="305" spans="1:14" x14ac:dyDescent="0.25">
      <c r="A305" t="s">
        <v>1761</v>
      </c>
      <c r="B305" t="s">
        <v>80</v>
      </c>
      <c r="C305" t="s">
        <v>54</v>
      </c>
      <c r="D305" t="s">
        <v>46</v>
      </c>
      <c r="E305" t="s">
        <v>28</v>
      </c>
      <c r="F305">
        <v>37</v>
      </c>
      <c r="G305" t="s">
        <v>121</v>
      </c>
      <c r="H305" s="18">
        <v>42995</v>
      </c>
      <c r="I305">
        <v>70770</v>
      </c>
      <c r="J305">
        <v>0</v>
      </c>
      <c r="K305">
        <v>0</v>
      </c>
      <c r="L305" t="s">
        <v>29</v>
      </c>
      <c r="M305" t="s">
        <v>49</v>
      </c>
      <c r="N305" s="18"/>
    </row>
    <row r="306" spans="1:14" x14ac:dyDescent="0.25">
      <c r="A306" t="s">
        <v>1762</v>
      </c>
      <c r="B306" t="s">
        <v>70</v>
      </c>
      <c r="C306" t="s">
        <v>52</v>
      </c>
      <c r="D306" t="s">
        <v>46</v>
      </c>
      <c r="E306" t="s">
        <v>33</v>
      </c>
      <c r="F306">
        <v>62</v>
      </c>
      <c r="G306" t="s">
        <v>118</v>
      </c>
      <c r="H306" s="18">
        <v>38271</v>
      </c>
      <c r="I306">
        <v>50825</v>
      </c>
      <c r="J306">
        <v>0</v>
      </c>
      <c r="K306">
        <v>0</v>
      </c>
      <c r="L306" t="s">
        <v>29</v>
      </c>
      <c r="M306" t="s">
        <v>30</v>
      </c>
      <c r="N306" s="18"/>
    </row>
    <row r="307" spans="1:14" x14ac:dyDescent="0.25">
      <c r="A307" t="s">
        <v>1763</v>
      </c>
      <c r="B307" t="s">
        <v>25</v>
      </c>
      <c r="C307" t="s">
        <v>38</v>
      </c>
      <c r="D307" t="s">
        <v>27</v>
      </c>
      <c r="E307" t="s">
        <v>33</v>
      </c>
      <c r="F307">
        <v>31</v>
      </c>
      <c r="G307" t="s">
        <v>120</v>
      </c>
      <c r="H307" s="18">
        <v>42266</v>
      </c>
      <c r="I307">
        <v>145846</v>
      </c>
      <c r="J307">
        <v>0.15</v>
      </c>
      <c r="K307">
        <v>21876.899999999998</v>
      </c>
      <c r="L307" t="s">
        <v>59</v>
      </c>
      <c r="M307" t="s">
        <v>60</v>
      </c>
      <c r="N307" s="18"/>
    </row>
    <row r="308" spans="1:14" x14ac:dyDescent="0.25">
      <c r="A308" t="s">
        <v>1764</v>
      </c>
      <c r="B308" t="s">
        <v>25</v>
      </c>
      <c r="C308" t="s">
        <v>52</v>
      </c>
      <c r="D308" t="s">
        <v>27</v>
      </c>
      <c r="E308" t="s">
        <v>28</v>
      </c>
      <c r="F308">
        <v>64</v>
      </c>
      <c r="G308" t="s">
        <v>118</v>
      </c>
      <c r="H308" s="18">
        <v>37962</v>
      </c>
      <c r="I308">
        <v>125807</v>
      </c>
      <c r="J308">
        <v>0.15</v>
      </c>
      <c r="K308">
        <v>18871.05</v>
      </c>
      <c r="L308" t="s">
        <v>29</v>
      </c>
      <c r="M308" t="s">
        <v>40</v>
      </c>
      <c r="N308" s="18"/>
    </row>
    <row r="309" spans="1:14" x14ac:dyDescent="0.25">
      <c r="A309" t="s">
        <v>1765</v>
      </c>
      <c r="B309" t="s">
        <v>48</v>
      </c>
      <c r="C309" t="s">
        <v>45</v>
      </c>
      <c r="D309" t="s">
        <v>39</v>
      </c>
      <c r="E309" t="s">
        <v>33</v>
      </c>
      <c r="F309">
        <v>25</v>
      </c>
      <c r="G309" t="s">
        <v>120</v>
      </c>
      <c r="H309" s="18">
        <v>44405</v>
      </c>
      <c r="I309">
        <v>46845</v>
      </c>
      <c r="J309">
        <v>0</v>
      </c>
      <c r="K309">
        <v>0</v>
      </c>
      <c r="L309" t="s">
        <v>29</v>
      </c>
      <c r="M309" t="s">
        <v>49</v>
      </c>
      <c r="N309" s="18"/>
    </row>
    <row r="310" spans="1:14" x14ac:dyDescent="0.25">
      <c r="A310" t="s">
        <v>1766</v>
      </c>
      <c r="B310" t="s">
        <v>25</v>
      </c>
      <c r="C310" t="s">
        <v>57</v>
      </c>
      <c r="D310" t="s">
        <v>46</v>
      </c>
      <c r="E310" t="s">
        <v>28</v>
      </c>
      <c r="F310">
        <v>59</v>
      </c>
      <c r="G310" t="s">
        <v>118</v>
      </c>
      <c r="H310" s="18">
        <v>39689</v>
      </c>
      <c r="I310">
        <v>157969</v>
      </c>
      <c r="J310">
        <v>0.1</v>
      </c>
      <c r="K310">
        <v>15796.900000000001</v>
      </c>
      <c r="L310" t="s">
        <v>34</v>
      </c>
      <c r="M310" t="s">
        <v>35</v>
      </c>
      <c r="N310" s="18"/>
    </row>
    <row r="311" spans="1:14" x14ac:dyDescent="0.25">
      <c r="A311" t="s">
        <v>1767</v>
      </c>
      <c r="B311" t="s">
        <v>84</v>
      </c>
      <c r="C311" t="s">
        <v>26</v>
      </c>
      <c r="D311" t="s">
        <v>46</v>
      </c>
      <c r="E311" t="s">
        <v>28</v>
      </c>
      <c r="F311">
        <v>40</v>
      </c>
      <c r="G311" t="s">
        <v>121</v>
      </c>
      <c r="H311" s="18">
        <v>40522</v>
      </c>
      <c r="I311">
        <v>97807</v>
      </c>
      <c r="J311">
        <v>0</v>
      </c>
      <c r="K311">
        <v>0</v>
      </c>
      <c r="L311" t="s">
        <v>29</v>
      </c>
      <c r="M311" t="s">
        <v>40</v>
      </c>
      <c r="N311" s="18"/>
    </row>
    <row r="312" spans="1:14" x14ac:dyDescent="0.25">
      <c r="A312" t="s">
        <v>1768</v>
      </c>
      <c r="B312" t="s">
        <v>70</v>
      </c>
      <c r="C312" t="s">
        <v>52</v>
      </c>
      <c r="D312" t="s">
        <v>32</v>
      </c>
      <c r="E312" t="s">
        <v>33</v>
      </c>
      <c r="F312">
        <v>31</v>
      </c>
      <c r="G312" t="s">
        <v>120</v>
      </c>
      <c r="H312" s="18">
        <v>42347</v>
      </c>
      <c r="I312">
        <v>73854</v>
      </c>
      <c r="J312">
        <v>0</v>
      </c>
      <c r="K312">
        <v>0</v>
      </c>
      <c r="L312" t="s">
        <v>29</v>
      </c>
      <c r="M312" t="s">
        <v>30</v>
      </c>
      <c r="N312" s="18"/>
    </row>
    <row r="313" spans="1:14" x14ac:dyDescent="0.25">
      <c r="A313" t="s">
        <v>1769</v>
      </c>
      <c r="B313" t="s">
        <v>25</v>
      </c>
      <c r="C313" t="s">
        <v>50</v>
      </c>
      <c r="D313" t="s">
        <v>32</v>
      </c>
      <c r="E313" t="s">
        <v>33</v>
      </c>
      <c r="F313">
        <v>45</v>
      </c>
      <c r="G313" t="s">
        <v>119</v>
      </c>
      <c r="H313" s="18">
        <v>39063</v>
      </c>
      <c r="I313">
        <v>149537</v>
      </c>
      <c r="J313">
        <v>0.14000000000000001</v>
      </c>
      <c r="K313">
        <v>20935.18</v>
      </c>
      <c r="L313" t="s">
        <v>29</v>
      </c>
      <c r="M313" t="s">
        <v>30</v>
      </c>
      <c r="N313" s="18"/>
    </row>
    <row r="314" spans="1:14" x14ac:dyDescent="0.25">
      <c r="A314" t="s">
        <v>1770</v>
      </c>
      <c r="B314" t="s">
        <v>25</v>
      </c>
      <c r="C314" t="s">
        <v>45</v>
      </c>
      <c r="D314" t="s">
        <v>32</v>
      </c>
      <c r="E314" t="s">
        <v>28</v>
      </c>
      <c r="F314">
        <v>49</v>
      </c>
      <c r="G314" t="s">
        <v>119</v>
      </c>
      <c r="H314" s="18">
        <v>41379</v>
      </c>
      <c r="I314">
        <v>128303</v>
      </c>
      <c r="J314">
        <v>0.15</v>
      </c>
      <c r="K314">
        <v>19245.45</v>
      </c>
      <c r="L314" t="s">
        <v>29</v>
      </c>
      <c r="M314" t="s">
        <v>43</v>
      </c>
      <c r="N314" s="18"/>
    </row>
    <row r="315" spans="1:14" x14ac:dyDescent="0.25">
      <c r="A315" t="s">
        <v>1771</v>
      </c>
      <c r="B315" t="s">
        <v>78</v>
      </c>
      <c r="C315" t="s">
        <v>26</v>
      </c>
      <c r="D315" t="s">
        <v>39</v>
      </c>
      <c r="E315" t="s">
        <v>33</v>
      </c>
      <c r="F315">
        <v>46</v>
      </c>
      <c r="G315" t="s">
        <v>119</v>
      </c>
      <c r="H315" s="18">
        <v>38513</v>
      </c>
      <c r="I315">
        <v>67374</v>
      </c>
      <c r="J315">
        <v>0</v>
      </c>
      <c r="K315">
        <v>0</v>
      </c>
      <c r="L315" t="s">
        <v>29</v>
      </c>
      <c r="M315" t="s">
        <v>51</v>
      </c>
      <c r="N315" s="18"/>
    </row>
    <row r="316" spans="1:14" x14ac:dyDescent="0.25">
      <c r="A316" t="s">
        <v>1772</v>
      </c>
      <c r="B316" t="s">
        <v>47</v>
      </c>
      <c r="C316" t="s">
        <v>52</v>
      </c>
      <c r="D316" t="s">
        <v>46</v>
      </c>
      <c r="E316" t="s">
        <v>33</v>
      </c>
      <c r="F316">
        <v>46</v>
      </c>
      <c r="G316" t="s">
        <v>119</v>
      </c>
      <c r="H316" s="18">
        <v>40810</v>
      </c>
      <c r="I316">
        <v>102167</v>
      </c>
      <c r="J316">
        <v>0.06</v>
      </c>
      <c r="K316">
        <v>6130.0199999999995</v>
      </c>
      <c r="L316" t="s">
        <v>59</v>
      </c>
      <c r="M316" t="s">
        <v>61</v>
      </c>
      <c r="N316" s="18"/>
    </row>
    <row r="317" spans="1:14" x14ac:dyDescent="0.25">
      <c r="A317" t="s">
        <v>1773</v>
      </c>
      <c r="B317" t="s">
        <v>25</v>
      </c>
      <c r="C317" t="s">
        <v>45</v>
      </c>
      <c r="D317" t="s">
        <v>32</v>
      </c>
      <c r="E317" t="s">
        <v>33</v>
      </c>
      <c r="F317">
        <v>45</v>
      </c>
      <c r="G317" t="s">
        <v>119</v>
      </c>
      <c r="H317" s="18">
        <v>39332</v>
      </c>
      <c r="I317">
        <v>151027</v>
      </c>
      <c r="J317">
        <v>0.1</v>
      </c>
      <c r="K317">
        <v>15102.7</v>
      </c>
      <c r="L317" t="s">
        <v>34</v>
      </c>
      <c r="M317" t="s">
        <v>55</v>
      </c>
      <c r="N317" s="18"/>
    </row>
    <row r="318" spans="1:14" x14ac:dyDescent="0.25">
      <c r="A318" t="s">
        <v>1774</v>
      </c>
      <c r="B318" t="s">
        <v>47</v>
      </c>
      <c r="C318" t="s">
        <v>50</v>
      </c>
      <c r="D318" t="s">
        <v>39</v>
      </c>
      <c r="E318" t="s">
        <v>33</v>
      </c>
      <c r="F318">
        <v>40</v>
      </c>
      <c r="G318" t="s">
        <v>121</v>
      </c>
      <c r="H318" s="18">
        <v>43147</v>
      </c>
      <c r="I318">
        <v>120905</v>
      </c>
      <c r="J318">
        <v>0.05</v>
      </c>
      <c r="K318">
        <v>6045.25</v>
      </c>
      <c r="L318" t="s">
        <v>29</v>
      </c>
      <c r="M318" t="s">
        <v>30</v>
      </c>
      <c r="N318" s="18"/>
    </row>
    <row r="319" spans="1:14" x14ac:dyDescent="0.25">
      <c r="A319" t="s">
        <v>1775</v>
      </c>
      <c r="B319" t="s">
        <v>56</v>
      </c>
      <c r="C319" t="s">
        <v>38</v>
      </c>
      <c r="D319" t="s">
        <v>32</v>
      </c>
      <c r="E319" t="s">
        <v>28</v>
      </c>
      <c r="F319">
        <v>48</v>
      </c>
      <c r="G319" t="s">
        <v>119</v>
      </c>
      <c r="H319" s="18">
        <v>43253</v>
      </c>
      <c r="I319">
        <v>231567</v>
      </c>
      <c r="J319">
        <v>0.36</v>
      </c>
      <c r="K319">
        <v>83364.12</v>
      </c>
      <c r="L319" t="s">
        <v>29</v>
      </c>
      <c r="M319" t="s">
        <v>30</v>
      </c>
      <c r="N319" s="18"/>
    </row>
    <row r="320" spans="1:14" x14ac:dyDescent="0.25">
      <c r="A320" t="s">
        <v>1776</v>
      </c>
      <c r="B320" t="s">
        <v>56</v>
      </c>
      <c r="C320" t="s">
        <v>26</v>
      </c>
      <c r="D320" t="s">
        <v>27</v>
      </c>
      <c r="E320" t="s">
        <v>33</v>
      </c>
      <c r="F320">
        <v>31</v>
      </c>
      <c r="G320" t="s">
        <v>120</v>
      </c>
      <c r="H320" s="18">
        <v>42197</v>
      </c>
      <c r="I320">
        <v>215388</v>
      </c>
      <c r="J320">
        <v>0.33</v>
      </c>
      <c r="K320">
        <v>71078.040000000008</v>
      </c>
      <c r="L320" t="s">
        <v>29</v>
      </c>
      <c r="M320" t="s">
        <v>49</v>
      </c>
      <c r="N320" s="18"/>
    </row>
    <row r="321" spans="1:14" x14ac:dyDescent="0.25">
      <c r="A321" t="s">
        <v>1777</v>
      </c>
      <c r="B321" t="s">
        <v>25</v>
      </c>
      <c r="C321" t="s">
        <v>45</v>
      </c>
      <c r="D321" t="s">
        <v>39</v>
      </c>
      <c r="E321" t="s">
        <v>28</v>
      </c>
      <c r="F321">
        <v>30</v>
      </c>
      <c r="G321" t="s">
        <v>120</v>
      </c>
      <c r="H321" s="18">
        <v>42168</v>
      </c>
      <c r="I321">
        <v>127972</v>
      </c>
      <c r="J321">
        <v>0.11</v>
      </c>
      <c r="K321">
        <v>14076.92</v>
      </c>
      <c r="L321" t="s">
        <v>29</v>
      </c>
      <c r="M321" t="s">
        <v>30</v>
      </c>
      <c r="N321" s="18"/>
    </row>
    <row r="322" spans="1:14" x14ac:dyDescent="0.25">
      <c r="A322" t="s">
        <v>1778</v>
      </c>
      <c r="B322" t="s">
        <v>73</v>
      </c>
      <c r="C322" t="s">
        <v>54</v>
      </c>
      <c r="D322" t="s">
        <v>46</v>
      </c>
      <c r="E322" t="s">
        <v>28</v>
      </c>
      <c r="F322">
        <v>55</v>
      </c>
      <c r="G322" t="s">
        <v>118</v>
      </c>
      <c r="H322" s="18">
        <v>34915</v>
      </c>
      <c r="I322">
        <v>80701</v>
      </c>
      <c r="J322">
        <v>0</v>
      </c>
      <c r="K322">
        <v>0</v>
      </c>
      <c r="L322" t="s">
        <v>29</v>
      </c>
      <c r="M322" t="s">
        <v>40</v>
      </c>
      <c r="N322" s="18">
        <v>38456</v>
      </c>
    </row>
    <row r="323" spans="1:14" x14ac:dyDescent="0.25">
      <c r="A323" t="s">
        <v>1779</v>
      </c>
      <c r="B323" t="s">
        <v>47</v>
      </c>
      <c r="C323" t="s">
        <v>57</v>
      </c>
      <c r="D323" t="s">
        <v>46</v>
      </c>
      <c r="E323" t="s">
        <v>33</v>
      </c>
      <c r="F323">
        <v>28</v>
      </c>
      <c r="G323" t="s">
        <v>120</v>
      </c>
      <c r="H323" s="18">
        <v>43863</v>
      </c>
      <c r="I323">
        <v>115417</v>
      </c>
      <c r="J323">
        <v>0.06</v>
      </c>
      <c r="K323">
        <v>6925.0199999999995</v>
      </c>
      <c r="L323" t="s">
        <v>34</v>
      </c>
      <c r="M323" t="s">
        <v>55</v>
      </c>
      <c r="N323" s="18"/>
    </row>
    <row r="324" spans="1:14" x14ac:dyDescent="0.25">
      <c r="A324" t="s">
        <v>1780</v>
      </c>
      <c r="B324" t="s">
        <v>62</v>
      </c>
      <c r="C324" t="s">
        <v>54</v>
      </c>
      <c r="D324" t="s">
        <v>46</v>
      </c>
      <c r="E324" t="s">
        <v>28</v>
      </c>
      <c r="F324">
        <v>45</v>
      </c>
      <c r="G324" t="s">
        <v>119</v>
      </c>
      <c r="H324" s="18">
        <v>43635</v>
      </c>
      <c r="I324">
        <v>88045</v>
      </c>
      <c r="J324">
        <v>0</v>
      </c>
      <c r="K324">
        <v>0</v>
      </c>
      <c r="L324" t="s">
        <v>29</v>
      </c>
      <c r="M324" t="s">
        <v>40</v>
      </c>
      <c r="N324" s="18"/>
    </row>
    <row r="325" spans="1:14" x14ac:dyDescent="0.25">
      <c r="A325" t="s">
        <v>1781</v>
      </c>
      <c r="B325" t="s">
        <v>41</v>
      </c>
      <c r="C325" t="s">
        <v>26</v>
      </c>
      <c r="D325" t="s">
        <v>39</v>
      </c>
      <c r="E325" t="s">
        <v>28</v>
      </c>
      <c r="F325">
        <v>45</v>
      </c>
      <c r="G325" t="s">
        <v>119</v>
      </c>
      <c r="H325" s="18">
        <v>43185</v>
      </c>
      <c r="I325">
        <v>86478</v>
      </c>
      <c r="J325">
        <v>0.06</v>
      </c>
      <c r="K325">
        <v>5188.6799999999994</v>
      </c>
      <c r="L325" t="s">
        <v>29</v>
      </c>
      <c r="M325" t="s">
        <v>51</v>
      </c>
      <c r="N325" s="18"/>
    </row>
    <row r="326" spans="1:14" x14ac:dyDescent="0.25">
      <c r="A326" t="s">
        <v>1782</v>
      </c>
      <c r="B326" t="s">
        <v>56</v>
      </c>
      <c r="C326" t="s">
        <v>54</v>
      </c>
      <c r="D326" t="s">
        <v>32</v>
      </c>
      <c r="E326" t="s">
        <v>33</v>
      </c>
      <c r="F326">
        <v>63</v>
      </c>
      <c r="G326" t="s">
        <v>118</v>
      </c>
      <c r="H326" s="18">
        <v>42387</v>
      </c>
      <c r="I326">
        <v>180994</v>
      </c>
      <c r="J326">
        <v>0.39</v>
      </c>
      <c r="K326">
        <v>70587.66</v>
      </c>
      <c r="L326" t="s">
        <v>29</v>
      </c>
      <c r="M326" t="s">
        <v>30</v>
      </c>
      <c r="N326" s="18"/>
    </row>
    <row r="327" spans="1:14" x14ac:dyDescent="0.25">
      <c r="A327" t="s">
        <v>1783</v>
      </c>
      <c r="B327" t="s">
        <v>66</v>
      </c>
      <c r="C327" t="s">
        <v>38</v>
      </c>
      <c r="D327" t="s">
        <v>27</v>
      </c>
      <c r="E327" t="s">
        <v>28</v>
      </c>
      <c r="F327">
        <v>55</v>
      </c>
      <c r="G327" t="s">
        <v>118</v>
      </c>
      <c r="H327" s="18">
        <v>39418</v>
      </c>
      <c r="I327">
        <v>64494</v>
      </c>
      <c r="J327">
        <v>0</v>
      </c>
      <c r="K327">
        <v>0</v>
      </c>
      <c r="L327" t="s">
        <v>29</v>
      </c>
      <c r="M327" t="s">
        <v>58</v>
      </c>
      <c r="N327" s="18"/>
    </row>
    <row r="328" spans="1:14" x14ac:dyDescent="0.25">
      <c r="A328" t="s">
        <v>1784</v>
      </c>
      <c r="B328" t="s">
        <v>44</v>
      </c>
      <c r="C328" t="s">
        <v>45</v>
      </c>
      <c r="D328" t="s">
        <v>32</v>
      </c>
      <c r="E328" t="s">
        <v>33</v>
      </c>
      <c r="F328">
        <v>47</v>
      </c>
      <c r="G328" t="s">
        <v>119</v>
      </c>
      <c r="H328" s="18">
        <v>37550</v>
      </c>
      <c r="I328">
        <v>70122</v>
      </c>
      <c r="J328">
        <v>0</v>
      </c>
      <c r="K328">
        <v>0</v>
      </c>
      <c r="L328" t="s">
        <v>29</v>
      </c>
      <c r="M328" t="s">
        <v>58</v>
      </c>
      <c r="N328" s="18"/>
    </row>
    <row r="329" spans="1:14" x14ac:dyDescent="0.25">
      <c r="A329" t="s">
        <v>1785</v>
      </c>
      <c r="B329" t="s">
        <v>37</v>
      </c>
      <c r="C329" t="s">
        <v>50</v>
      </c>
      <c r="D329" t="s">
        <v>32</v>
      </c>
      <c r="E329" t="s">
        <v>33</v>
      </c>
      <c r="F329">
        <v>29</v>
      </c>
      <c r="G329" t="s">
        <v>120</v>
      </c>
      <c r="H329" s="18">
        <v>42785</v>
      </c>
      <c r="I329">
        <v>181854</v>
      </c>
      <c r="J329">
        <v>0.28999999999999998</v>
      </c>
      <c r="K329">
        <v>52737.659999999996</v>
      </c>
      <c r="L329" t="s">
        <v>29</v>
      </c>
      <c r="M329" t="s">
        <v>30</v>
      </c>
      <c r="N329" s="18">
        <v>43945</v>
      </c>
    </row>
    <row r="330" spans="1:14" x14ac:dyDescent="0.25">
      <c r="A330" t="s">
        <v>1786</v>
      </c>
      <c r="B330" t="s">
        <v>74</v>
      </c>
      <c r="C330" t="s">
        <v>52</v>
      </c>
      <c r="D330" t="s">
        <v>39</v>
      </c>
      <c r="E330" t="s">
        <v>28</v>
      </c>
      <c r="F330">
        <v>34</v>
      </c>
      <c r="G330" t="s">
        <v>120</v>
      </c>
      <c r="H330" s="18">
        <v>42664</v>
      </c>
      <c r="I330">
        <v>52811</v>
      </c>
      <c r="J330">
        <v>0</v>
      </c>
      <c r="K330">
        <v>0</v>
      </c>
      <c r="L330" t="s">
        <v>29</v>
      </c>
      <c r="M330" t="s">
        <v>49</v>
      </c>
      <c r="N330" s="18"/>
    </row>
    <row r="331" spans="1:14" x14ac:dyDescent="0.25">
      <c r="A331" t="s">
        <v>1787</v>
      </c>
      <c r="B331" t="s">
        <v>83</v>
      </c>
      <c r="C331" t="s">
        <v>26</v>
      </c>
      <c r="D331" t="s">
        <v>27</v>
      </c>
      <c r="E331" t="s">
        <v>28</v>
      </c>
      <c r="F331">
        <v>28</v>
      </c>
      <c r="G331" t="s">
        <v>120</v>
      </c>
      <c r="H331" s="18">
        <v>43763</v>
      </c>
      <c r="I331">
        <v>50111</v>
      </c>
      <c r="J331">
        <v>0</v>
      </c>
      <c r="K331">
        <v>0</v>
      </c>
      <c r="L331" t="s">
        <v>34</v>
      </c>
      <c r="M331" t="s">
        <v>68</v>
      </c>
      <c r="N331" s="18"/>
    </row>
    <row r="332" spans="1:14" x14ac:dyDescent="0.25">
      <c r="A332" t="s">
        <v>1788</v>
      </c>
      <c r="B332" t="s">
        <v>87</v>
      </c>
      <c r="C332" t="s">
        <v>26</v>
      </c>
      <c r="D332" t="s">
        <v>32</v>
      </c>
      <c r="E332" t="s">
        <v>33</v>
      </c>
      <c r="F332">
        <v>31</v>
      </c>
      <c r="G332" t="s">
        <v>120</v>
      </c>
      <c r="H332" s="18">
        <v>42497</v>
      </c>
      <c r="I332">
        <v>71192</v>
      </c>
      <c r="J332">
        <v>0</v>
      </c>
      <c r="K332">
        <v>0</v>
      </c>
      <c r="L332" t="s">
        <v>29</v>
      </c>
      <c r="M332" t="s">
        <v>51</v>
      </c>
      <c r="N332" s="18"/>
    </row>
    <row r="333" spans="1:14" x14ac:dyDescent="0.25">
      <c r="A333" t="s">
        <v>1789</v>
      </c>
      <c r="B333" t="s">
        <v>37</v>
      </c>
      <c r="C333" t="s">
        <v>45</v>
      </c>
      <c r="D333" t="s">
        <v>32</v>
      </c>
      <c r="E333" t="s">
        <v>28</v>
      </c>
      <c r="F333">
        <v>50</v>
      </c>
      <c r="G333" t="s">
        <v>119</v>
      </c>
      <c r="H333" s="18">
        <v>43452</v>
      </c>
      <c r="I333">
        <v>155351</v>
      </c>
      <c r="J333">
        <v>0.2</v>
      </c>
      <c r="K333">
        <v>31070.2</v>
      </c>
      <c r="L333" t="s">
        <v>29</v>
      </c>
      <c r="M333" t="s">
        <v>30</v>
      </c>
      <c r="N333" s="18"/>
    </row>
    <row r="334" spans="1:14" x14ac:dyDescent="0.25">
      <c r="A334" t="s">
        <v>1790</v>
      </c>
      <c r="B334" t="s">
        <v>37</v>
      </c>
      <c r="C334" t="s">
        <v>52</v>
      </c>
      <c r="D334" t="s">
        <v>39</v>
      </c>
      <c r="E334" t="s">
        <v>33</v>
      </c>
      <c r="F334">
        <v>39</v>
      </c>
      <c r="G334" t="s">
        <v>121</v>
      </c>
      <c r="H334" s="18">
        <v>39049</v>
      </c>
      <c r="I334">
        <v>161690</v>
      </c>
      <c r="J334">
        <v>0.28999999999999998</v>
      </c>
      <c r="K334">
        <v>46890.1</v>
      </c>
      <c r="L334" t="s">
        <v>34</v>
      </c>
      <c r="M334" t="s">
        <v>64</v>
      </c>
      <c r="N334" s="18"/>
    </row>
    <row r="335" spans="1:14" x14ac:dyDescent="0.25">
      <c r="A335" t="s">
        <v>1791</v>
      </c>
      <c r="B335" t="s">
        <v>80</v>
      </c>
      <c r="C335" t="s">
        <v>54</v>
      </c>
      <c r="D335" t="s">
        <v>39</v>
      </c>
      <c r="E335" t="s">
        <v>28</v>
      </c>
      <c r="F335">
        <v>35</v>
      </c>
      <c r="G335" t="s">
        <v>121</v>
      </c>
      <c r="H335" s="18">
        <v>42776</v>
      </c>
      <c r="I335">
        <v>60132</v>
      </c>
      <c r="J335">
        <v>0</v>
      </c>
      <c r="K335">
        <v>0</v>
      </c>
      <c r="L335" t="s">
        <v>34</v>
      </c>
      <c r="M335" t="s">
        <v>35</v>
      </c>
      <c r="N335" s="18"/>
    </row>
    <row r="336" spans="1:14" x14ac:dyDescent="0.25">
      <c r="A336" t="s">
        <v>1792</v>
      </c>
      <c r="B336" t="s">
        <v>78</v>
      </c>
      <c r="C336" t="s">
        <v>26</v>
      </c>
      <c r="D336" t="s">
        <v>32</v>
      </c>
      <c r="E336" t="s">
        <v>33</v>
      </c>
      <c r="F336">
        <v>54</v>
      </c>
      <c r="G336" t="s">
        <v>119</v>
      </c>
      <c r="H336" s="18">
        <v>34631</v>
      </c>
      <c r="I336">
        <v>87216</v>
      </c>
      <c r="J336">
        <v>0</v>
      </c>
      <c r="K336">
        <v>0</v>
      </c>
      <c r="L336" t="s">
        <v>29</v>
      </c>
      <c r="M336" t="s">
        <v>49</v>
      </c>
      <c r="N336" s="18"/>
    </row>
    <row r="337" spans="1:14" x14ac:dyDescent="0.25">
      <c r="A337" t="s">
        <v>1793</v>
      </c>
      <c r="B337" t="s">
        <v>83</v>
      </c>
      <c r="C337" t="s">
        <v>26</v>
      </c>
      <c r="D337" t="s">
        <v>46</v>
      </c>
      <c r="E337" t="s">
        <v>33</v>
      </c>
      <c r="F337">
        <v>47</v>
      </c>
      <c r="G337" t="s">
        <v>119</v>
      </c>
      <c r="H337" s="18">
        <v>43944</v>
      </c>
      <c r="I337">
        <v>50069</v>
      </c>
      <c r="J337">
        <v>0</v>
      </c>
      <c r="K337">
        <v>0</v>
      </c>
      <c r="L337" t="s">
        <v>29</v>
      </c>
      <c r="M337" t="s">
        <v>30</v>
      </c>
      <c r="N337" s="18"/>
    </row>
    <row r="338" spans="1:14" x14ac:dyDescent="0.25">
      <c r="A338" t="s">
        <v>1794</v>
      </c>
      <c r="B338" t="s">
        <v>37</v>
      </c>
      <c r="C338" t="s">
        <v>26</v>
      </c>
      <c r="D338" t="s">
        <v>39</v>
      </c>
      <c r="E338" t="s">
        <v>28</v>
      </c>
      <c r="F338">
        <v>26</v>
      </c>
      <c r="G338" t="s">
        <v>120</v>
      </c>
      <c r="H338" s="18">
        <v>44403</v>
      </c>
      <c r="I338">
        <v>151108</v>
      </c>
      <c r="J338">
        <v>0.22</v>
      </c>
      <c r="K338">
        <v>33243.760000000002</v>
      </c>
      <c r="L338" t="s">
        <v>29</v>
      </c>
      <c r="M338" t="s">
        <v>43</v>
      </c>
      <c r="N338" s="18"/>
    </row>
    <row r="339" spans="1:14" x14ac:dyDescent="0.25">
      <c r="A339" t="s">
        <v>1795</v>
      </c>
      <c r="B339" t="s">
        <v>41</v>
      </c>
      <c r="C339" t="s">
        <v>26</v>
      </c>
      <c r="D339" t="s">
        <v>32</v>
      </c>
      <c r="E339" t="s">
        <v>28</v>
      </c>
      <c r="F339">
        <v>42</v>
      </c>
      <c r="G339" t="s">
        <v>121</v>
      </c>
      <c r="H339" s="18">
        <v>38640</v>
      </c>
      <c r="I339">
        <v>67398</v>
      </c>
      <c r="J339">
        <v>7.0000000000000007E-2</v>
      </c>
      <c r="K339">
        <v>4717.8600000000006</v>
      </c>
      <c r="L339" t="s">
        <v>29</v>
      </c>
      <c r="M339" t="s">
        <v>43</v>
      </c>
      <c r="N339" s="18"/>
    </row>
    <row r="340" spans="1:14" x14ac:dyDescent="0.25">
      <c r="A340" t="s">
        <v>1796</v>
      </c>
      <c r="B340" t="s">
        <v>80</v>
      </c>
      <c r="C340" t="s">
        <v>54</v>
      </c>
      <c r="D340" t="s">
        <v>27</v>
      </c>
      <c r="E340" t="s">
        <v>28</v>
      </c>
      <c r="F340">
        <v>47</v>
      </c>
      <c r="G340" t="s">
        <v>119</v>
      </c>
      <c r="H340" s="18">
        <v>42245</v>
      </c>
      <c r="I340">
        <v>68488</v>
      </c>
      <c r="J340">
        <v>0</v>
      </c>
      <c r="K340">
        <v>0</v>
      </c>
      <c r="L340" t="s">
        <v>29</v>
      </c>
      <c r="M340" t="s">
        <v>30</v>
      </c>
      <c r="N340" s="18"/>
    </row>
    <row r="341" spans="1:14" x14ac:dyDescent="0.25">
      <c r="A341" t="s">
        <v>1797</v>
      </c>
      <c r="B341" t="s">
        <v>62</v>
      </c>
      <c r="C341" t="s">
        <v>54</v>
      </c>
      <c r="D341" t="s">
        <v>32</v>
      </c>
      <c r="E341" t="s">
        <v>28</v>
      </c>
      <c r="F341">
        <v>60</v>
      </c>
      <c r="G341" t="s">
        <v>118</v>
      </c>
      <c r="H341" s="18">
        <v>35992</v>
      </c>
      <c r="I341">
        <v>92932</v>
      </c>
      <c r="J341">
        <v>0</v>
      </c>
      <c r="K341">
        <v>0</v>
      </c>
      <c r="L341" t="s">
        <v>29</v>
      </c>
      <c r="M341" t="s">
        <v>58</v>
      </c>
      <c r="N341" s="18"/>
    </row>
    <row r="342" spans="1:14" x14ac:dyDescent="0.25">
      <c r="A342" t="s">
        <v>1798</v>
      </c>
      <c r="B342" t="s">
        <v>48</v>
      </c>
      <c r="C342" t="s">
        <v>38</v>
      </c>
      <c r="D342" t="s">
        <v>46</v>
      </c>
      <c r="E342" t="s">
        <v>28</v>
      </c>
      <c r="F342">
        <v>36</v>
      </c>
      <c r="G342" t="s">
        <v>121</v>
      </c>
      <c r="H342" s="18">
        <v>39994</v>
      </c>
      <c r="I342">
        <v>43363</v>
      </c>
      <c r="J342">
        <v>0</v>
      </c>
      <c r="K342">
        <v>0</v>
      </c>
      <c r="L342" t="s">
        <v>29</v>
      </c>
      <c r="M342" t="s">
        <v>51</v>
      </c>
      <c r="N342" s="18"/>
    </row>
    <row r="343" spans="1:14" x14ac:dyDescent="0.25">
      <c r="A343" t="s">
        <v>1799</v>
      </c>
      <c r="B343" t="s">
        <v>86</v>
      </c>
      <c r="C343" t="s">
        <v>26</v>
      </c>
      <c r="D343" t="s">
        <v>39</v>
      </c>
      <c r="E343" t="s">
        <v>33</v>
      </c>
      <c r="F343">
        <v>31</v>
      </c>
      <c r="G343" t="s">
        <v>120</v>
      </c>
      <c r="H343" s="18">
        <v>42780</v>
      </c>
      <c r="I343">
        <v>95963</v>
      </c>
      <c r="J343">
        <v>0</v>
      </c>
      <c r="K343">
        <v>0</v>
      </c>
      <c r="L343" t="s">
        <v>34</v>
      </c>
      <c r="M343" t="s">
        <v>68</v>
      </c>
      <c r="N343" s="18"/>
    </row>
    <row r="344" spans="1:14" x14ac:dyDescent="0.25">
      <c r="A344" t="s">
        <v>1800</v>
      </c>
      <c r="B344" t="s">
        <v>47</v>
      </c>
      <c r="C344" t="s">
        <v>38</v>
      </c>
      <c r="D344" t="s">
        <v>39</v>
      </c>
      <c r="E344" t="s">
        <v>28</v>
      </c>
      <c r="F344">
        <v>55</v>
      </c>
      <c r="G344" t="s">
        <v>118</v>
      </c>
      <c r="H344" s="18">
        <v>40297</v>
      </c>
      <c r="I344">
        <v>111038</v>
      </c>
      <c r="J344">
        <v>0.05</v>
      </c>
      <c r="K344">
        <v>5551.9000000000005</v>
      </c>
      <c r="L344" t="s">
        <v>59</v>
      </c>
      <c r="M344" t="s">
        <v>76</v>
      </c>
      <c r="N344" s="18"/>
    </row>
    <row r="345" spans="1:14" x14ac:dyDescent="0.25">
      <c r="A345" t="s">
        <v>1801</v>
      </c>
      <c r="B345" t="s">
        <v>56</v>
      </c>
      <c r="C345" t="s">
        <v>54</v>
      </c>
      <c r="D345" t="s">
        <v>27</v>
      </c>
      <c r="E345" t="s">
        <v>28</v>
      </c>
      <c r="F345">
        <v>51</v>
      </c>
      <c r="G345" t="s">
        <v>119</v>
      </c>
      <c r="H345" s="18">
        <v>35230</v>
      </c>
      <c r="I345">
        <v>200246</v>
      </c>
      <c r="J345">
        <v>0.34</v>
      </c>
      <c r="K345">
        <v>68083.64</v>
      </c>
      <c r="L345" t="s">
        <v>29</v>
      </c>
      <c r="M345" t="s">
        <v>58</v>
      </c>
      <c r="N345" s="18"/>
    </row>
    <row r="346" spans="1:14" x14ac:dyDescent="0.25">
      <c r="A346" t="s">
        <v>1802</v>
      </c>
      <c r="B346" t="s">
        <v>56</v>
      </c>
      <c r="C346" t="s">
        <v>26</v>
      </c>
      <c r="D346" t="s">
        <v>46</v>
      </c>
      <c r="E346" t="s">
        <v>28</v>
      </c>
      <c r="F346">
        <v>48</v>
      </c>
      <c r="G346" t="s">
        <v>119</v>
      </c>
      <c r="H346" s="18">
        <v>42053</v>
      </c>
      <c r="I346">
        <v>194871</v>
      </c>
      <c r="J346">
        <v>0.35</v>
      </c>
      <c r="K346">
        <v>68204.849999999991</v>
      </c>
      <c r="L346" t="s">
        <v>29</v>
      </c>
      <c r="M346" t="s">
        <v>58</v>
      </c>
      <c r="N346" s="18"/>
    </row>
    <row r="347" spans="1:14" x14ac:dyDescent="0.25">
      <c r="A347" t="s">
        <v>1803</v>
      </c>
      <c r="B347" t="s">
        <v>42</v>
      </c>
      <c r="C347" t="s">
        <v>50</v>
      </c>
      <c r="D347" t="s">
        <v>27</v>
      </c>
      <c r="E347" t="s">
        <v>33</v>
      </c>
      <c r="F347">
        <v>58</v>
      </c>
      <c r="G347" t="s">
        <v>118</v>
      </c>
      <c r="H347" s="18">
        <v>34592</v>
      </c>
      <c r="I347">
        <v>98769</v>
      </c>
      <c r="J347">
        <v>0</v>
      </c>
      <c r="K347">
        <v>0</v>
      </c>
      <c r="L347" t="s">
        <v>59</v>
      </c>
      <c r="M347" t="s">
        <v>61</v>
      </c>
      <c r="N347" s="18">
        <v>42646</v>
      </c>
    </row>
    <row r="348" spans="1:14" x14ac:dyDescent="0.25">
      <c r="A348" t="s">
        <v>1804</v>
      </c>
      <c r="B348" t="s">
        <v>44</v>
      </c>
      <c r="C348" t="s">
        <v>45</v>
      </c>
      <c r="D348" t="s">
        <v>27</v>
      </c>
      <c r="E348" t="s">
        <v>28</v>
      </c>
      <c r="F348">
        <v>29</v>
      </c>
      <c r="G348" t="s">
        <v>120</v>
      </c>
      <c r="H348" s="18">
        <v>43239</v>
      </c>
      <c r="I348">
        <v>65334</v>
      </c>
      <c r="J348">
        <v>0</v>
      </c>
      <c r="K348">
        <v>0</v>
      </c>
      <c r="L348" t="s">
        <v>59</v>
      </c>
      <c r="M348" t="s">
        <v>61</v>
      </c>
      <c r="N348" s="18"/>
    </row>
    <row r="349" spans="1:14" x14ac:dyDescent="0.25">
      <c r="A349" t="s">
        <v>1805</v>
      </c>
      <c r="B349" t="s">
        <v>31</v>
      </c>
      <c r="C349" t="s">
        <v>26</v>
      </c>
      <c r="D349" t="s">
        <v>32</v>
      </c>
      <c r="E349" t="s">
        <v>28</v>
      </c>
      <c r="F349">
        <v>25</v>
      </c>
      <c r="G349" t="s">
        <v>120</v>
      </c>
      <c r="H349" s="18">
        <v>44327</v>
      </c>
      <c r="I349">
        <v>83934</v>
      </c>
      <c r="J349">
        <v>0</v>
      </c>
      <c r="K349">
        <v>0</v>
      </c>
      <c r="L349" t="s">
        <v>29</v>
      </c>
      <c r="M349" t="s">
        <v>49</v>
      </c>
      <c r="N349" s="18"/>
    </row>
    <row r="350" spans="1:14" x14ac:dyDescent="0.25">
      <c r="A350" t="s">
        <v>1806</v>
      </c>
      <c r="B350" t="s">
        <v>37</v>
      </c>
      <c r="C350" t="s">
        <v>50</v>
      </c>
      <c r="D350" t="s">
        <v>27</v>
      </c>
      <c r="E350" t="s">
        <v>33</v>
      </c>
      <c r="F350">
        <v>36</v>
      </c>
      <c r="G350" t="s">
        <v>121</v>
      </c>
      <c r="H350" s="18">
        <v>42616</v>
      </c>
      <c r="I350">
        <v>150399</v>
      </c>
      <c r="J350">
        <v>0.28000000000000003</v>
      </c>
      <c r="K350">
        <v>42111.72</v>
      </c>
      <c r="L350" t="s">
        <v>29</v>
      </c>
      <c r="M350" t="s">
        <v>40</v>
      </c>
      <c r="N350" s="18"/>
    </row>
    <row r="351" spans="1:14" x14ac:dyDescent="0.25">
      <c r="A351" t="s">
        <v>1807</v>
      </c>
      <c r="B351" t="s">
        <v>37</v>
      </c>
      <c r="C351" t="s">
        <v>52</v>
      </c>
      <c r="D351" t="s">
        <v>27</v>
      </c>
      <c r="E351" t="s">
        <v>33</v>
      </c>
      <c r="F351">
        <v>37</v>
      </c>
      <c r="G351" t="s">
        <v>121</v>
      </c>
      <c r="H351" s="18">
        <v>41048</v>
      </c>
      <c r="I351">
        <v>160280</v>
      </c>
      <c r="J351">
        <v>0.19</v>
      </c>
      <c r="K351">
        <v>30453.200000000001</v>
      </c>
      <c r="L351" t="s">
        <v>34</v>
      </c>
      <c r="M351" t="s">
        <v>64</v>
      </c>
      <c r="N351" s="18"/>
    </row>
    <row r="352" spans="1:14" x14ac:dyDescent="0.25">
      <c r="A352" t="s">
        <v>1808</v>
      </c>
      <c r="B352" t="s">
        <v>74</v>
      </c>
      <c r="C352" t="s">
        <v>52</v>
      </c>
      <c r="D352" t="s">
        <v>39</v>
      </c>
      <c r="E352" t="s">
        <v>33</v>
      </c>
      <c r="F352">
        <v>57</v>
      </c>
      <c r="G352" t="s">
        <v>118</v>
      </c>
      <c r="H352" s="18">
        <v>35548</v>
      </c>
      <c r="I352">
        <v>54051</v>
      </c>
      <c r="J352">
        <v>0</v>
      </c>
      <c r="K352">
        <v>0</v>
      </c>
      <c r="L352" t="s">
        <v>29</v>
      </c>
      <c r="M352" t="s">
        <v>49</v>
      </c>
      <c r="N352" s="18">
        <v>36079</v>
      </c>
    </row>
    <row r="353" spans="1:14" x14ac:dyDescent="0.25">
      <c r="A353" t="s">
        <v>1809</v>
      </c>
      <c r="B353" t="s">
        <v>37</v>
      </c>
      <c r="C353" t="s">
        <v>54</v>
      </c>
      <c r="D353" t="s">
        <v>27</v>
      </c>
      <c r="E353" t="s">
        <v>28</v>
      </c>
      <c r="F353">
        <v>59</v>
      </c>
      <c r="G353" t="s">
        <v>118</v>
      </c>
      <c r="H353" s="18">
        <v>37726</v>
      </c>
      <c r="I353">
        <v>150699</v>
      </c>
      <c r="J353">
        <v>0.28999999999999998</v>
      </c>
      <c r="K353">
        <v>43702.71</v>
      </c>
      <c r="L353" t="s">
        <v>59</v>
      </c>
      <c r="M353" t="s">
        <v>76</v>
      </c>
      <c r="N353" s="18"/>
    </row>
    <row r="354" spans="1:14" x14ac:dyDescent="0.25">
      <c r="A354" t="s">
        <v>1810</v>
      </c>
      <c r="B354" t="s">
        <v>66</v>
      </c>
      <c r="C354" t="s">
        <v>57</v>
      </c>
      <c r="D354" t="s">
        <v>39</v>
      </c>
      <c r="E354" t="s">
        <v>33</v>
      </c>
      <c r="F354">
        <v>37</v>
      </c>
      <c r="G354" t="s">
        <v>121</v>
      </c>
      <c r="H354" s="18">
        <v>41363</v>
      </c>
      <c r="I354">
        <v>69570</v>
      </c>
      <c r="J354">
        <v>0</v>
      </c>
      <c r="K354">
        <v>0</v>
      </c>
      <c r="L354" t="s">
        <v>29</v>
      </c>
      <c r="M354" t="s">
        <v>49</v>
      </c>
      <c r="N354" s="18"/>
    </row>
    <row r="355" spans="1:14" x14ac:dyDescent="0.25">
      <c r="A355" t="s">
        <v>1811</v>
      </c>
      <c r="B355" t="s">
        <v>86</v>
      </c>
      <c r="C355" t="s">
        <v>26</v>
      </c>
      <c r="D355" t="s">
        <v>32</v>
      </c>
      <c r="E355" t="s">
        <v>28</v>
      </c>
      <c r="F355">
        <v>30</v>
      </c>
      <c r="G355" t="s">
        <v>120</v>
      </c>
      <c r="H355" s="18">
        <v>43553</v>
      </c>
      <c r="I355">
        <v>86774</v>
      </c>
      <c r="J355">
        <v>0</v>
      </c>
      <c r="K355">
        <v>0</v>
      </c>
      <c r="L355" t="s">
        <v>34</v>
      </c>
      <c r="M355" t="s">
        <v>68</v>
      </c>
      <c r="N355" s="18"/>
    </row>
    <row r="356" spans="1:14" x14ac:dyDescent="0.25">
      <c r="A356" t="s">
        <v>1812</v>
      </c>
      <c r="B356" t="s">
        <v>70</v>
      </c>
      <c r="C356" t="s">
        <v>52</v>
      </c>
      <c r="D356" t="s">
        <v>32</v>
      </c>
      <c r="E356" t="s">
        <v>33</v>
      </c>
      <c r="F356">
        <v>49</v>
      </c>
      <c r="G356" t="s">
        <v>119</v>
      </c>
      <c r="H356" s="18">
        <v>36979</v>
      </c>
      <c r="I356">
        <v>57606</v>
      </c>
      <c r="J356">
        <v>0</v>
      </c>
      <c r="K356">
        <v>0</v>
      </c>
      <c r="L356" t="s">
        <v>29</v>
      </c>
      <c r="M356" t="s">
        <v>49</v>
      </c>
      <c r="N356" s="18"/>
    </row>
    <row r="357" spans="1:14" x14ac:dyDescent="0.25">
      <c r="A357" t="s">
        <v>1813</v>
      </c>
      <c r="B357" t="s">
        <v>25</v>
      </c>
      <c r="C357" t="s">
        <v>38</v>
      </c>
      <c r="D357" t="s">
        <v>46</v>
      </c>
      <c r="E357" t="s">
        <v>28</v>
      </c>
      <c r="F357">
        <v>48</v>
      </c>
      <c r="G357" t="s">
        <v>119</v>
      </c>
      <c r="H357" s="18">
        <v>37144</v>
      </c>
      <c r="I357">
        <v>125730</v>
      </c>
      <c r="J357">
        <v>0.11</v>
      </c>
      <c r="K357">
        <v>13830.3</v>
      </c>
      <c r="L357" t="s">
        <v>34</v>
      </c>
      <c r="M357" t="s">
        <v>35</v>
      </c>
      <c r="N357" s="18"/>
    </row>
    <row r="358" spans="1:14" x14ac:dyDescent="0.25">
      <c r="A358" t="s">
        <v>1814</v>
      </c>
      <c r="B358" t="s">
        <v>82</v>
      </c>
      <c r="C358" t="s">
        <v>26</v>
      </c>
      <c r="D358" t="s">
        <v>27</v>
      </c>
      <c r="E358" t="s">
        <v>28</v>
      </c>
      <c r="F358">
        <v>51</v>
      </c>
      <c r="G358" t="s">
        <v>119</v>
      </c>
      <c r="H358" s="18">
        <v>40964</v>
      </c>
      <c r="I358">
        <v>64170</v>
      </c>
      <c r="J358">
        <v>0</v>
      </c>
      <c r="K358">
        <v>0</v>
      </c>
      <c r="L358" t="s">
        <v>29</v>
      </c>
      <c r="M358" t="s">
        <v>58</v>
      </c>
      <c r="N358" s="18"/>
    </row>
    <row r="359" spans="1:14" x14ac:dyDescent="0.25">
      <c r="A359" t="s">
        <v>1815</v>
      </c>
      <c r="B359" t="s">
        <v>69</v>
      </c>
      <c r="C359" t="s">
        <v>52</v>
      </c>
      <c r="D359" t="s">
        <v>39</v>
      </c>
      <c r="E359" t="s">
        <v>33</v>
      </c>
      <c r="F359">
        <v>56</v>
      </c>
      <c r="G359" t="s">
        <v>118</v>
      </c>
      <c r="H359" s="18">
        <v>35816</v>
      </c>
      <c r="I359">
        <v>72303</v>
      </c>
      <c r="J359">
        <v>0</v>
      </c>
      <c r="K359">
        <v>0</v>
      </c>
      <c r="L359" t="s">
        <v>29</v>
      </c>
      <c r="M359" t="s">
        <v>43</v>
      </c>
      <c r="N359" s="18"/>
    </row>
    <row r="360" spans="1:14" x14ac:dyDescent="0.25">
      <c r="A360" t="s">
        <v>1816</v>
      </c>
      <c r="B360" t="s">
        <v>47</v>
      </c>
      <c r="C360" t="s">
        <v>45</v>
      </c>
      <c r="D360" t="s">
        <v>27</v>
      </c>
      <c r="E360" t="s">
        <v>33</v>
      </c>
      <c r="F360">
        <v>36</v>
      </c>
      <c r="G360" t="s">
        <v>121</v>
      </c>
      <c r="H360" s="18">
        <v>41116</v>
      </c>
      <c r="I360">
        <v>105891</v>
      </c>
      <c r="J360">
        <v>7.0000000000000007E-2</v>
      </c>
      <c r="K360">
        <v>7412.3700000000008</v>
      </c>
      <c r="L360" t="s">
        <v>29</v>
      </c>
      <c r="M360" t="s">
        <v>30</v>
      </c>
      <c r="N360" s="18"/>
    </row>
    <row r="361" spans="1:14" x14ac:dyDescent="0.25">
      <c r="A361" t="s">
        <v>1817</v>
      </c>
      <c r="B361" t="s">
        <v>56</v>
      </c>
      <c r="C361" t="s">
        <v>57</v>
      </c>
      <c r="D361" t="s">
        <v>39</v>
      </c>
      <c r="E361" t="s">
        <v>33</v>
      </c>
      <c r="F361">
        <v>38</v>
      </c>
      <c r="G361" t="s">
        <v>121</v>
      </c>
      <c r="H361" s="18">
        <v>44433</v>
      </c>
      <c r="I361">
        <v>255230</v>
      </c>
      <c r="J361">
        <v>0.36</v>
      </c>
      <c r="K361">
        <v>91882.8</v>
      </c>
      <c r="L361" t="s">
        <v>29</v>
      </c>
      <c r="M361" t="s">
        <v>51</v>
      </c>
      <c r="N361" s="18"/>
    </row>
    <row r="362" spans="1:14" x14ac:dyDescent="0.25">
      <c r="A362" t="s">
        <v>1818</v>
      </c>
      <c r="B362" t="s">
        <v>66</v>
      </c>
      <c r="C362" t="s">
        <v>45</v>
      </c>
      <c r="D362" t="s">
        <v>32</v>
      </c>
      <c r="E362" t="s">
        <v>28</v>
      </c>
      <c r="F362">
        <v>56</v>
      </c>
      <c r="G362" t="s">
        <v>118</v>
      </c>
      <c r="H362" s="18">
        <v>33770</v>
      </c>
      <c r="I362">
        <v>59591</v>
      </c>
      <c r="J362">
        <v>0</v>
      </c>
      <c r="K362">
        <v>0</v>
      </c>
      <c r="L362" t="s">
        <v>59</v>
      </c>
      <c r="M362" t="s">
        <v>76</v>
      </c>
      <c r="N362" s="18"/>
    </row>
    <row r="363" spans="1:14" x14ac:dyDescent="0.25">
      <c r="A363" t="s">
        <v>1819</v>
      </c>
      <c r="B363" t="s">
        <v>56</v>
      </c>
      <c r="C363" t="s">
        <v>52</v>
      </c>
      <c r="D363" t="s">
        <v>32</v>
      </c>
      <c r="E363" t="s">
        <v>28</v>
      </c>
      <c r="F363">
        <v>52</v>
      </c>
      <c r="G363" t="s">
        <v>119</v>
      </c>
      <c r="H363" s="18">
        <v>41113</v>
      </c>
      <c r="I363">
        <v>187048</v>
      </c>
      <c r="J363">
        <v>0.32</v>
      </c>
      <c r="K363">
        <v>59855.360000000001</v>
      </c>
      <c r="L363" t="s">
        <v>34</v>
      </c>
      <c r="M363" t="s">
        <v>68</v>
      </c>
      <c r="N363" s="18"/>
    </row>
    <row r="364" spans="1:14" x14ac:dyDescent="0.25">
      <c r="A364" t="s">
        <v>1820</v>
      </c>
      <c r="B364" t="s">
        <v>66</v>
      </c>
      <c r="C364" t="s">
        <v>38</v>
      </c>
      <c r="D364" t="s">
        <v>39</v>
      </c>
      <c r="E364" t="s">
        <v>28</v>
      </c>
      <c r="F364">
        <v>53</v>
      </c>
      <c r="G364" t="s">
        <v>119</v>
      </c>
      <c r="H364" s="18">
        <v>37296</v>
      </c>
      <c r="I364">
        <v>58605</v>
      </c>
      <c r="J364">
        <v>0</v>
      </c>
      <c r="K364">
        <v>0</v>
      </c>
      <c r="L364" t="s">
        <v>29</v>
      </c>
      <c r="M364" t="s">
        <v>43</v>
      </c>
      <c r="N364" s="18"/>
    </row>
    <row r="365" spans="1:14" x14ac:dyDescent="0.25">
      <c r="A365" t="s">
        <v>1821</v>
      </c>
      <c r="B365" t="s">
        <v>37</v>
      </c>
      <c r="C365" t="s">
        <v>54</v>
      </c>
      <c r="D365" t="s">
        <v>46</v>
      </c>
      <c r="E365" t="s">
        <v>28</v>
      </c>
      <c r="F365">
        <v>60</v>
      </c>
      <c r="G365" t="s">
        <v>118</v>
      </c>
      <c r="H365" s="18">
        <v>42739</v>
      </c>
      <c r="I365">
        <v>178502</v>
      </c>
      <c r="J365">
        <v>0.2</v>
      </c>
      <c r="K365">
        <v>35700.400000000001</v>
      </c>
      <c r="L365" t="s">
        <v>29</v>
      </c>
      <c r="M365" t="s">
        <v>51</v>
      </c>
      <c r="N365" s="18"/>
    </row>
    <row r="366" spans="1:14" x14ac:dyDescent="0.25">
      <c r="A366" t="s">
        <v>1822</v>
      </c>
      <c r="B366" t="s">
        <v>47</v>
      </c>
      <c r="C366" t="s">
        <v>50</v>
      </c>
      <c r="D366" t="s">
        <v>39</v>
      </c>
      <c r="E366" t="s">
        <v>33</v>
      </c>
      <c r="F366">
        <v>63</v>
      </c>
      <c r="G366" t="s">
        <v>118</v>
      </c>
      <c r="H366" s="18">
        <v>42214</v>
      </c>
      <c r="I366">
        <v>103724</v>
      </c>
      <c r="J366">
        <v>0.05</v>
      </c>
      <c r="K366">
        <v>5186.2000000000007</v>
      </c>
      <c r="L366" t="s">
        <v>34</v>
      </c>
      <c r="M366" t="s">
        <v>55</v>
      </c>
      <c r="N366" s="18"/>
    </row>
    <row r="367" spans="1:14" x14ac:dyDescent="0.25">
      <c r="A367" t="s">
        <v>1823</v>
      </c>
      <c r="B367" t="s">
        <v>37</v>
      </c>
      <c r="C367" t="s">
        <v>54</v>
      </c>
      <c r="D367" t="s">
        <v>27</v>
      </c>
      <c r="E367" t="s">
        <v>28</v>
      </c>
      <c r="F367">
        <v>37</v>
      </c>
      <c r="G367" t="s">
        <v>121</v>
      </c>
      <c r="H367" s="18">
        <v>39528</v>
      </c>
      <c r="I367">
        <v>156277</v>
      </c>
      <c r="J367">
        <v>0.22</v>
      </c>
      <c r="K367">
        <v>34380.94</v>
      </c>
      <c r="L367" t="s">
        <v>59</v>
      </c>
      <c r="M367" t="s">
        <v>60</v>
      </c>
      <c r="N367" s="18"/>
    </row>
    <row r="368" spans="1:14" x14ac:dyDescent="0.25">
      <c r="A368" t="s">
        <v>1824</v>
      </c>
      <c r="B368" t="s">
        <v>71</v>
      </c>
      <c r="C368" t="s">
        <v>54</v>
      </c>
      <c r="D368" t="s">
        <v>27</v>
      </c>
      <c r="E368" t="s">
        <v>28</v>
      </c>
      <c r="F368">
        <v>30</v>
      </c>
      <c r="G368" t="s">
        <v>120</v>
      </c>
      <c r="H368" s="18">
        <v>43086</v>
      </c>
      <c r="I368">
        <v>87744</v>
      </c>
      <c r="J368">
        <v>0</v>
      </c>
      <c r="K368">
        <v>0</v>
      </c>
      <c r="L368" t="s">
        <v>59</v>
      </c>
      <c r="M368" t="s">
        <v>76</v>
      </c>
      <c r="N368" s="18"/>
    </row>
    <row r="369" spans="1:14" x14ac:dyDescent="0.25">
      <c r="A369" t="s">
        <v>1825</v>
      </c>
      <c r="B369" t="s">
        <v>66</v>
      </c>
      <c r="C369" t="s">
        <v>38</v>
      </c>
      <c r="D369" t="s">
        <v>32</v>
      </c>
      <c r="E369" t="s">
        <v>33</v>
      </c>
      <c r="F369">
        <v>30</v>
      </c>
      <c r="G369" t="s">
        <v>120</v>
      </c>
      <c r="H369" s="18">
        <v>43542</v>
      </c>
      <c r="I369">
        <v>54714</v>
      </c>
      <c r="J369">
        <v>0</v>
      </c>
      <c r="K369">
        <v>0</v>
      </c>
      <c r="L369" t="s">
        <v>29</v>
      </c>
      <c r="M369" t="s">
        <v>58</v>
      </c>
      <c r="N369" s="18"/>
    </row>
    <row r="370" spans="1:14" x14ac:dyDescent="0.25">
      <c r="A370" t="s">
        <v>1826</v>
      </c>
      <c r="B370" t="s">
        <v>67</v>
      </c>
      <c r="C370" t="s">
        <v>26</v>
      </c>
      <c r="D370" t="s">
        <v>46</v>
      </c>
      <c r="E370" t="s">
        <v>28</v>
      </c>
      <c r="F370">
        <v>45</v>
      </c>
      <c r="G370" t="s">
        <v>119</v>
      </c>
      <c r="H370" s="18">
        <v>41511</v>
      </c>
      <c r="I370">
        <v>99169</v>
      </c>
      <c r="J370">
        <v>0</v>
      </c>
      <c r="K370">
        <v>0</v>
      </c>
      <c r="L370" t="s">
        <v>34</v>
      </c>
      <c r="M370" t="s">
        <v>64</v>
      </c>
      <c r="N370" s="18"/>
    </row>
    <row r="371" spans="1:14" x14ac:dyDescent="0.25">
      <c r="A371" t="s">
        <v>1827</v>
      </c>
      <c r="B371" t="s">
        <v>25</v>
      </c>
      <c r="C371" t="s">
        <v>50</v>
      </c>
      <c r="D371" t="s">
        <v>27</v>
      </c>
      <c r="E371" t="s">
        <v>28</v>
      </c>
      <c r="F371">
        <v>55</v>
      </c>
      <c r="G371" t="s">
        <v>118</v>
      </c>
      <c r="H371" s="18">
        <v>38888</v>
      </c>
      <c r="I371">
        <v>142628</v>
      </c>
      <c r="J371">
        <v>0.12</v>
      </c>
      <c r="K371">
        <v>17115.36</v>
      </c>
      <c r="L371" t="s">
        <v>34</v>
      </c>
      <c r="M371" t="s">
        <v>35</v>
      </c>
      <c r="N371" s="18"/>
    </row>
    <row r="372" spans="1:14" x14ac:dyDescent="0.25">
      <c r="A372" t="s">
        <v>1828</v>
      </c>
      <c r="B372" t="s">
        <v>42</v>
      </c>
      <c r="C372" t="s">
        <v>57</v>
      </c>
      <c r="D372" t="s">
        <v>32</v>
      </c>
      <c r="E372" t="s">
        <v>28</v>
      </c>
      <c r="F372">
        <v>33</v>
      </c>
      <c r="G372" t="s">
        <v>120</v>
      </c>
      <c r="H372" s="18">
        <v>41756</v>
      </c>
      <c r="I372">
        <v>75869</v>
      </c>
      <c r="J372">
        <v>0</v>
      </c>
      <c r="K372">
        <v>0</v>
      </c>
      <c r="L372" t="s">
        <v>59</v>
      </c>
      <c r="M372" t="s">
        <v>76</v>
      </c>
      <c r="N372" s="18"/>
    </row>
    <row r="373" spans="1:14" x14ac:dyDescent="0.25">
      <c r="A373" t="s">
        <v>1829</v>
      </c>
      <c r="B373" t="s">
        <v>78</v>
      </c>
      <c r="C373" t="s">
        <v>26</v>
      </c>
      <c r="D373" t="s">
        <v>32</v>
      </c>
      <c r="E373" t="s">
        <v>28</v>
      </c>
      <c r="F373">
        <v>65</v>
      </c>
      <c r="G373" t="s">
        <v>122</v>
      </c>
      <c r="H373" s="18">
        <v>43234</v>
      </c>
      <c r="I373">
        <v>60985</v>
      </c>
      <c r="J373">
        <v>0</v>
      </c>
      <c r="K373">
        <v>0</v>
      </c>
      <c r="L373" t="s">
        <v>29</v>
      </c>
      <c r="M373" t="s">
        <v>30</v>
      </c>
      <c r="N373" s="18"/>
    </row>
    <row r="374" spans="1:14" x14ac:dyDescent="0.25">
      <c r="A374" t="s">
        <v>1830</v>
      </c>
      <c r="B374" t="s">
        <v>25</v>
      </c>
      <c r="C374" t="s">
        <v>26</v>
      </c>
      <c r="D374" t="s">
        <v>27</v>
      </c>
      <c r="E374" t="s">
        <v>28</v>
      </c>
      <c r="F374">
        <v>60</v>
      </c>
      <c r="G374" t="s">
        <v>118</v>
      </c>
      <c r="H374" s="18">
        <v>40383</v>
      </c>
      <c r="I374">
        <v>126911</v>
      </c>
      <c r="J374">
        <v>0.1</v>
      </c>
      <c r="K374">
        <v>12691.1</v>
      </c>
      <c r="L374" t="s">
        <v>34</v>
      </c>
      <c r="M374" t="s">
        <v>55</v>
      </c>
      <c r="N374" s="18"/>
    </row>
    <row r="375" spans="1:14" x14ac:dyDescent="0.25">
      <c r="A375" t="s">
        <v>1831</v>
      </c>
      <c r="B375" t="s">
        <v>56</v>
      </c>
      <c r="C375" t="s">
        <v>45</v>
      </c>
      <c r="D375" t="s">
        <v>27</v>
      </c>
      <c r="E375" t="s">
        <v>33</v>
      </c>
      <c r="F375">
        <v>56</v>
      </c>
      <c r="G375" t="s">
        <v>118</v>
      </c>
      <c r="H375" s="18">
        <v>38042</v>
      </c>
      <c r="I375">
        <v>216949</v>
      </c>
      <c r="J375">
        <v>0.32</v>
      </c>
      <c r="K375">
        <v>69423.680000000008</v>
      </c>
      <c r="L375" t="s">
        <v>34</v>
      </c>
      <c r="M375" t="s">
        <v>55</v>
      </c>
      <c r="N375" s="18"/>
    </row>
    <row r="376" spans="1:14" x14ac:dyDescent="0.25">
      <c r="A376" t="s">
        <v>1832</v>
      </c>
      <c r="B376" t="s">
        <v>37</v>
      </c>
      <c r="C376" t="s">
        <v>54</v>
      </c>
      <c r="D376" t="s">
        <v>32</v>
      </c>
      <c r="E376" t="s">
        <v>33</v>
      </c>
      <c r="F376">
        <v>53</v>
      </c>
      <c r="G376" t="s">
        <v>119</v>
      </c>
      <c r="H376" s="18">
        <v>41204</v>
      </c>
      <c r="I376">
        <v>168510</v>
      </c>
      <c r="J376">
        <v>0.28999999999999998</v>
      </c>
      <c r="K376">
        <v>48867.899999999994</v>
      </c>
      <c r="L376" t="s">
        <v>29</v>
      </c>
      <c r="M376" t="s">
        <v>30</v>
      </c>
      <c r="N376" s="18"/>
    </row>
    <row r="377" spans="1:14" x14ac:dyDescent="0.25">
      <c r="A377" t="s">
        <v>1833</v>
      </c>
      <c r="B377" t="s">
        <v>71</v>
      </c>
      <c r="C377" t="s">
        <v>54</v>
      </c>
      <c r="D377" t="s">
        <v>39</v>
      </c>
      <c r="E377" t="s">
        <v>28</v>
      </c>
      <c r="F377">
        <v>36</v>
      </c>
      <c r="G377" t="s">
        <v>121</v>
      </c>
      <c r="H377" s="18">
        <v>42443</v>
      </c>
      <c r="I377">
        <v>85870</v>
      </c>
      <c r="J377">
        <v>0</v>
      </c>
      <c r="K377">
        <v>0</v>
      </c>
      <c r="L377" t="s">
        <v>59</v>
      </c>
      <c r="M377" t="s">
        <v>76</v>
      </c>
      <c r="N377" s="18"/>
    </row>
    <row r="378" spans="1:14" x14ac:dyDescent="0.25">
      <c r="A378" t="s">
        <v>1834</v>
      </c>
      <c r="B378" t="s">
        <v>42</v>
      </c>
      <c r="C378" t="s">
        <v>57</v>
      </c>
      <c r="D378" t="s">
        <v>46</v>
      </c>
      <c r="E378" t="s">
        <v>28</v>
      </c>
      <c r="F378">
        <v>46</v>
      </c>
      <c r="G378" t="s">
        <v>119</v>
      </c>
      <c r="H378" s="18">
        <v>37271</v>
      </c>
      <c r="I378">
        <v>86510</v>
      </c>
      <c r="J378">
        <v>0</v>
      </c>
      <c r="K378">
        <v>0</v>
      </c>
      <c r="L378" t="s">
        <v>34</v>
      </c>
      <c r="M378" t="s">
        <v>64</v>
      </c>
      <c r="N378" s="18">
        <v>37623</v>
      </c>
    </row>
    <row r="379" spans="1:14" x14ac:dyDescent="0.25">
      <c r="A379" t="s">
        <v>1835</v>
      </c>
      <c r="B379" t="s">
        <v>47</v>
      </c>
      <c r="C379" t="s">
        <v>45</v>
      </c>
      <c r="D379" t="s">
        <v>39</v>
      </c>
      <c r="E379" t="s">
        <v>28</v>
      </c>
      <c r="F379">
        <v>38</v>
      </c>
      <c r="G379" t="s">
        <v>121</v>
      </c>
      <c r="H379" s="18">
        <v>42999</v>
      </c>
      <c r="I379">
        <v>119647</v>
      </c>
      <c r="J379">
        <v>0.09</v>
      </c>
      <c r="K379">
        <v>10768.23</v>
      </c>
      <c r="L379" t="s">
        <v>59</v>
      </c>
      <c r="M379" t="s">
        <v>76</v>
      </c>
      <c r="N379" s="18"/>
    </row>
    <row r="380" spans="1:14" x14ac:dyDescent="0.25">
      <c r="A380" t="s">
        <v>1836</v>
      </c>
      <c r="B380" t="s">
        <v>67</v>
      </c>
      <c r="C380" t="s">
        <v>26</v>
      </c>
      <c r="D380" t="s">
        <v>27</v>
      </c>
      <c r="E380" t="s">
        <v>33</v>
      </c>
      <c r="F380">
        <v>62</v>
      </c>
      <c r="G380" t="s">
        <v>118</v>
      </c>
      <c r="H380" s="18">
        <v>36996</v>
      </c>
      <c r="I380">
        <v>80921</v>
      </c>
      <c r="J380">
        <v>0</v>
      </c>
      <c r="K380">
        <v>0</v>
      </c>
      <c r="L380" t="s">
        <v>29</v>
      </c>
      <c r="M380" t="s">
        <v>58</v>
      </c>
      <c r="N380" s="18"/>
    </row>
    <row r="381" spans="1:14" x14ac:dyDescent="0.25">
      <c r="A381" t="s">
        <v>1837</v>
      </c>
      <c r="B381" t="s">
        <v>63</v>
      </c>
      <c r="C381" t="s">
        <v>54</v>
      </c>
      <c r="D381" t="s">
        <v>27</v>
      </c>
      <c r="E381" t="s">
        <v>28</v>
      </c>
      <c r="F381">
        <v>61</v>
      </c>
      <c r="G381" t="s">
        <v>118</v>
      </c>
      <c r="H381" s="18">
        <v>40193</v>
      </c>
      <c r="I381">
        <v>98110</v>
      </c>
      <c r="J381">
        <v>0.13</v>
      </c>
      <c r="K381">
        <v>12754.300000000001</v>
      </c>
      <c r="L381" t="s">
        <v>29</v>
      </c>
      <c r="M381" t="s">
        <v>40</v>
      </c>
      <c r="N381" s="18"/>
    </row>
    <row r="382" spans="1:14" x14ac:dyDescent="0.25">
      <c r="A382" t="s">
        <v>1838</v>
      </c>
      <c r="B382" t="s">
        <v>78</v>
      </c>
      <c r="C382" t="s">
        <v>26</v>
      </c>
      <c r="D382" t="s">
        <v>39</v>
      </c>
      <c r="E382" t="s">
        <v>28</v>
      </c>
      <c r="F382">
        <v>59</v>
      </c>
      <c r="G382" t="s">
        <v>118</v>
      </c>
      <c r="H382" s="18">
        <v>43028</v>
      </c>
      <c r="I382">
        <v>86831</v>
      </c>
      <c r="J382">
        <v>0</v>
      </c>
      <c r="K382">
        <v>0</v>
      </c>
      <c r="L382" t="s">
        <v>29</v>
      </c>
      <c r="M382" t="s">
        <v>43</v>
      </c>
      <c r="N382" s="18"/>
    </row>
    <row r="383" spans="1:14" x14ac:dyDescent="0.25">
      <c r="A383" t="s">
        <v>1839</v>
      </c>
      <c r="B383" t="s">
        <v>31</v>
      </c>
      <c r="C383" t="s">
        <v>26</v>
      </c>
      <c r="D383" t="s">
        <v>39</v>
      </c>
      <c r="E383" t="s">
        <v>28</v>
      </c>
      <c r="F383">
        <v>49</v>
      </c>
      <c r="G383" t="s">
        <v>119</v>
      </c>
      <c r="H383" s="18">
        <v>40431</v>
      </c>
      <c r="I383">
        <v>72826</v>
      </c>
      <c r="J383">
        <v>0</v>
      </c>
      <c r="K383">
        <v>0</v>
      </c>
      <c r="L383" t="s">
        <v>34</v>
      </c>
      <c r="M383" t="s">
        <v>64</v>
      </c>
      <c r="N383" s="18"/>
    </row>
    <row r="384" spans="1:14" x14ac:dyDescent="0.25">
      <c r="A384" t="s">
        <v>1840</v>
      </c>
      <c r="B384" t="s">
        <v>37</v>
      </c>
      <c r="C384" t="s">
        <v>57</v>
      </c>
      <c r="D384" t="s">
        <v>32</v>
      </c>
      <c r="E384" t="s">
        <v>28</v>
      </c>
      <c r="F384">
        <v>64</v>
      </c>
      <c r="G384" t="s">
        <v>118</v>
      </c>
      <c r="H384" s="18">
        <v>40588</v>
      </c>
      <c r="I384">
        <v>171217</v>
      </c>
      <c r="J384">
        <v>0.19</v>
      </c>
      <c r="K384">
        <v>32531.23</v>
      </c>
      <c r="L384" t="s">
        <v>29</v>
      </c>
      <c r="M384" t="s">
        <v>30</v>
      </c>
      <c r="N384" s="18"/>
    </row>
    <row r="385" spans="1:14" x14ac:dyDescent="0.25">
      <c r="A385" t="s">
        <v>1841</v>
      </c>
      <c r="B385" t="s">
        <v>47</v>
      </c>
      <c r="C385" t="s">
        <v>26</v>
      </c>
      <c r="D385" t="s">
        <v>27</v>
      </c>
      <c r="E385" t="s">
        <v>28</v>
      </c>
      <c r="F385">
        <v>57</v>
      </c>
      <c r="G385" t="s">
        <v>118</v>
      </c>
      <c r="H385" s="18">
        <v>43948</v>
      </c>
      <c r="I385">
        <v>103058</v>
      </c>
      <c r="J385">
        <v>7.0000000000000007E-2</v>
      </c>
      <c r="K385">
        <v>7214.06</v>
      </c>
      <c r="L385" t="s">
        <v>29</v>
      </c>
      <c r="M385" t="s">
        <v>58</v>
      </c>
      <c r="N385" s="18"/>
    </row>
    <row r="386" spans="1:14" x14ac:dyDescent="0.25">
      <c r="A386" t="s">
        <v>1842</v>
      </c>
      <c r="B386" t="s">
        <v>47</v>
      </c>
      <c r="C386" t="s">
        <v>45</v>
      </c>
      <c r="D386" t="s">
        <v>39</v>
      </c>
      <c r="E386" t="s">
        <v>33</v>
      </c>
      <c r="F386">
        <v>52</v>
      </c>
      <c r="G386" t="s">
        <v>119</v>
      </c>
      <c r="H386" s="18">
        <v>41858</v>
      </c>
      <c r="I386">
        <v>117062</v>
      </c>
      <c r="J386">
        <v>7.0000000000000007E-2</v>
      </c>
      <c r="K386">
        <v>8194.34</v>
      </c>
      <c r="L386" t="s">
        <v>29</v>
      </c>
      <c r="M386" t="s">
        <v>43</v>
      </c>
      <c r="N386" s="18"/>
    </row>
    <row r="387" spans="1:14" x14ac:dyDescent="0.25">
      <c r="A387" t="s">
        <v>1843</v>
      </c>
      <c r="B387" t="s">
        <v>25</v>
      </c>
      <c r="C387" t="s">
        <v>50</v>
      </c>
      <c r="D387" t="s">
        <v>39</v>
      </c>
      <c r="E387" t="s">
        <v>33</v>
      </c>
      <c r="F387">
        <v>40</v>
      </c>
      <c r="G387" t="s">
        <v>121</v>
      </c>
      <c r="H387" s="18">
        <v>43488</v>
      </c>
      <c r="I387">
        <v>159031</v>
      </c>
      <c r="J387">
        <v>0.1</v>
      </c>
      <c r="K387">
        <v>15903.1</v>
      </c>
      <c r="L387" t="s">
        <v>29</v>
      </c>
      <c r="M387" t="s">
        <v>49</v>
      </c>
      <c r="N387" s="18"/>
    </row>
    <row r="388" spans="1:14" x14ac:dyDescent="0.25">
      <c r="A388" t="s">
        <v>1844</v>
      </c>
      <c r="B388" t="s">
        <v>25</v>
      </c>
      <c r="C388" t="s">
        <v>26</v>
      </c>
      <c r="D388" t="s">
        <v>27</v>
      </c>
      <c r="E388" t="s">
        <v>28</v>
      </c>
      <c r="F388">
        <v>49</v>
      </c>
      <c r="G388" t="s">
        <v>119</v>
      </c>
      <c r="H388" s="18">
        <v>38000</v>
      </c>
      <c r="I388">
        <v>125086</v>
      </c>
      <c r="J388">
        <v>0.1</v>
      </c>
      <c r="K388">
        <v>12508.6</v>
      </c>
      <c r="L388" t="s">
        <v>59</v>
      </c>
      <c r="M388" t="s">
        <v>76</v>
      </c>
      <c r="N388" s="18"/>
    </row>
    <row r="389" spans="1:14" x14ac:dyDescent="0.25">
      <c r="A389" t="s">
        <v>1845</v>
      </c>
      <c r="B389" t="s">
        <v>82</v>
      </c>
      <c r="C389" t="s">
        <v>26</v>
      </c>
      <c r="D389" t="s">
        <v>39</v>
      </c>
      <c r="E389" t="s">
        <v>33</v>
      </c>
      <c r="F389">
        <v>43</v>
      </c>
      <c r="G389" t="s">
        <v>121</v>
      </c>
      <c r="H389" s="18">
        <v>42467</v>
      </c>
      <c r="I389">
        <v>67976</v>
      </c>
      <c r="J389">
        <v>0</v>
      </c>
      <c r="K389">
        <v>0</v>
      </c>
      <c r="L389" t="s">
        <v>29</v>
      </c>
      <c r="M389" t="s">
        <v>30</v>
      </c>
      <c r="N389" s="18"/>
    </row>
    <row r="390" spans="1:14" x14ac:dyDescent="0.25">
      <c r="A390" t="s">
        <v>1846</v>
      </c>
      <c r="B390" t="s">
        <v>66</v>
      </c>
      <c r="C390" t="s">
        <v>38</v>
      </c>
      <c r="D390" t="s">
        <v>39</v>
      </c>
      <c r="E390" t="s">
        <v>33</v>
      </c>
      <c r="F390">
        <v>31</v>
      </c>
      <c r="G390" t="s">
        <v>120</v>
      </c>
      <c r="H390" s="18">
        <v>44308</v>
      </c>
      <c r="I390">
        <v>74215</v>
      </c>
      <c r="J390">
        <v>0</v>
      </c>
      <c r="K390">
        <v>0</v>
      </c>
      <c r="L390" t="s">
        <v>29</v>
      </c>
      <c r="M390" t="s">
        <v>43</v>
      </c>
      <c r="N390" s="18"/>
    </row>
    <row r="391" spans="1:14" x14ac:dyDescent="0.25">
      <c r="A391" t="s">
        <v>1847</v>
      </c>
      <c r="B391" t="s">
        <v>37</v>
      </c>
      <c r="C391" t="s">
        <v>50</v>
      </c>
      <c r="D391" t="s">
        <v>32</v>
      </c>
      <c r="E391" t="s">
        <v>33</v>
      </c>
      <c r="F391">
        <v>55</v>
      </c>
      <c r="G391" t="s">
        <v>118</v>
      </c>
      <c r="H391" s="18">
        <v>40340</v>
      </c>
      <c r="I391">
        <v>187389</v>
      </c>
      <c r="J391">
        <v>0.25</v>
      </c>
      <c r="K391">
        <v>46847.25</v>
      </c>
      <c r="L391" t="s">
        <v>34</v>
      </c>
      <c r="M391" t="s">
        <v>68</v>
      </c>
      <c r="N391" s="18"/>
    </row>
    <row r="392" spans="1:14" x14ac:dyDescent="0.25">
      <c r="A392" t="s">
        <v>1848</v>
      </c>
      <c r="B392" t="s">
        <v>25</v>
      </c>
      <c r="C392" t="s">
        <v>52</v>
      </c>
      <c r="D392" t="s">
        <v>39</v>
      </c>
      <c r="E392" t="s">
        <v>28</v>
      </c>
      <c r="F392">
        <v>41</v>
      </c>
      <c r="G392" t="s">
        <v>121</v>
      </c>
      <c r="H392" s="18">
        <v>39747</v>
      </c>
      <c r="I392">
        <v>131841</v>
      </c>
      <c r="J392">
        <v>0.13</v>
      </c>
      <c r="K392">
        <v>17139.330000000002</v>
      </c>
      <c r="L392" t="s">
        <v>29</v>
      </c>
      <c r="M392" t="s">
        <v>58</v>
      </c>
      <c r="N392" s="18"/>
    </row>
    <row r="393" spans="1:14" x14ac:dyDescent="0.25">
      <c r="A393" t="s">
        <v>1849</v>
      </c>
      <c r="B393" t="s">
        <v>42</v>
      </c>
      <c r="C393" t="s">
        <v>50</v>
      </c>
      <c r="D393" t="s">
        <v>27</v>
      </c>
      <c r="E393" t="s">
        <v>33</v>
      </c>
      <c r="F393">
        <v>34</v>
      </c>
      <c r="G393" t="s">
        <v>120</v>
      </c>
      <c r="H393" s="18">
        <v>40750</v>
      </c>
      <c r="I393">
        <v>97231</v>
      </c>
      <c r="J393">
        <v>0</v>
      </c>
      <c r="K393">
        <v>0</v>
      </c>
      <c r="L393" t="s">
        <v>34</v>
      </c>
      <c r="M393" t="s">
        <v>64</v>
      </c>
      <c r="N393" s="18"/>
    </row>
    <row r="394" spans="1:14" x14ac:dyDescent="0.25">
      <c r="A394" t="s">
        <v>1850</v>
      </c>
      <c r="B394" t="s">
        <v>25</v>
      </c>
      <c r="C394" t="s">
        <v>38</v>
      </c>
      <c r="D394" t="s">
        <v>46</v>
      </c>
      <c r="E394" t="s">
        <v>28</v>
      </c>
      <c r="F394">
        <v>41</v>
      </c>
      <c r="G394" t="s">
        <v>121</v>
      </c>
      <c r="H394" s="18">
        <v>38060</v>
      </c>
      <c r="I394">
        <v>155004</v>
      </c>
      <c r="J394">
        <v>0.12</v>
      </c>
      <c r="K394">
        <v>18600.48</v>
      </c>
      <c r="L394" t="s">
        <v>29</v>
      </c>
      <c r="M394" t="s">
        <v>51</v>
      </c>
      <c r="N394" s="18"/>
    </row>
    <row r="395" spans="1:14" x14ac:dyDescent="0.25">
      <c r="A395" t="s">
        <v>1851</v>
      </c>
      <c r="B395" t="s">
        <v>83</v>
      </c>
      <c r="C395" t="s">
        <v>26</v>
      </c>
      <c r="D395" t="s">
        <v>32</v>
      </c>
      <c r="E395" t="s">
        <v>33</v>
      </c>
      <c r="F395">
        <v>40</v>
      </c>
      <c r="G395" t="s">
        <v>121</v>
      </c>
      <c r="H395" s="18">
        <v>39293</v>
      </c>
      <c r="I395">
        <v>41859</v>
      </c>
      <c r="J395">
        <v>0</v>
      </c>
      <c r="K395">
        <v>0</v>
      </c>
      <c r="L395" t="s">
        <v>29</v>
      </c>
      <c r="M395" t="s">
        <v>30</v>
      </c>
      <c r="N395" s="18"/>
    </row>
    <row r="396" spans="1:14" x14ac:dyDescent="0.25">
      <c r="A396" t="s">
        <v>1852</v>
      </c>
      <c r="B396" t="s">
        <v>65</v>
      </c>
      <c r="C396" t="s">
        <v>26</v>
      </c>
      <c r="D396" t="s">
        <v>32</v>
      </c>
      <c r="E396" t="s">
        <v>33</v>
      </c>
      <c r="F396">
        <v>42</v>
      </c>
      <c r="G396" t="s">
        <v>121</v>
      </c>
      <c r="H396" s="18">
        <v>38984</v>
      </c>
      <c r="I396">
        <v>52733</v>
      </c>
      <c r="J396">
        <v>0</v>
      </c>
      <c r="K396">
        <v>0</v>
      </c>
      <c r="L396" t="s">
        <v>29</v>
      </c>
      <c r="M396" t="s">
        <v>40</v>
      </c>
      <c r="N396" s="18"/>
    </row>
    <row r="397" spans="1:14" x14ac:dyDescent="0.25">
      <c r="A397" t="s">
        <v>1853</v>
      </c>
      <c r="B397" t="s">
        <v>56</v>
      </c>
      <c r="C397" t="s">
        <v>52</v>
      </c>
      <c r="D397" t="s">
        <v>46</v>
      </c>
      <c r="E397" t="s">
        <v>33</v>
      </c>
      <c r="F397">
        <v>31</v>
      </c>
      <c r="G397" t="s">
        <v>120</v>
      </c>
      <c r="H397" s="18">
        <v>42250</v>
      </c>
      <c r="I397">
        <v>250953</v>
      </c>
      <c r="J397">
        <v>0.34</v>
      </c>
      <c r="K397">
        <v>85324.02</v>
      </c>
      <c r="L397" t="s">
        <v>29</v>
      </c>
      <c r="M397" t="s">
        <v>58</v>
      </c>
      <c r="N397" s="18"/>
    </row>
    <row r="398" spans="1:14" x14ac:dyDescent="0.25">
      <c r="A398" t="s">
        <v>1854</v>
      </c>
      <c r="B398" t="s">
        <v>37</v>
      </c>
      <c r="C398" t="s">
        <v>57</v>
      </c>
      <c r="D398" t="s">
        <v>27</v>
      </c>
      <c r="E398" t="s">
        <v>33</v>
      </c>
      <c r="F398">
        <v>49</v>
      </c>
      <c r="G398" t="s">
        <v>119</v>
      </c>
      <c r="H398" s="18">
        <v>36210</v>
      </c>
      <c r="I398">
        <v>191807</v>
      </c>
      <c r="J398">
        <v>0.21</v>
      </c>
      <c r="K398">
        <v>40279.47</v>
      </c>
      <c r="L398" t="s">
        <v>34</v>
      </c>
      <c r="M398" t="s">
        <v>35</v>
      </c>
      <c r="N398" s="18"/>
    </row>
    <row r="399" spans="1:14" x14ac:dyDescent="0.25">
      <c r="A399" t="s">
        <v>1855</v>
      </c>
      <c r="B399" t="s">
        <v>31</v>
      </c>
      <c r="C399" t="s">
        <v>26</v>
      </c>
      <c r="D399" t="s">
        <v>39</v>
      </c>
      <c r="E399" t="s">
        <v>33</v>
      </c>
      <c r="F399">
        <v>42</v>
      </c>
      <c r="G399" t="s">
        <v>121</v>
      </c>
      <c r="H399" s="18">
        <v>41813</v>
      </c>
      <c r="I399">
        <v>64677</v>
      </c>
      <c r="J399">
        <v>0</v>
      </c>
      <c r="K399">
        <v>0</v>
      </c>
      <c r="L399" t="s">
        <v>34</v>
      </c>
      <c r="M399" t="s">
        <v>35</v>
      </c>
      <c r="N399" s="18"/>
    </row>
    <row r="400" spans="1:14" x14ac:dyDescent="0.25">
      <c r="A400" t="s">
        <v>1856</v>
      </c>
      <c r="B400" t="s">
        <v>25</v>
      </c>
      <c r="C400" t="s">
        <v>26</v>
      </c>
      <c r="D400" t="s">
        <v>46</v>
      </c>
      <c r="E400" t="s">
        <v>33</v>
      </c>
      <c r="F400">
        <v>46</v>
      </c>
      <c r="G400" t="s">
        <v>119</v>
      </c>
      <c r="H400" s="18">
        <v>38244</v>
      </c>
      <c r="I400">
        <v>130274</v>
      </c>
      <c r="J400">
        <v>0.11</v>
      </c>
      <c r="K400">
        <v>14330.14</v>
      </c>
      <c r="L400" t="s">
        <v>29</v>
      </c>
      <c r="M400" t="s">
        <v>40</v>
      </c>
      <c r="N400" s="18"/>
    </row>
    <row r="401" spans="1:14" x14ac:dyDescent="0.25">
      <c r="A401" t="s">
        <v>1857</v>
      </c>
      <c r="B401" t="s">
        <v>78</v>
      </c>
      <c r="C401" t="s">
        <v>26</v>
      </c>
      <c r="D401" t="s">
        <v>27</v>
      </c>
      <c r="E401" t="s">
        <v>33</v>
      </c>
      <c r="F401">
        <v>37</v>
      </c>
      <c r="G401" t="s">
        <v>121</v>
      </c>
      <c r="H401" s="18">
        <v>42922</v>
      </c>
      <c r="I401">
        <v>96331</v>
      </c>
      <c r="J401">
        <v>0</v>
      </c>
      <c r="K401">
        <v>0</v>
      </c>
      <c r="L401" t="s">
        <v>34</v>
      </c>
      <c r="M401" t="s">
        <v>55</v>
      </c>
      <c r="N401" s="18"/>
    </row>
    <row r="402" spans="1:14" x14ac:dyDescent="0.25">
      <c r="A402" t="s">
        <v>1858</v>
      </c>
      <c r="B402" t="s">
        <v>25</v>
      </c>
      <c r="C402" t="s">
        <v>38</v>
      </c>
      <c r="D402" t="s">
        <v>27</v>
      </c>
      <c r="E402" t="s">
        <v>28</v>
      </c>
      <c r="F402">
        <v>51</v>
      </c>
      <c r="G402" t="s">
        <v>119</v>
      </c>
      <c r="H402" s="18">
        <v>38835</v>
      </c>
      <c r="I402">
        <v>150758</v>
      </c>
      <c r="J402">
        <v>0.13</v>
      </c>
      <c r="K402">
        <v>19598.54</v>
      </c>
      <c r="L402" t="s">
        <v>29</v>
      </c>
      <c r="M402" t="s">
        <v>40</v>
      </c>
      <c r="N402" s="18">
        <v>39310</v>
      </c>
    </row>
    <row r="403" spans="1:14" x14ac:dyDescent="0.25">
      <c r="A403" t="s">
        <v>1859</v>
      </c>
      <c r="B403" t="s">
        <v>37</v>
      </c>
      <c r="C403" t="s">
        <v>54</v>
      </c>
      <c r="D403" t="s">
        <v>46</v>
      </c>
      <c r="E403" t="s">
        <v>33</v>
      </c>
      <c r="F403">
        <v>46</v>
      </c>
      <c r="G403" t="s">
        <v>119</v>
      </c>
      <c r="H403" s="18">
        <v>41839</v>
      </c>
      <c r="I403">
        <v>173629</v>
      </c>
      <c r="J403">
        <v>0.21</v>
      </c>
      <c r="K403">
        <v>36462.089999999997</v>
      </c>
      <c r="L403" t="s">
        <v>59</v>
      </c>
      <c r="M403" t="s">
        <v>76</v>
      </c>
      <c r="N403" s="18"/>
    </row>
    <row r="404" spans="1:14" x14ac:dyDescent="0.25">
      <c r="A404" t="s">
        <v>1860</v>
      </c>
      <c r="B404" t="s">
        <v>84</v>
      </c>
      <c r="C404" t="s">
        <v>26</v>
      </c>
      <c r="D404" t="s">
        <v>46</v>
      </c>
      <c r="E404" t="s">
        <v>33</v>
      </c>
      <c r="F404">
        <v>55</v>
      </c>
      <c r="G404" t="s">
        <v>118</v>
      </c>
      <c r="H404" s="18">
        <v>35919</v>
      </c>
      <c r="I404">
        <v>62174</v>
      </c>
      <c r="J404">
        <v>0</v>
      </c>
      <c r="K404">
        <v>0</v>
      </c>
      <c r="L404" t="s">
        <v>29</v>
      </c>
      <c r="M404" t="s">
        <v>40</v>
      </c>
      <c r="N404" s="18"/>
    </row>
    <row r="405" spans="1:14" x14ac:dyDescent="0.25">
      <c r="A405" t="s">
        <v>1861</v>
      </c>
      <c r="B405" t="s">
        <v>66</v>
      </c>
      <c r="C405" t="s">
        <v>50</v>
      </c>
      <c r="D405" t="s">
        <v>32</v>
      </c>
      <c r="E405" t="s">
        <v>33</v>
      </c>
      <c r="F405">
        <v>43</v>
      </c>
      <c r="G405" t="s">
        <v>121</v>
      </c>
      <c r="H405" s="18">
        <v>43028</v>
      </c>
      <c r="I405">
        <v>56555</v>
      </c>
      <c r="J405">
        <v>0</v>
      </c>
      <c r="K405">
        <v>0</v>
      </c>
      <c r="L405" t="s">
        <v>29</v>
      </c>
      <c r="M405" t="s">
        <v>43</v>
      </c>
      <c r="N405" s="18"/>
    </row>
    <row r="406" spans="1:14" x14ac:dyDescent="0.25">
      <c r="A406" t="s">
        <v>1862</v>
      </c>
      <c r="B406" t="s">
        <v>66</v>
      </c>
      <c r="C406" t="s">
        <v>57</v>
      </c>
      <c r="D406" t="s">
        <v>32</v>
      </c>
      <c r="E406" t="s">
        <v>33</v>
      </c>
      <c r="F406">
        <v>48</v>
      </c>
      <c r="G406" t="s">
        <v>119</v>
      </c>
      <c r="H406" s="18">
        <v>38623</v>
      </c>
      <c r="I406">
        <v>74655</v>
      </c>
      <c r="J406">
        <v>0</v>
      </c>
      <c r="K406">
        <v>0</v>
      </c>
      <c r="L406" t="s">
        <v>29</v>
      </c>
      <c r="M406" t="s">
        <v>51</v>
      </c>
      <c r="N406" s="18"/>
    </row>
    <row r="407" spans="1:14" x14ac:dyDescent="0.25">
      <c r="A407" t="s">
        <v>1863</v>
      </c>
      <c r="B407" t="s">
        <v>82</v>
      </c>
      <c r="C407" t="s">
        <v>26</v>
      </c>
      <c r="D407" t="s">
        <v>46</v>
      </c>
      <c r="E407" t="s">
        <v>33</v>
      </c>
      <c r="F407">
        <v>48</v>
      </c>
      <c r="G407" t="s">
        <v>119</v>
      </c>
      <c r="H407" s="18">
        <v>37844</v>
      </c>
      <c r="I407">
        <v>93017</v>
      </c>
      <c r="J407">
        <v>0</v>
      </c>
      <c r="K407">
        <v>0</v>
      </c>
      <c r="L407" t="s">
        <v>29</v>
      </c>
      <c r="M407" t="s">
        <v>30</v>
      </c>
      <c r="N407" s="18"/>
    </row>
    <row r="408" spans="1:14" x14ac:dyDescent="0.25">
      <c r="A408" t="s">
        <v>1864</v>
      </c>
      <c r="B408" t="s">
        <v>42</v>
      </c>
      <c r="C408" t="s">
        <v>57</v>
      </c>
      <c r="D408" t="s">
        <v>32</v>
      </c>
      <c r="E408" t="s">
        <v>33</v>
      </c>
      <c r="F408">
        <v>51</v>
      </c>
      <c r="G408" t="s">
        <v>119</v>
      </c>
      <c r="H408" s="18">
        <v>41013</v>
      </c>
      <c r="I408">
        <v>82300</v>
      </c>
      <c r="J408">
        <v>0</v>
      </c>
      <c r="K408">
        <v>0</v>
      </c>
      <c r="L408" t="s">
        <v>34</v>
      </c>
      <c r="M408" t="s">
        <v>68</v>
      </c>
      <c r="N408" s="18"/>
    </row>
    <row r="409" spans="1:14" x14ac:dyDescent="0.25">
      <c r="A409" t="s">
        <v>1865</v>
      </c>
      <c r="B409" t="s">
        <v>72</v>
      </c>
      <c r="C409" t="s">
        <v>54</v>
      </c>
      <c r="D409" t="s">
        <v>27</v>
      </c>
      <c r="E409" t="s">
        <v>28</v>
      </c>
      <c r="F409">
        <v>46</v>
      </c>
      <c r="G409" t="s">
        <v>119</v>
      </c>
      <c r="H409" s="18">
        <v>39471</v>
      </c>
      <c r="I409">
        <v>91621</v>
      </c>
      <c r="J409">
        <v>0</v>
      </c>
      <c r="K409">
        <v>0</v>
      </c>
      <c r="L409" t="s">
        <v>29</v>
      </c>
      <c r="M409" t="s">
        <v>40</v>
      </c>
      <c r="N409" s="18"/>
    </row>
    <row r="410" spans="1:14" x14ac:dyDescent="0.25">
      <c r="A410" t="s">
        <v>1866</v>
      </c>
      <c r="B410" t="s">
        <v>42</v>
      </c>
      <c r="C410" t="s">
        <v>57</v>
      </c>
      <c r="D410" t="s">
        <v>27</v>
      </c>
      <c r="E410" t="s">
        <v>33</v>
      </c>
      <c r="F410">
        <v>33</v>
      </c>
      <c r="G410" t="s">
        <v>120</v>
      </c>
      <c r="H410" s="18">
        <v>41973</v>
      </c>
      <c r="I410">
        <v>91280</v>
      </c>
      <c r="J410">
        <v>0</v>
      </c>
      <c r="K410">
        <v>0</v>
      </c>
      <c r="L410" t="s">
        <v>29</v>
      </c>
      <c r="M410" t="s">
        <v>49</v>
      </c>
      <c r="N410" s="18"/>
    </row>
    <row r="411" spans="1:14" x14ac:dyDescent="0.25">
      <c r="A411" t="s">
        <v>1867</v>
      </c>
      <c r="B411" t="s">
        <v>74</v>
      </c>
      <c r="C411" t="s">
        <v>52</v>
      </c>
      <c r="D411" t="s">
        <v>32</v>
      </c>
      <c r="E411" t="s">
        <v>28</v>
      </c>
      <c r="F411">
        <v>42</v>
      </c>
      <c r="G411" t="s">
        <v>121</v>
      </c>
      <c r="H411" s="18">
        <v>44092</v>
      </c>
      <c r="I411">
        <v>47071</v>
      </c>
      <c r="J411">
        <v>0</v>
      </c>
      <c r="K411">
        <v>0</v>
      </c>
      <c r="L411" t="s">
        <v>29</v>
      </c>
      <c r="M411" t="s">
        <v>58</v>
      </c>
      <c r="N411" s="18"/>
    </row>
    <row r="412" spans="1:14" x14ac:dyDescent="0.25">
      <c r="A412" t="s">
        <v>1868</v>
      </c>
      <c r="B412" t="s">
        <v>85</v>
      </c>
      <c r="C412" t="s">
        <v>26</v>
      </c>
      <c r="D412" t="s">
        <v>32</v>
      </c>
      <c r="E412" t="s">
        <v>28</v>
      </c>
      <c r="F412">
        <v>55</v>
      </c>
      <c r="G412" t="s">
        <v>118</v>
      </c>
      <c r="H412" s="18">
        <v>40868</v>
      </c>
      <c r="I412">
        <v>81218</v>
      </c>
      <c r="J412">
        <v>0</v>
      </c>
      <c r="K412">
        <v>0</v>
      </c>
      <c r="L412" t="s">
        <v>29</v>
      </c>
      <c r="M412" t="s">
        <v>40</v>
      </c>
      <c r="N412" s="18"/>
    </row>
    <row r="413" spans="1:14" x14ac:dyDescent="0.25">
      <c r="A413" t="s">
        <v>1869</v>
      </c>
      <c r="B413" t="s">
        <v>56</v>
      </c>
      <c r="C413" t="s">
        <v>54</v>
      </c>
      <c r="D413" t="s">
        <v>32</v>
      </c>
      <c r="E413" t="s">
        <v>28</v>
      </c>
      <c r="F413">
        <v>50</v>
      </c>
      <c r="G413" t="s">
        <v>119</v>
      </c>
      <c r="H413" s="18">
        <v>39734</v>
      </c>
      <c r="I413">
        <v>181801</v>
      </c>
      <c r="J413">
        <v>0.4</v>
      </c>
      <c r="K413">
        <v>72720.400000000009</v>
      </c>
      <c r="L413" t="s">
        <v>34</v>
      </c>
      <c r="M413" t="s">
        <v>35</v>
      </c>
      <c r="N413" s="18">
        <v>43810</v>
      </c>
    </row>
    <row r="414" spans="1:14" x14ac:dyDescent="0.25">
      <c r="A414" t="s">
        <v>1870</v>
      </c>
      <c r="B414" t="s">
        <v>44</v>
      </c>
      <c r="C414" t="s">
        <v>45</v>
      </c>
      <c r="D414" t="s">
        <v>32</v>
      </c>
      <c r="E414" t="s">
        <v>28</v>
      </c>
      <c r="F414">
        <v>26</v>
      </c>
      <c r="G414" t="s">
        <v>120</v>
      </c>
      <c r="H414" s="18">
        <v>44521</v>
      </c>
      <c r="I414">
        <v>63137</v>
      </c>
      <c r="J414">
        <v>0</v>
      </c>
      <c r="K414">
        <v>0</v>
      </c>
      <c r="L414" t="s">
        <v>29</v>
      </c>
      <c r="M414" t="s">
        <v>40</v>
      </c>
      <c r="N414" s="18"/>
    </row>
    <row r="415" spans="1:14" x14ac:dyDescent="0.25">
      <c r="A415" t="s">
        <v>1871</v>
      </c>
      <c r="B415" t="s">
        <v>56</v>
      </c>
      <c r="C415" t="s">
        <v>54</v>
      </c>
      <c r="D415" t="s">
        <v>32</v>
      </c>
      <c r="E415" t="s">
        <v>28</v>
      </c>
      <c r="F415">
        <v>55</v>
      </c>
      <c r="G415" t="s">
        <v>118</v>
      </c>
      <c r="H415" s="18">
        <v>43345</v>
      </c>
      <c r="I415">
        <v>221465</v>
      </c>
      <c r="J415">
        <v>0.34</v>
      </c>
      <c r="K415">
        <v>75298.100000000006</v>
      </c>
      <c r="L415" t="s">
        <v>34</v>
      </c>
      <c r="M415" t="s">
        <v>68</v>
      </c>
      <c r="N415" s="18"/>
    </row>
    <row r="416" spans="1:14" x14ac:dyDescent="0.25">
      <c r="A416" t="s">
        <v>1872</v>
      </c>
      <c r="B416" t="s">
        <v>62</v>
      </c>
      <c r="C416" t="s">
        <v>54</v>
      </c>
      <c r="D416" t="s">
        <v>27</v>
      </c>
      <c r="E416" t="s">
        <v>28</v>
      </c>
      <c r="F416">
        <v>50</v>
      </c>
      <c r="G416" t="s">
        <v>119</v>
      </c>
      <c r="H416" s="18">
        <v>41404</v>
      </c>
      <c r="I416">
        <v>79388</v>
      </c>
      <c r="J416">
        <v>0</v>
      </c>
      <c r="K416">
        <v>0</v>
      </c>
      <c r="L416" t="s">
        <v>29</v>
      </c>
      <c r="M416" t="s">
        <v>51</v>
      </c>
      <c r="N416" s="18">
        <v>43681</v>
      </c>
    </row>
    <row r="417" spans="1:14" x14ac:dyDescent="0.25">
      <c r="A417" t="s">
        <v>1873</v>
      </c>
      <c r="B417" t="s">
        <v>84</v>
      </c>
      <c r="C417" t="s">
        <v>26</v>
      </c>
      <c r="D417" t="s">
        <v>32</v>
      </c>
      <c r="E417" t="s">
        <v>28</v>
      </c>
      <c r="F417">
        <v>28</v>
      </c>
      <c r="G417" t="s">
        <v>120</v>
      </c>
      <c r="H417" s="18">
        <v>43122</v>
      </c>
      <c r="I417">
        <v>68176</v>
      </c>
      <c r="J417">
        <v>0</v>
      </c>
      <c r="K417">
        <v>0</v>
      </c>
      <c r="L417" t="s">
        <v>29</v>
      </c>
      <c r="M417" t="s">
        <v>30</v>
      </c>
      <c r="N417" s="18"/>
    </row>
    <row r="418" spans="1:14" x14ac:dyDescent="0.25">
      <c r="A418" t="s">
        <v>1874</v>
      </c>
      <c r="B418" t="s">
        <v>25</v>
      </c>
      <c r="C418" t="s">
        <v>38</v>
      </c>
      <c r="D418" t="s">
        <v>27</v>
      </c>
      <c r="E418" t="s">
        <v>28</v>
      </c>
      <c r="F418">
        <v>39</v>
      </c>
      <c r="G418" t="s">
        <v>121</v>
      </c>
      <c r="H418" s="18">
        <v>43756</v>
      </c>
      <c r="I418">
        <v>122829</v>
      </c>
      <c r="J418">
        <v>0.11</v>
      </c>
      <c r="K418">
        <v>13511.19</v>
      </c>
      <c r="L418" t="s">
        <v>29</v>
      </c>
      <c r="M418" t="s">
        <v>40</v>
      </c>
      <c r="N418" s="18"/>
    </row>
    <row r="419" spans="1:14" x14ac:dyDescent="0.25">
      <c r="A419" t="s">
        <v>1875</v>
      </c>
      <c r="B419" t="s">
        <v>25</v>
      </c>
      <c r="C419" t="s">
        <v>57</v>
      </c>
      <c r="D419" t="s">
        <v>39</v>
      </c>
      <c r="E419" t="s">
        <v>28</v>
      </c>
      <c r="F419">
        <v>31</v>
      </c>
      <c r="G419" t="s">
        <v>120</v>
      </c>
      <c r="H419" s="18">
        <v>43695</v>
      </c>
      <c r="I419">
        <v>126353</v>
      </c>
      <c r="J419">
        <v>0.12</v>
      </c>
      <c r="K419">
        <v>15162.359999999999</v>
      </c>
      <c r="L419" t="s">
        <v>34</v>
      </c>
      <c r="M419" t="s">
        <v>55</v>
      </c>
      <c r="N419" s="18"/>
    </row>
    <row r="420" spans="1:14" x14ac:dyDescent="0.25">
      <c r="A420" t="s">
        <v>1876</v>
      </c>
      <c r="B420" t="s">
        <v>37</v>
      </c>
      <c r="C420" t="s">
        <v>50</v>
      </c>
      <c r="D420" t="s">
        <v>39</v>
      </c>
      <c r="E420" t="s">
        <v>28</v>
      </c>
      <c r="F420">
        <v>55</v>
      </c>
      <c r="G420" t="s">
        <v>118</v>
      </c>
      <c r="H420" s="18">
        <v>40468</v>
      </c>
      <c r="I420">
        <v>188727</v>
      </c>
      <c r="J420">
        <v>0.23</v>
      </c>
      <c r="K420">
        <v>43407.21</v>
      </c>
      <c r="L420" t="s">
        <v>34</v>
      </c>
      <c r="M420" t="s">
        <v>68</v>
      </c>
      <c r="N420" s="18"/>
    </row>
    <row r="421" spans="1:14" x14ac:dyDescent="0.25">
      <c r="A421" t="s">
        <v>1877</v>
      </c>
      <c r="B421" t="s">
        <v>42</v>
      </c>
      <c r="C421" t="s">
        <v>45</v>
      </c>
      <c r="D421" t="s">
        <v>27</v>
      </c>
      <c r="E421" t="s">
        <v>33</v>
      </c>
      <c r="F421">
        <v>52</v>
      </c>
      <c r="G421" t="s">
        <v>119</v>
      </c>
      <c r="H421" s="18">
        <v>34383</v>
      </c>
      <c r="I421">
        <v>99624</v>
      </c>
      <c r="J421">
        <v>0</v>
      </c>
      <c r="K421">
        <v>0</v>
      </c>
      <c r="L421" t="s">
        <v>29</v>
      </c>
      <c r="M421" t="s">
        <v>30</v>
      </c>
      <c r="N421" s="18"/>
    </row>
    <row r="422" spans="1:14" x14ac:dyDescent="0.25">
      <c r="A422" t="s">
        <v>1878</v>
      </c>
      <c r="B422" t="s">
        <v>47</v>
      </c>
      <c r="C422" t="s">
        <v>45</v>
      </c>
      <c r="D422" t="s">
        <v>39</v>
      </c>
      <c r="E422" t="s">
        <v>28</v>
      </c>
      <c r="F422">
        <v>55</v>
      </c>
      <c r="G422" t="s">
        <v>118</v>
      </c>
      <c r="H422" s="18">
        <v>41202</v>
      </c>
      <c r="I422">
        <v>108686</v>
      </c>
      <c r="J422">
        <v>0.06</v>
      </c>
      <c r="K422">
        <v>6521.16</v>
      </c>
      <c r="L422" t="s">
        <v>29</v>
      </c>
      <c r="M422" t="s">
        <v>58</v>
      </c>
      <c r="N422" s="18"/>
    </row>
    <row r="423" spans="1:14" x14ac:dyDescent="0.25">
      <c r="A423" t="s">
        <v>1879</v>
      </c>
      <c r="B423" t="s">
        <v>48</v>
      </c>
      <c r="C423" t="s">
        <v>50</v>
      </c>
      <c r="D423" t="s">
        <v>46</v>
      </c>
      <c r="E423" t="s">
        <v>28</v>
      </c>
      <c r="F423">
        <v>56</v>
      </c>
      <c r="G423" t="s">
        <v>118</v>
      </c>
      <c r="H423" s="18">
        <v>34802</v>
      </c>
      <c r="I423">
        <v>50857</v>
      </c>
      <c r="J423">
        <v>0</v>
      </c>
      <c r="K423">
        <v>0</v>
      </c>
      <c r="L423" t="s">
        <v>59</v>
      </c>
      <c r="M423" t="s">
        <v>60</v>
      </c>
      <c r="N423" s="18"/>
    </row>
    <row r="424" spans="1:14" x14ac:dyDescent="0.25">
      <c r="A424" t="s">
        <v>1880</v>
      </c>
      <c r="B424" t="s">
        <v>73</v>
      </c>
      <c r="C424" t="s">
        <v>54</v>
      </c>
      <c r="D424" t="s">
        <v>32</v>
      </c>
      <c r="E424" t="s">
        <v>33</v>
      </c>
      <c r="F424">
        <v>47</v>
      </c>
      <c r="G424" t="s">
        <v>119</v>
      </c>
      <c r="H424" s="18">
        <v>36893</v>
      </c>
      <c r="I424">
        <v>120628</v>
      </c>
      <c r="J424">
        <v>0</v>
      </c>
      <c r="K424">
        <v>0</v>
      </c>
      <c r="L424" t="s">
        <v>29</v>
      </c>
      <c r="M424" t="s">
        <v>40</v>
      </c>
      <c r="N424" s="18"/>
    </row>
    <row r="425" spans="1:14" x14ac:dyDescent="0.25">
      <c r="A425" t="s">
        <v>1881</v>
      </c>
      <c r="B425" t="s">
        <v>37</v>
      </c>
      <c r="C425" t="s">
        <v>45</v>
      </c>
      <c r="D425" t="s">
        <v>39</v>
      </c>
      <c r="E425" t="s">
        <v>28</v>
      </c>
      <c r="F425">
        <v>63</v>
      </c>
      <c r="G425" t="s">
        <v>118</v>
      </c>
      <c r="H425" s="18">
        <v>43996</v>
      </c>
      <c r="I425">
        <v>181216</v>
      </c>
      <c r="J425">
        <v>0.27</v>
      </c>
      <c r="K425">
        <v>48928.32</v>
      </c>
      <c r="L425" t="s">
        <v>29</v>
      </c>
      <c r="M425" t="s">
        <v>58</v>
      </c>
      <c r="N425" s="18"/>
    </row>
    <row r="426" spans="1:14" x14ac:dyDescent="0.25">
      <c r="A426" t="s">
        <v>1882</v>
      </c>
      <c r="B426" t="s">
        <v>48</v>
      </c>
      <c r="C426" t="s">
        <v>38</v>
      </c>
      <c r="D426" t="s">
        <v>46</v>
      </c>
      <c r="E426" t="s">
        <v>28</v>
      </c>
      <c r="F426">
        <v>63</v>
      </c>
      <c r="G426" t="s">
        <v>118</v>
      </c>
      <c r="H426" s="18">
        <v>40984</v>
      </c>
      <c r="I426">
        <v>46081</v>
      </c>
      <c r="J426">
        <v>0</v>
      </c>
      <c r="K426">
        <v>0</v>
      </c>
      <c r="L426" t="s">
        <v>29</v>
      </c>
      <c r="M426" t="s">
        <v>40</v>
      </c>
      <c r="N426" s="18"/>
    </row>
    <row r="427" spans="1:14" x14ac:dyDescent="0.25">
      <c r="A427" t="s">
        <v>1883</v>
      </c>
      <c r="B427" t="s">
        <v>25</v>
      </c>
      <c r="C427" t="s">
        <v>50</v>
      </c>
      <c r="D427" t="s">
        <v>46</v>
      </c>
      <c r="E427" t="s">
        <v>28</v>
      </c>
      <c r="F427">
        <v>55</v>
      </c>
      <c r="G427" t="s">
        <v>118</v>
      </c>
      <c r="H427" s="18">
        <v>38135</v>
      </c>
      <c r="I427">
        <v>159885</v>
      </c>
      <c r="J427">
        <v>0.12</v>
      </c>
      <c r="K427">
        <v>19186.2</v>
      </c>
      <c r="L427" t="s">
        <v>29</v>
      </c>
      <c r="M427" t="s">
        <v>58</v>
      </c>
      <c r="N427" s="18"/>
    </row>
    <row r="428" spans="1:14" x14ac:dyDescent="0.25">
      <c r="A428" t="s">
        <v>1884</v>
      </c>
      <c r="B428" t="s">
        <v>37</v>
      </c>
      <c r="C428" t="s">
        <v>45</v>
      </c>
      <c r="D428" t="s">
        <v>32</v>
      </c>
      <c r="E428" t="s">
        <v>28</v>
      </c>
      <c r="F428">
        <v>55</v>
      </c>
      <c r="G428" t="s">
        <v>118</v>
      </c>
      <c r="H428" s="18">
        <v>35001</v>
      </c>
      <c r="I428">
        <v>153271</v>
      </c>
      <c r="J428">
        <v>0.15</v>
      </c>
      <c r="K428">
        <v>22990.649999999998</v>
      </c>
      <c r="L428" t="s">
        <v>29</v>
      </c>
      <c r="M428" t="s">
        <v>51</v>
      </c>
      <c r="N428" s="18"/>
    </row>
    <row r="429" spans="1:14" x14ac:dyDescent="0.25">
      <c r="A429" t="s">
        <v>1885</v>
      </c>
      <c r="B429" t="s">
        <v>47</v>
      </c>
      <c r="C429" t="s">
        <v>52</v>
      </c>
      <c r="D429" t="s">
        <v>32</v>
      </c>
      <c r="E429" t="s">
        <v>33</v>
      </c>
      <c r="F429">
        <v>42</v>
      </c>
      <c r="G429" t="s">
        <v>121</v>
      </c>
      <c r="H429" s="18">
        <v>40159</v>
      </c>
      <c r="I429">
        <v>114242</v>
      </c>
      <c r="J429">
        <v>0.08</v>
      </c>
      <c r="K429">
        <v>9139.36</v>
      </c>
      <c r="L429" t="s">
        <v>29</v>
      </c>
      <c r="M429" t="s">
        <v>43</v>
      </c>
      <c r="N429" s="18"/>
    </row>
    <row r="430" spans="1:14" x14ac:dyDescent="0.25">
      <c r="A430" t="s">
        <v>1886</v>
      </c>
      <c r="B430" t="s">
        <v>65</v>
      </c>
      <c r="C430" t="s">
        <v>26</v>
      </c>
      <c r="D430" t="s">
        <v>39</v>
      </c>
      <c r="E430" t="s">
        <v>28</v>
      </c>
      <c r="F430">
        <v>39</v>
      </c>
      <c r="G430" t="s">
        <v>121</v>
      </c>
      <c r="H430" s="18">
        <v>44153</v>
      </c>
      <c r="I430">
        <v>48415</v>
      </c>
      <c r="J430">
        <v>0</v>
      </c>
      <c r="K430">
        <v>0</v>
      </c>
      <c r="L430" t="s">
        <v>34</v>
      </c>
      <c r="M430" t="s">
        <v>55</v>
      </c>
      <c r="N430" s="18"/>
    </row>
    <row r="431" spans="1:14" x14ac:dyDescent="0.25">
      <c r="A431" t="s">
        <v>1887</v>
      </c>
      <c r="B431" t="s">
        <v>80</v>
      </c>
      <c r="C431" t="s">
        <v>54</v>
      </c>
      <c r="D431" t="s">
        <v>32</v>
      </c>
      <c r="E431" t="s">
        <v>33</v>
      </c>
      <c r="F431">
        <v>35</v>
      </c>
      <c r="G431" t="s">
        <v>121</v>
      </c>
      <c r="H431" s="18">
        <v>42878</v>
      </c>
      <c r="I431">
        <v>65566</v>
      </c>
      <c r="J431">
        <v>0</v>
      </c>
      <c r="K431">
        <v>0</v>
      </c>
      <c r="L431" t="s">
        <v>29</v>
      </c>
      <c r="M431" t="s">
        <v>30</v>
      </c>
      <c r="N431" s="18"/>
    </row>
    <row r="432" spans="1:14" x14ac:dyDescent="0.25">
      <c r="A432" t="s">
        <v>1888</v>
      </c>
      <c r="B432" t="s">
        <v>25</v>
      </c>
      <c r="C432" t="s">
        <v>57</v>
      </c>
      <c r="D432" t="s">
        <v>27</v>
      </c>
      <c r="E432" t="s">
        <v>33</v>
      </c>
      <c r="F432">
        <v>45</v>
      </c>
      <c r="G432" t="s">
        <v>119</v>
      </c>
      <c r="H432" s="18">
        <v>37014</v>
      </c>
      <c r="I432">
        <v>147752</v>
      </c>
      <c r="J432">
        <v>0.12</v>
      </c>
      <c r="K432">
        <v>17730.239999999998</v>
      </c>
      <c r="L432" t="s">
        <v>34</v>
      </c>
      <c r="M432" t="s">
        <v>55</v>
      </c>
      <c r="N432" s="18">
        <v>40903</v>
      </c>
    </row>
    <row r="433" spans="1:14" x14ac:dyDescent="0.25">
      <c r="A433" t="s">
        <v>1889</v>
      </c>
      <c r="B433" t="s">
        <v>25</v>
      </c>
      <c r="C433" t="s">
        <v>57</v>
      </c>
      <c r="D433" t="s">
        <v>32</v>
      </c>
      <c r="E433" t="s">
        <v>28</v>
      </c>
      <c r="F433">
        <v>25</v>
      </c>
      <c r="G433" t="s">
        <v>120</v>
      </c>
      <c r="H433" s="18">
        <v>44453</v>
      </c>
      <c r="I433">
        <v>136810</v>
      </c>
      <c r="J433">
        <v>0.14000000000000001</v>
      </c>
      <c r="K433">
        <v>19153.400000000001</v>
      </c>
      <c r="L433" t="s">
        <v>34</v>
      </c>
      <c r="M433" t="s">
        <v>35</v>
      </c>
      <c r="N433" s="18"/>
    </row>
    <row r="434" spans="1:14" x14ac:dyDescent="0.25">
      <c r="A434" t="s">
        <v>1890</v>
      </c>
      <c r="B434" t="s">
        <v>48</v>
      </c>
      <c r="C434" t="s">
        <v>45</v>
      </c>
      <c r="D434" t="s">
        <v>46</v>
      </c>
      <c r="E434" t="s">
        <v>33</v>
      </c>
      <c r="F434">
        <v>47</v>
      </c>
      <c r="G434" t="s">
        <v>119</v>
      </c>
      <c r="H434" s="18">
        <v>41333</v>
      </c>
      <c r="I434">
        <v>54635</v>
      </c>
      <c r="J434">
        <v>0</v>
      </c>
      <c r="K434">
        <v>0</v>
      </c>
      <c r="L434" t="s">
        <v>29</v>
      </c>
      <c r="M434" t="s">
        <v>40</v>
      </c>
      <c r="N434" s="18"/>
    </row>
    <row r="435" spans="1:14" x14ac:dyDescent="0.25">
      <c r="A435" t="s">
        <v>1891</v>
      </c>
      <c r="B435" t="s">
        <v>75</v>
      </c>
      <c r="C435" t="s">
        <v>26</v>
      </c>
      <c r="D435" t="s">
        <v>46</v>
      </c>
      <c r="E435" t="s">
        <v>28</v>
      </c>
      <c r="F435">
        <v>42</v>
      </c>
      <c r="G435" t="s">
        <v>121</v>
      </c>
      <c r="H435" s="18">
        <v>43866</v>
      </c>
      <c r="I435">
        <v>96636</v>
      </c>
      <c r="J435">
        <v>0</v>
      </c>
      <c r="K435">
        <v>0</v>
      </c>
      <c r="L435" t="s">
        <v>29</v>
      </c>
      <c r="M435" t="s">
        <v>58</v>
      </c>
      <c r="N435" s="18"/>
    </row>
    <row r="436" spans="1:14" x14ac:dyDescent="0.25">
      <c r="A436" t="s">
        <v>1892</v>
      </c>
      <c r="B436" t="s">
        <v>82</v>
      </c>
      <c r="C436" t="s">
        <v>26</v>
      </c>
      <c r="D436" t="s">
        <v>32</v>
      </c>
      <c r="E436" t="s">
        <v>28</v>
      </c>
      <c r="F436">
        <v>35</v>
      </c>
      <c r="G436" t="s">
        <v>121</v>
      </c>
      <c r="H436" s="18">
        <v>41941</v>
      </c>
      <c r="I436">
        <v>91592</v>
      </c>
      <c r="J436">
        <v>0</v>
      </c>
      <c r="K436">
        <v>0</v>
      </c>
      <c r="L436" t="s">
        <v>29</v>
      </c>
      <c r="M436" t="s">
        <v>40</v>
      </c>
      <c r="N436" s="18"/>
    </row>
    <row r="437" spans="1:14" x14ac:dyDescent="0.25">
      <c r="A437" t="s">
        <v>1893</v>
      </c>
      <c r="B437" t="s">
        <v>74</v>
      </c>
      <c r="C437" t="s">
        <v>52</v>
      </c>
      <c r="D437" t="s">
        <v>27</v>
      </c>
      <c r="E437" t="s">
        <v>28</v>
      </c>
      <c r="F437">
        <v>45</v>
      </c>
      <c r="G437" t="s">
        <v>119</v>
      </c>
      <c r="H437" s="18">
        <v>36755</v>
      </c>
      <c r="I437">
        <v>55563</v>
      </c>
      <c r="J437">
        <v>0</v>
      </c>
      <c r="K437">
        <v>0</v>
      </c>
      <c r="L437" t="s">
        <v>34</v>
      </c>
      <c r="M437" t="s">
        <v>68</v>
      </c>
      <c r="N437" s="18"/>
    </row>
    <row r="438" spans="1:14" x14ac:dyDescent="0.25">
      <c r="A438" t="s">
        <v>1894</v>
      </c>
      <c r="B438" t="s">
        <v>37</v>
      </c>
      <c r="C438" t="s">
        <v>26</v>
      </c>
      <c r="D438" t="s">
        <v>27</v>
      </c>
      <c r="E438" t="s">
        <v>28</v>
      </c>
      <c r="F438">
        <v>52</v>
      </c>
      <c r="G438" t="s">
        <v>119</v>
      </c>
      <c r="H438" s="18">
        <v>35109</v>
      </c>
      <c r="I438">
        <v>159724</v>
      </c>
      <c r="J438">
        <v>0.23</v>
      </c>
      <c r="K438">
        <v>36736.520000000004</v>
      </c>
      <c r="L438" t="s">
        <v>34</v>
      </c>
      <c r="M438" t="s">
        <v>64</v>
      </c>
      <c r="N438" s="18"/>
    </row>
    <row r="439" spans="1:14" x14ac:dyDescent="0.25">
      <c r="A439" t="s">
        <v>1895</v>
      </c>
      <c r="B439" t="s">
        <v>56</v>
      </c>
      <c r="C439" t="s">
        <v>57</v>
      </c>
      <c r="D439" t="s">
        <v>46</v>
      </c>
      <c r="E439" t="s">
        <v>33</v>
      </c>
      <c r="F439">
        <v>57</v>
      </c>
      <c r="G439" t="s">
        <v>118</v>
      </c>
      <c r="H439" s="18">
        <v>42951</v>
      </c>
      <c r="I439">
        <v>183190</v>
      </c>
      <c r="J439">
        <v>0.36</v>
      </c>
      <c r="K439">
        <v>65948.399999999994</v>
      </c>
      <c r="L439" t="s">
        <v>29</v>
      </c>
      <c r="M439" t="s">
        <v>40</v>
      </c>
      <c r="N439" s="18"/>
    </row>
    <row r="440" spans="1:14" x14ac:dyDescent="0.25">
      <c r="A440" t="s">
        <v>1896</v>
      </c>
      <c r="B440" t="s">
        <v>48</v>
      </c>
      <c r="C440" t="s">
        <v>50</v>
      </c>
      <c r="D440" t="s">
        <v>39</v>
      </c>
      <c r="E440" t="s">
        <v>28</v>
      </c>
      <c r="F440">
        <v>56</v>
      </c>
      <c r="G440" t="s">
        <v>118</v>
      </c>
      <c r="H440" s="18">
        <v>43824</v>
      </c>
      <c r="I440">
        <v>54829</v>
      </c>
      <c r="J440">
        <v>0</v>
      </c>
      <c r="K440">
        <v>0</v>
      </c>
      <c r="L440" t="s">
        <v>29</v>
      </c>
      <c r="M440" t="s">
        <v>43</v>
      </c>
      <c r="N440" s="18"/>
    </row>
    <row r="441" spans="1:14" x14ac:dyDescent="0.25">
      <c r="A441" t="s">
        <v>1897</v>
      </c>
      <c r="B441" t="s">
        <v>62</v>
      </c>
      <c r="C441" t="s">
        <v>54</v>
      </c>
      <c r="D441" t="s">
        <v>46</v>
      </c>
      <c r="E441" t="s">
        <v>33</v>
      </c>
      <c r="F441">
        <v>46</v>
      </c>
      <c r="G441" t="s">
        <v>119</v>
      </c>
      <c r="H441" s="18">
        <v>38464</v>
      </c>
      <c r="I441">
        <v>96639</v>
      </c>
      <c r="J441">
        <v>0</v>
      </c>
      <c r="K441">
        <v>0</v>
      </c>
      <c r="L441" t="s">
        <v>59</v>
      </c>
      <c r="M441" t="s">
        <v>61</v>
      </c>
      <c r="N441" s="18"/>
    </row>
    <row r="442" spans="1:14" x14ac:dyDescent="0.25">
      <c r="A442" t="s">
        <v>1898</v>
      </c>
      <c r="B442" t="s">
        <v>47</v>
      </c>
      <c r="C442" t="s">
        <v>57</v>
      </c>
      <c r="D442" t="s">
        <v>39</v>
      </c>
      <c r="E442" t="s">
        <v>28</v>
      </c>
      <c r="F442">
        <v>43</v>
      </c>
      <c r="G442" t="s">
        <v>121</v>
      </c>
      <c r="H442" s="18">
        <v>38879</v>
      </c>
      <c r="I442">
        <v>117278</v>
      </c>
      <c r="J442">
        <v>0.09</v>
      </c>
      <c r="K442">
        <v>10555.02</v>
      </c>
      <c r="L442" t="s">
        <v>29</v>
      </c>
      <c r="M442" t="s">
        <v>49</v>
      </c>
      <c r="N442" s="18"/>
    </row>
    <row r="443" spans="1:14" x14ac:dyDescent="0.25">
      <c r="A443" t="s">
        <v>1899</v>
      </c>
      <c r="B443" t="s">
        <v>41</v>
      </c>
      <c r="C443" t="s">
        <v>26</v>
      </c>
      <c r="D443" t="s">
        <v>39</v>
      </c>
      <c r="E443" t="s">
        <v>33</v>
      </c>
      <c r="F443">
        <v>53</v>
      </c>
      <c r="G443" t="s">
        <v>119</v>
      </c>
      <c r="H443" s="18">
        <v>39487</v>
      </c>
      <c r="I443">
        <v>84193</v>
      </c>
      <c r="J443">
        <v>0.09</v>
      </c>
      <c r="K443">
        <v>7577.37</v>
      </c>
      <c r="L443" t="s">
        <v>34</v>
      </c>
      <c r="M443" t="s">
        <v>55</v>
      </c>
      <c r="N443" s="18"/>
    </row>
    <row r="444" spans="1:14" x14ac:dyDescent="0.25">
      <c r="A444" t="s">
        <v>1900</v>
      </c>
      <c r="B444" t="s">
        <v>87</v>
      </c>
      <c r="C444" t="s">
        <v>26</v>
      </c>
      <c r="D444" t="s">
        <v>32</v>
      </c>
      <c r="E444" t="s">
        <v>28</v>
      </c>
      <c r="F444">
        <v>47</v>
      </c>
      <c r="G444" t="s">
        <v>119</v>
      </c>
      <c r="H444" s="18">
        <v>43309</v>
      </c>
      <c r="I444">
        <v>87806</v>
      </c>
      <c r="J444">
        <v>0</v>
      </c>
      <c r="K444">
        <v>0</v>
      </c>
      <c r="L444" t="s">
        <v>29</v>
      </c>
      <c r="M444" t="s">
        <v>30</v>
      </c>
      <c r="N444" s="18"/>
    </row>
    <row r="445" spans="1:14" x14ac:dyDescent="0.25">
      <c r="A445" t="s">
        <v>1901</v>
      </c>
      <c r="B445" t="s">
        <v>77</v>
      </c>
      <c r="C445" t="s">
        <v>54</v>
      </c>
      <c r="D445" t="s">
        <v>27</v>
      </c>
      <c r="E445" t="s">
        <v>33</v>
      </c>
      <c r="F445">
        <v>62</v>
      </c>
      <c r="G445" t="s">
        <v>118</v>
      </c>
      <c r="H445" s="18">
        <v>40820</v>
      </c>
      <c r="I445">
        <v>63959</v>
      </c>
      <c r="J445">
        <v>0</v>
      </c>
      <c r="K445">
        <v>0</v>
      </c>
      <c r="L445" t="s">
        <v>29</v>
      </c>
      <c r="M445" t="s">
        <v>30</v>
      </c>
      <c r="N445" s="18"/>
    </row>
    <row r="446" spans="1:14" x14ac:dyDescent="0.25">
      <c r="A446" t="s">
        <v>1902</v>
      </c>
      <c r="B446" t="s">
        <v>56</v>
      </c>
      <c r="C446" t="s">
        <v>26</v>
      </c>
      <c r="D446" t="s">
        <v>27</v>
      </c>
      <c r="E446" t="s">
        <v>33</v>
      </c>
      <c r="F446">
        <v>35</v>
      </c>
      <c r="G446" t="s">
        <v>121</v>
      </c>
      <c r="H446" s="18">
        <v>42166</v>
      </c>
      <c r="I446">
        <v>234723</v>
      </c>
      <c r="J446">
        <v>0.36</v>
      </c>
      <c r="K446">
        <v>84500.28</v>
      </c>
      <c r="L446" t="s">
        <v>34</v>
      </c>
      <c r="M446" t="s">
        <v>55</v>
      </c>
      <c r="N446" s="18"/>
    </row>
    <row r="447" spans="1:14" x14ac:dyDescent="0.25">
      <c r="A447" t="s">
        <v>1903</v>
      </c>
      <c r="B447" t="s">
        <v>48</v>
      </c>
      <c r="C447" t="s">
        <v>50</v>
      </c>
      <c r="D447" t="s">
        <v>46</v>
      </c>
      <c r="E447" t="s">
        <v>28</v>
      </c>
      <c r="F447">
        <v>27</v>
      </c>
      <c r="G447" t="s">
        <v>120</v>
      </c>
      <c r="H447" s="18">
        <v>43701</v>
      </c>
      <c r="I447">
        <v>50809</v>
      </c>
      <c r="J447">
        <v>0</v>
      </c>
      <c r="K447">
        <v>0</v>
      </c>
      <c r="L447" t="s">
        <v>34</v>
      </c>
      <c r="M447" t="s">
        <v>35</v>
      </c>
      <c r="N447" s="18"/>
    </row>
    <row r="448" spans="1:14" x14ac:dyDescent="0.25">
      <c r="A448" t="s">
        <v>1904</v>
      </c>
      <c r="B448" t="s">
        <v>42</v>
      </c>
      <c r="C448" t="s">
        <v>38</v>
      </c>
      <c r="D448" t="s">
        <v>32</v>
      </c>
      <c r="E448" t="s">
        <v>33</v>
      </c>
      <c r="F448">
        <v>55</v>
      </c>
      <c r="G448" t="s">
        <v>118</v>
      </c>
      <c r="H448" s="18">
        <v>37456</v>
      </c>
      <c r="I448">
        <v>77396</v>
      </c>
      <c r="J448">
        <v>0</v>
      </c>
      <c r="K448">
        <v>0</v>
      </c>
      <c r="L448" t="s">
        <v>29</v>
      </c>
      <c r="M448" t="s">
        <v>49</v>
      </c>
      <c r="N448" s="18"/>
    </row>
    <row r="449" spans="1:14" x14ac:dyDescent="0.25">
      <c r="A449" t="s">
        <v>1905</v>
      </c>
      <c r="B449" t="s">
        <v>42</v>
      </c>
      <c r="C449" t="s">
        <v>38</v>
      </c>
      <c r="D449" t="s">
        <v>39</v>
      </c>
      <c r="E449" t="s">
        <v>28</v>
      </c>
      <c r="F449">
        <v>63</v>
      </c>
      <c r="G449" t="s">
        <v>118</v>
      </c>
      <c r="H449" s="18">
        <v>36525</v>
      </c>
      <c r="I449">
        <v>89523</v>
      </c>
      <c r="J449">
        <v>0</v>
      </c>
      <c r="K449">
        <v>0</v>
      </c>
      <c r="L449" t="s">
        <v>29</v>
      </c>
      <c r="M449" t="s">
        <v>43</v>
      </c>
      <c r="N449" s="18"/>
    </row>
    <row r="450" spans="1:14" x14ac:dyDescent="0.25">
      <c r="A450" t="s">
        <v>1906</v>
      </c>
      <c r="B450" t="s">
        <v>75</v>
      </c>
      <c r="C450" t="s">
        <v>26</v>
      </c>
      <c r="D450" t="s">
        <v>46</v>
      </c>
      <c r="E450" t="s">
        <v>28</v>
      </c>
      <c r="F450">
        <v>53</v>
      </c>
      <c r="G450" t="s">
        <v>119</v>
      </c>
      <c r="H450" s="18">
        <v>40744</v>
      </c>
      <c r="I450">
        <v>86173</v>
      </c>
      <c r="J450">
        <v>0</v>
      </c>
      <c r="K450">
        <v>0</v>
      </c>
      <c r="L450" t="s">
        <v>34</v>
      </c>
      <c r="M450" t="s">
        <v>35</v>
      </c>
      <c r="N450" s="18"/>
    </row>
    <row r="451" spans="1:14" x14ac:dyDescent="0.25">
      <c r="A451" t="s">
        <v>1907</v>
      </c>
      <c r="B451" t="s">
        <v>56</v>
      </c>
      <c r="C451" t="s">
        <v>45</v>
      </c>
      <c r="D451" t="s">
        <v>32</v>
      </c>
      <c r="E451" t="s">
        <v>28</v>
      </c>
      <c r="F451">
        <v>54</v>
      </c>
      <c r="G451" t="s">
        <v>119</v>
      </c>
      <c r="H451" s="18">
        <v>36757</v>
      </c>
      <c r="I451">
        <v>222224</v>
      </c>
      <c r="J451">
        <v>0.38</v>
      </c>
      <c r="K451">
        <v>84445.119999999995</v>
      </c>
      <c r="L451" t="s">
        <v>29</v>
      </c>
      <c r="M451" t="s">
        <v>58</v>
      </c>
      <c r="N451" s="18"/>
    </row>
    <row r="452" spans="1:14" x14ac:dyDescent="0.25">
      <c r="A452" t="s">
        <v>1908</v>
      </c>
      <c r="B452" t="s">
        <v>25</v>
      </c>
      <c r="C452" t="s">
        <v>38</v>
      </c>
      <c r="D452" t="s">
        <v>27</v>
      </c>
      <c r="E452" t="s">
        <v>33</v>
      </c>
      <c r="F452">
        <v>43</v>
      </c>
      <c r="G452" t="s">
        <v>121</v>
      </c>
      <c r="H452" s="18">
        <v>44303</v>
      </c>
      <c r="I452">
        <v>146140</v>
      </c>
      <c r="J452">
        <v>0.15</v>
      </c>
      <c r="K452">
        <v>21921</v>
      </c>
      <c r="L452" t="s">
        <v>29</v>
      </c>
      <c r="M452" t="s">
        <v>30</v>
      </c>
      <c r="N452" s="18"/>
    </row>
    <row r="453" spans="1:14" x14ac:dyDescent="0.25">
      <c r="A453" t="s">
        <v>1909</v>
      </c>
      <c r="B453" t="s">
        <v>63</v>
      </c>
      <c r="C453" t="s">
        <v>54</v>
      </c>
      <c r="D453" t="s">
        <v>39</v>
      </c>
      <c r="E453" t="s">
        <v>28</v>
      </c>
      <c r="F453">
        <v>64</v>
      </c>
      <c r="G453" t="s">
        <v>118</v>
      </c>
      <c r="H453" s="18">
        <v>34505</v>
      </c>
      <c r="I453">
        <v>109456</v>
      </c>
      <c r="J453">
        <v>0.1</v>
      </c>
      <c r="K453">
        <v>10945.6</v>
      </c>
      <c r="L453" t="s">
        <v>29</v>
      </c>
      <c r="M453" t="s">
        <v>40</v>
      </c>
      <c r="N453" s="18"/>
    </row>
    <row r="454" spans="1:14" x14ac:dyDescent="0.25">
      <c r="A454" t="s">
        <v>1910</v>
      </c>
      <c r="B454" t="s">
        <v>37</v>
      </c>
      <c r="C454" t="s">
        <v>38</v>
      </c>
      <c r="D454" t="s">
        <v>27</v>
      </c>
      <c r="E454" t="s">
        <v>28</v>
      </c>
      <c r="F454">
        <v>65</v>
      </c>
      <c r="G454" t="s">
        <v>122</v>
      </c>
      <c r="H454" s="18">
        <v>39728</v>
      </c>
      <c r="I454">
        <v>170221</v>
      </c>
      <c r="J454">
        <v>0.15</v>
      </c>
      <c r="K454">
        <v>25533.149999999998</v>
      </c>
      <c r="L454" t="s">
        <v>59</v>
      </c>
      <c r="M454" t="s">
        <v>60</v>
      </c>
      <c r="N454" s="18"/>
    </row>
    <row r="455" spans="1:14" x14ac:dyDescent="0.25">
      <c r="A455" t="s">
        <v>1911</v>
      </c>
      <c r="B455" t="s">
        <v>41</v>
      </c>
      <c r="C455" t="s">
        <v>26</v>
      </c>
      <c r="D455" t="s">
        <v>27</v>
      </c>
      <c r="E455" t="s">
        <v>28</v>
      </c>
      <c r="F455">
        <v>42</v>
      </c>
      <c r="G455" t="s">
        <v>121</v>
      </c>
      <c r="H455" s="18">
        <v>38777</v>
      </c>
      <c r="I455">
        <v>97433</v>
      </c>
      <c r="J455">
        <v>0.05</v>
      </c>
      <c r="K455">
        <v>4871.6500000000005</v>
      </c>
      <c r="L455" t="s">
        <v>29</v>
      </c>
      <c r="M455" t="s">
        <v>30</v>
      </c>
      <c r="N455" s="18">
        <v>42224</v>
      </c>
    </row>
    <row r="456" spans="1:14" x14ac:dyDescent="0.25">
      <c r="A456" t="s">
        <v>1912</v>
      </c>
      <c r="B456" t="s">
        <v>44</v>
      </c>
      <c r="C456" t="s">
        <v>45</v>
      </c>
      <c r="D456" t="s">
        <v>32</v>
      </c>
      <c r="E456" t="s">
        <v>33</v>
      </c>
      <c r="F456">
        <v>35</v>
      </c>
      <c r="G456" t="s">
        <v>121</v>
      </c>
      <c r="H456" s="18">
        <v>41516</v>
      </c>
      <c r="I456">
        <v>59646</v>
      </c>
      <c r="J456">
        <v>0</v>
      </c>
      <c r="K456">
        <v>0</v>
      </c>
      <c r="L456" t="s">
        <v>34</v>
      </c>
      <c r="M456" t="s">
        <v>55</v>
      </c>
      <c r="N456" s="18"/>
    </row>
    <row r="457" spans="1:14" x14ac:dyDescent="0.25">
      <c r="A457" t="s">
        <v>1913</v>
      </c>
      <c r="B457" t="s">
        <v>37</v>
      </c>
      <c r="C457" t="s">
        <v>54</v>
      </c>
      <c r="D457" t="s">
        <v>39</v>
      </c>
      <c r="E457" t="s">
        <v>33</v>
      </c>
      <c r="F457">
        <v>64</v>
      </c>
      <c r="G457" t="s">
        <v>118</v>
      </c>
      <c r="H457" s="18">
        <v>34940</v>
      </c>
      <c r="I457">
        <v>158787</v>
      </c>
      <c r="J457">
        <v>0.18</v>
      </c>
      <c r="K457">
        <v>28581.66</v>
      </c>
      <c r="L457" t="s">
        <v>34</v>
      </c>
      <c r="M457" t="s">
        <v>68</v>
      </c>
      <c r="N457" s="18"/>
    </row>
    <row r="458" spans="1:14" x14ac:dyDescent="0.25">
      <c r="A458" t="s">
        <v>1914</v>
      </c>
      <c r="B458" t="s">
        <v>53</v>
      </c>
      <c r="C458" t="s">
        <v>54</v>
      </c>
      <c r="D458" t="s">
        <v>27</v>
      </c>
      <c r="E458" t="s">
        <v>33</v>
      </c>
      <c r="F458">
        <v>55</v>
      </c>
      <c r="G458" t="s">
        <v>118</v>
      </c>
      <c r="H458" s="18">
        <v>43219</v>
      </c>
      <c r="I458">
        <v>83378</v>
      </c>
      <c r="J458">
        <v>0</v>
      </c>
      <c r="K458">
        <v>0</v>
      </c>
      <c r="L458" t="s">
        <v>34</v>
      </c>
      <c r="M458" t="s">
        <v>64</v>
      </c>
      <c r="N458" s="18"/>
    </row>
    <row r="459" spans="1:14" x14ac:dyDescent="0.25">
      <c r="A459" t="s">
        <v>1915</v>
      </c>
      <c r="B459" t="s">
        <v>42</v>
      </c>
      <c r="C459" t="s">
        <v>57</v>
      </c>
      <c r="D459" t="s">
        <v>46</v>
      </c>
      <c r="E459" t="s">
        <v>28</v>
      </c>
      <c r="F459">
        <v>32</v>
      </c>
      <c r="G459" t="s">
        <v>120</v>
      </c>
      <c r="H459" s="18">
        <v>41590</v>
      </c>
      <c r="I459">
        <v>88895</v>
      </c>
      <c r="J459">
        <v>0</v>
      </c>
      <c r="K459">
        <v>0</v>
      </c>
      <c r="L459" t="s">
        <v>29</v>
      </c>
      <c r="M459" t="s">
        <v>40</v>
      </c>
      <c r="N459" s="18"/>
    </row>
    <row r="460" spans="1:14" x14ac:dyDescent="0.25">
      <c r="A460" t="s">
        <v>1916</v>
      </c>
      <c r="B460" t="s">
        <v>37</v>
      </c>
      <c r="C460" t="s">
        <v>57</v>
      </c>
      <c r="D460" t="s">
        <v>46</v>
      </c>
      <c r="E460" t="s">
        <v>33</v>
      </c>
      <c r="F460">
        <v>45</v>
      </c>
      <c r="G460" t="s">
        <v>119</v>
      </c>
      <c r="H460" s="18">
        <v>38332</v>
      </c>
      <c r="I460">
        <v>168846</v>
      </c>
      <c r="J460">
        <v>0.24</v>
      </c>
      <c r="K460">
        <v>40523.040000000001</v>
      </c>
      <c r="L460" t="s">
        <v>34</v>
      </c>
      <c r="M460" t="s">
        <v>35</v>
      </c>
      <c r="N460" s="18"/>
    </row>
    <row r="461" spans="1:14" x14ac:dyDescent="0.25">
      <c r="A461" t="s">
        <v>1917</v>
      </c>
      <c r="B461" t="s">
        <v>74</v>
      </c>
      <c r="C461" t="s">
        <v>52</v>
      </c>
      <c r="D461" t="s">
        <v>27</v>
      </c>
      <c r="E461" t="s">
        <v>33</v>
      </c>
      <c r="F461">
        <v>35</v>
      </c>
      <c r="G461" t="s">
        <v>121</v>
      </c>
      <c r="H461" s="18">
        <v>40596</v>
      </c>
      <c r="I461">
        <v>43336</v>
      </c>
      <c r="J461">
        <v>0</v>
      </c>
      <c r="K461">
        <v>0</v>
      </c>
      <c r="L461" t="s">
        <v>29</v>
      </c>
      <c r="M461" t="s">
        <v>51</v>
      </c>
      <c r="N461" s="18">
        <v>44024</v>
      </c>
    </row>
    <row r="462" spans="1:14" x14ac:dyDescent="0.25">
      <c r="A462" t="s">
        <v>1918</v>
      </c>
      <c r="B462" t="s">
        <v>25</v>
      </c>
      <c r="C462" t="s">
        <v>52</v>
      </c>
      <c r="D462" t="s">
        <v>46</v>
      </c>
      <c r="E462" t="s">
        <v>33</v>
      </c>
      <c r="F462">
        <v>38</v>
      </c>
      <c r="G462" t="s">
        <v>121</v>
      </c>
      <c r="H462" s="18">
        <v>40083</v>
      </c>
      <c r="I462">
        <v>127801</v>
      </c>
      <c r="J462">
        <v>0.15</v>
      </c>
      <c r="K462">
        <v>19170.149999999998</v>
      </c>
      <c r="L462" t="s">
        <v>29</v>
      </c>
      <c r="M462" t="s">
        <v>43</v>
      </c>
      <c r="N462" s="18"/>
    </row>
    <row r="463" spans="1:14" x14ac:dyDescent="0.25">
      <c r="A463" t="s">
        <v>1919</v>
      </c>
      <c r="B463" t="s">
        <v>87</v>
      </c>
      <c r="C463" t="s">
        <v>26</v>
      </c>
      <c r="D463" t="s">
        <v>46</v>
      </c>
      <c r="E463" t="s">
        <v>33</v>
      </c>
      <c r="F463">
        <v>54</v>
      </c>
      <c r="G463" t="s">
        <v>119</v>
      </c>
      <c r="H463" s="18">
        <v>36617</v>
      </c>
      <c r="I463">
        <v>76352</v>
      </c>
      <c r="J463">
        <v>0</v>
      </c>
      <c r="K463">
        <v>0</v>
      </c>
      <c r="L463" t="s">
        <v>29</v>
      </c>
      <c r="M463" t="s">
        <v>51</v>
      </c>
      <c r="N463" s="18"/>
    </row>
    <row r="464" spans="1:14" x14ac:dyDescent="0.25">
      <c r="A464" t="s">
        <v>1920</v>
      </c>
      <c r="B464" t="s">
        <v>56</v>
      </c>
      <c r="C464" t="s">
        <v>38</v>
      </c>
      <c r="D464" t="s">
        <v>46</v>
      </c>
      <c r="E464" t="s">
        <v>33</v>
      </c>
      <c r="F464">
        <v>28</v>
      </c>
      <c r="G464" t="s">
        <v>120</v>
      </c>
      <c r="H464" s="18">
        <v>43638</v>
      </c>
      <c r="I464">
        <v>250767</v>
      </c>
      <c r="J464">
        <v>0.38</v>
      </c>
      <c r="K464">
        <v>95291.46</v>
      </c>
      <c r="L464" t="s">
        <v>29</v>
      </c>
      <c r="M464" t="s">
        <v>30</v>
      </c>
      <c r="N464" s="18"/>
    </row>
    <row r="465" spans="1:14" x14ac:dyDescent="0.25">
      <c r="A465" t="s">
        <v>1921</v>
      </c>
      <c r="B465" t="s">
        <v>56</v>
      </c>
      <c r="C465" t="s">
        <v>57</v>
      </c>
      <c r="D465" t="s">
        <v>46</v>
      </c>
      <c r="E465" t="s">
        <v>33</v>
      </c>
      <c r="F465">
        <v>26</v>
      </c>
      <c r="G465" t="s">
        <v>120</v>
      </c>
      <c r="H465" s="18">
        <v>44101</v>
      </c>
      <c r="I465">
        <v>223055</v>
      </c>
      <c r="J465">
        <v>0.3</v>
      </c>
      <c r="K465">
        <v>66916.5</v>
      </c>
      <c r="L465" t="s">
        <v>29</v>
      </c>
      <c r="M465" t="s">
        <v>58</v>
      </c>
      <c r="N465" s="18"/>
    </row>
    <row r="466" spans="1:14" x14ac:dyDescent="0.25">
      <c r="A466" t="s">
        <v>1922</v>
      </c>
      <c r="B466" t="s">
        <v>37</v>
      </c>
      <c r="C466" t="s">
        <v>54</v>
      </c>
      <c r="D466" t="s">
        <v>46</v>
      </c>
      <c r="E466" t="s">
        <v>33</v>
      </c>
      <c r="F466">
        <v>45</v>
      </c>
      <c r="G466" t="s">
        <v>119</v>
      </c>
      <c r="H466" s="18">
        <v>39185</v>
      </c>
      <c r="I466">
        <v>189680</v>
      </c>
      <c r="J466">
        <v>0.23</v>
      </c>
      <c r="K466">
        <v>43626.400000000001</v>
      </c>
      <c r="L466" t="s">
        <v>59</v>
      </c>
      <c r="M466" t="s">
        <v>76</v>
      </c>
      <c r="N466" s="18"/>
    </row>
    <row r="467" spans="1:14" x14ac:dyDescent="0.25">
      <c r="A467" t="s">
        <v>1923</v>
      </c>
      <c r="B467" t="s">
        <v>77</v>
      </c>
      <c r="C467" t="s">
        <v>54</v>
      </c>
      <c r="D467" t="s">
        <v>32</v>
      </c>
      <c r="E467" t="s">
        <v>33</v>
      </c>
      <c r="F467">
        <v>57</v>
      </c>
      <c r="G467" t="s">
        <v>118</v>
      </c>
      <c r="H467" s="18">
        <v>43299</v>
      </c>
      <c r="I467">
        <v>71167</v>
      </c>
      <c r="J467">
        <v>0</v>
      </c>
      <c r="K467">
        <v>0</v>
      </c>
      <c r="L467" t="s">
        <v>29</v>
      </c>
      <c r="M467" t="s">
        <v>58</v>
      </c>
      <c r="N467" s="18"/>
    </row>
    <row r="468" spans="1:14" x14ac:dyDescent="0.25">
      <c r="A468" t="s">
        <v>1924</v>
      </c>
      <c r="B468" t="s">
        <v>31</v>
      </c>
      <c r="C468" t="s">
        <v>26</v>
      </c>
      <c r="D468" t="s">
        <v>39</v>
      </c>
      <c r="E468" t="s">
        <v>28</v>
      </c>
      <c r="F468">
        <v>59</v>
      </c>
      <c r="G468" t="s">
        <v>118</v>
      </c>
      <c r="H468" s="18">
        <v>40272</v>
      </c>
      <c r="I468">
        <v>76027</v>
      </c>
      <c r="J468">
        <v>0</v>
      </c>
      <c r="K468">
        <v>0</v>
      </c>
      <c r="L468" t="s">
        <v>29</v>
      </c>
      <c r="M468" t="s">
        <v>30</v>
      </c>
      <c r="N468" s="18"/>
    </row>
    <row r="469" spans="1:14" x14ac:dyDescent="0.25">
      <c r="A469" t="s">
        <v>1925</v>
      </c>
      <c r="B469" t="s">
        <v>37</v>
      </c>
      <c r="C469" t="s">
        <v>54</v>
      </c>
      <c r="D469" t="s">
        <v>46</v>
      </c>
      <c r="E469" t="s">
        <v>33</v>
      </c>
      <c r="F469">
        <v>48</v>
      </c>
      <c r="G469" t="s">
        <v>119</v>
      </c>
      <c r="H469" s="18">
        <v>43809</v>
      </c>
      <c r="I469">
        <v>183113</v>
      </c>
      <c r="J469">
        <v>0.24</v>
      </c>
      <c r="K469">
        <v>43947.119999999995</v>
      </c>
      <c r="L469" t="s">
        <v>59</v>
      </c>
      <c r="M469" t="s">
        <v>61</v>
      </c>
      <c r="N469" s="18"/>
    </row>
    <row r="470" spans="1:14" x14ac:dyDescent="0.25">
      <c r="A470" t="s">
        <v>1926</v>
      </c>
      <c r="B470" t="s">
        <v>66</v>
      </c>
      <c r="C470" t="s">
        <v>50</v>
      </c>
      <c r="D470" t="s">
        <v>32</v>
      </c>
      <c r="E470" t="s">
        <v>33</v>
      </c>
      <c r="F470">
        <v>30</v>
      </c>
      <c r="G470" t="s">
        <v>120</v>
      </c>
      <c r="H470" s="18">
        <v>44124</v>
      </c>
      <c r="I470">
        <v>67753</v>
      </c>
      <c r="J470">
        <v>0</v>
      </c>
      <c r="K470">
        <v>0</v>
      </c>
      <c r="L470" t="s">
        <v>29</v>
      </c>
      <c r="M470" t="s">
        <v>43</v>
      </c>
      <c r="N470" s="18"/>
    </row>
    <row r="471" spans="1:14" x14ac:dyDescent="0.25">
      <c r="A471" t="s">
        <v>1927</v>
      </c>
      <c r="B471" t="s">
        <v>41</v>
      </c>
      <c r="C471" t="s">
        <v>26</v>
      </c>
      <c r="D471" t="s">
        <v>46</v>
      </c>
      <c r="E471" t="s">
        <v>33</v>
      </c>
      <c r="F471">
        <v>31</v>
      </c>
      <c r="G471" t="s">
        <v>120</v>
      </c>
      <c r="H471" s="18">
        <v>42656</v>
      </c>
      <c r="I471">
        <v>63744</v>
      </c>
      <c r="J471">
        <v>0.08</v>
      </c>
      <c r="K471">
        <v>5099.5200000000004</v>
      </c>
      <c r="L471" t="s">
        <v>29</v>
      </c>
      <c r="M471" t="s">
        <v>51</v>
      </c>
      <c r="N471" s="18"/>
    </row>
    <row r="472" spans="1:14" x14ac:dyDescent="0.25">
      <c r="A472" t="s">
        <v>1928</v>
      </c>
      <c r="B472" t="s">
        <v>62</v>
      </c>
      <c r="C472" t="s">
        <v>54</v>
      </c>
      <c r="D472" t="s">
        <v>32</v>
      </c>
      <c r="E472" t="s">
        <v>28</v>
      </c>
      <c r="F472">
        <v>50</v>
      </c>
      <c r="G472" t="s">
        <v>119</v>
      </c>
      <c r="H472" s="18">
        <v>37446</v>
      </c>
      <c r="I472">
        <v>92209</v>
      </c>
      <c r="J472">
        <v>0</v>
      </c>
      <c r="K472">
        <v>0</v>
      </c>
      <c r="L472" t="s">
        <v>34</v>
      </c>
      <c r="M472" t="s">
        <v>55</v>
      </c>
      <c r="N472" s="18"/>
    </row>
    <row r="473" spans="1:14" x14ac:dyDescent="0.25">
      <c r="A473" t="s">
        <v>1929</v>
      </c>
      <c r="B473" t="s">
        <v>25</v>
      </c>
      <c r="C473" t="s">
        <v>45</v>
      </c>
      <c r="D473" t="s">
        <v>46</v>
      </c>
      <c r="E473" t="s">
        <v>33</v>
      </c>
      <c r="F473">
        <v>51</v>
      </c>
      <c r="G473" t="s">
        <v>119</v>
      </c>
      <c r="H473" s="18">
        <v>36770</v>
      </c>
      <c r="I473">
        <v>157487</v>
      </c>
      <c r="J473">
        <v>0.12</v>
      </c>
      <c r="K473">
        <v>18898.439999999999</v>
      </c>
      <c r="L473" t="s">
        <v>29</v>
      </c>
      <c r="M473" t="s">
        <v>43</v>
      </c>
      <c r="N473" s="18"/>
    </row>
    <row r="474" spans="1:14" x14ac:dyDescent="0.25">
      <c r="A474" t="s">
        <v>1930</v>
      </c>
      <c r="B474" t="s">
        <v>42</v>
      </c>
      <c r="C474" t="s">
        <v>57</v>
      </c>
      <c r="D474" t="s">
        <v>27</v>
      </c>
      <c r="E474" t="s">
        <v>33</v>
      </c>
      <c r="F474">
        <v>42</v>
      </c>
      <c r="G474" t="s">
        <v>121</v>
      </c>
      <c r="H474" s="18">
        <v>42101</v>
      </c>
      <c r="I474">
        <v>99697</v>
      </c>
      <c r="J474">
        <v>0</v>
      </c>
      <c r="K474">
        <v>0</v>
      </c>
      <c r="L474" t="s">
        <v>59</v>
      </c>
      <c r="M474" t="s">
        <v>61</v>
      </c>
      <c r="N474" s="18"/>
    </row>
    <row r="475" spans="1:14" x14ac:dyDescent="0.25">
      <c r="A475" t="s">
        <v>1931</v>
      </c>
      <c r="B475" t="s">
        <v>87</v>
      </c>
      <c r="C475" t="s">
        <v>26</v>
      </c>
      <c r="D475" t="s">
        <v>27</v>
      </c>
      <c r="E475" t="s">
        <v>33</v>
      </c>
      <c r="F475">
        <v>45</v>
      </c>
      <c r="G475" t="s">
        <v>119</v>
      </c>
      <c r="H475" s="18">
        <v>40235</v>
      </c>
      <c r="I475">
        <v>90770</v>
      </c>
      <c r="J475">
        <v>0</v>
      </c>
      <c r="K475">
        <v>0</v>
      </c>
      <c r="L475" t="s">
        <v>29</v>
      </c>
      <c r="M475" t="s">
        <v>58</v>
      </c>
      <c r="N475" s="18"/>
    </row>
    <row r="476" spans="1:14" x14ac:dyDescent="0.25">
      <c r="A476" t="s">
        <v>1932</v>
      </c>
      <c r="B476" t="s">
        <v>48</v>
      </c>
      <c r="C476" t="s">
        <v>45</v>
      </c>
      <c r="D476" t="s">
        <v>39</v>
      </c>
      <c r="E476" t="s">
        <v>28</v>
      </c>
      <c r="F476">
        <v>64</v>
      </c>
      <c r="G476" t="s">
        <v>118</v>
      </c>
      <c r="H476" s="18">
        <v>38380</v>
      </c>
      <c r="I476">
        <v>55369</v>
      </c>
      <c r="J476">
        <v>0</v>
      </c>
      <c r="K476">
        <v>0</v>
      </c>
      <c r="L476" t="s">
        <v>29</v>
      </c>
      <c r="M476" t="s">
        <v>43</v>
      </c>
      <c r="N476" s="18"/>
    </row>
    <row r="477" spans="1:14" x14ac:dyDescent="0.25">
      <c r="A477" t="s">
        <v>1933</v>
      </c>
      <c r="B477" t="s">
        <v>71</v>
      </c>
      <c r="C477" t="s">
        <v>54</v>
      </c>
      <c r="D477" t="s">
        <v>39</v>
      </c>
      <c r="E477" t="s">
        <v>28</v>
      </c>
      <c r="F477">
        <v>59</v>
      </c>
      <c r="G477" t="s">
        <v>118</v>
      </c>
      <c r="H477" s="18">
        <v>41898</v>
      </c>
      <c r="I477">
        <v>69578</v>
      </c>
      <c r="J477">
        <v>0</v>
      </c>
      <c r="K477">
        <v>0</v>
      </c>
      <c r="L477" t="s">
        <v>59</v>
      </c>
      <c r="M477" t="s">
        <v>61</v>
      </c>
      <c r="N477" s="18"/>
    </row>
    <row r="478" spans="1:14" x14ac:dyDescent="0.25">
      <c r="A478" t="s">
        <v>1934</v>
      </c>
      <c r="B478" t="s">
        <v>37</v>
      </c>
      <c r="C478" t="s">
        <v>50</v>
      </c>
      <c r="D478" t="s">
        <v>39</v>
      </c>
      <c r="E478" t="s">
        <v>33</v>
      </c>
      <c r="F478">
        <v>41</v>
      </c>
      <c r="G478" t="s">
        <v>121</v>
      </c>
      <c r="H478" s="18">
        <v>41429</v>
      </c>
      <c r="I478">
        <v>167526</v>
      </c>
      <c r="J478">
        <v>0.26</v>
      </c>
      <c r="K478">
        <v>43556.76</v>
      </c>
      <c r="L478" t="s">
        <v>29</v>
      </c>
      <c r="M478" t="s">
        <v>49</v>
      </c>
      <c r="N478" s="18"/>
    </row>
    <row r="479" spans="1:14" x14ac:dyDescent="0.25">
      <c r="A479" t="s">
        <v>1935</v>
      </c>
      <c r="B479" t="s">
        <v>71</v>
      </c>
      <c r="C479" t="s">
        <v>54</v>
      </c>
      <c r="D479" t="s">
        <v>39</v>
      </c>
      <c r="E479" t="s">
        <v>28</v>
      </c>
      <c r="F479">
        <v>42</v>
      </c>
      <c r="G479" t="s">
        <v>121</v>
      </c>
      <c r="H479" s="18">
        <v>44232</v>
      </c>
      <c r="I479">
        <v>65507</v>
      </c>
      <c r="J479">
        <v>0</v>
      </c>
      <c r="K479">
        <v>0</v>
      </c>
      <c r="L479" t="s">
        <v>59</v>
      </c>
      <c r="M479" t="s">
        <v>60</v>
      </c>
      <c r="N479" s="18"/>
    </row>
    <row r="480" spans="1:14" x14ac:dyDescent="0.25">
      <c r="A480" t="s">
        <v>1936</v>
      </c>
      <c r="B480" t="s">
        <v>47</v>
      </c>
      <c r="C480" t="s">
        <v>38</v>
      </c>
      <c r="D480" t="s">
        <v>27</v>
      </c>
      <c r="E480" t="s">
        <v>33</v>
      </c>
      <c r="F480">
        <v>54</v>
      </c>
      <c r="G480" t="s">
        <v>119</v>
      </c>
      <c r="H480" s="18">
        <v>35913</v>
      </c>
      <c r="I480">
        <v>108268</v>
      </c>
      <c r="J480">
        <v>0.09</v>
      </c>
      <c r="K480">
        <v>9744.119999999999</v>
      </c>
      <c r="L480" t="s">
        <v>59</v>
      </c>
      <c r="M480" t="s">
        <v>76</v>
      </c>
      <c r="N480" s="18">
        <v>38122</v>
      </c>
    </row>
    <row r="481" spans="1:14" x14ac:dyDescent="0.25">
      <c r="A481" t="s">
        <v>1937</v>
      </c>
      <c r="B481" t="s">
        <v>31</v>
      </c>
      <c r="C481" t="s">
        <v>26</v>
      </c>
      <c r="D481" t="s">
        <v>27</v>
      </c>
      <c r="E481" t="s">
        <v>33</v>
      </c>
      <c r="F481">
        <v>37</v>
      </c>
      <c r="G481" t="s">
        <v>121</v>
      </c>
      <c r="H481" s="18">
        <v>42405</v>
      </c>
      <c r="I481">
        <v>80055</v>
      </c>
      <c r="J481">
        <v>0</v>
      </c>
      <c r="K481">
        <v>0</v>
      </c>
      <c r="L481" t="s">
        <v>34</v>
      </c>
      <c r="M481" t="s">
        <v>64</v>
      </c>
      <c r="N481" s="18"/>
    </row>
    <row r="482" spans="1:14" x14ac:dyDescent="0.25">
      <c r="A482" t="s">
        <v>1938</v>
      </c>
      <c r="B482" t="s">
        <v>42</v>
      </c>
      <c r="C482" t="s">
        <v>45</v>
      </c>
      <c r="D482" t="s">
        <v>27</v>
      </c>
      <c r="E482" t="s">
        <v>33</v>
      </c>
      <c r="F482">
        <v>58</v>
      </c>
      <c r="G482" t="s">
        <v>118</v>
      </c>
      <c r="H482" s="18">
        <v>39930</v>
      </c>
      <c r="I482">
        <v>76802</v>
      </c>
      <c r="J482">
        <v>0</v>
      </c>
      <c r="K482">
        <v>0</v>
      </c>
      <c r="L482" t="s">
        <v>59</v>
      </c>
      <c r="M482" t="s">
        <v>60</v>
      </c>
      <c r="N482" s="18"/>
    </row>
    <row r="483" spans="1:14" x14ac:dyDescent="0.25">
      <c r="A483" t="s">
        <v>1939</v>
      </c>
      <c r="B483" t="s">
        <v>56</v>
      </c>
      <c r="C483" t="s">
        <v>45</v>
      </c>
      <c r="D483" t="s">
        <v>39</v>
      </c>
      <c r="E483" t="s">
        <v>33</v>
      </c>
      <c r="F483">
        <v>47</v>
      </c>
      <c r="G483" t="s">
        <v>119</v>
      </c>
      <c r="H483" s="18">
        <v>42696</v>
      </c>
      <c r="I483">
        <v>253249</v>
      </c>
      <c r="J483">
        <v>0.31</v>
      </c>
      <c r="K483">
        <v>78507.19</v>
      </c>
      <c r="L483" t="s">
        <v>29</v>
      </c>
      <c r="M483" t="s">
        <v>51</v>
      </c>
      <c r="N483" s="18"/>
    </row>
    <row r="484" spans="1:14" x14ac:dyDescent="0.25">
      <c r="A484" t="s">
        <v>1940</v>
      </c>
      <c r="B484" t="s">
        <v>69</v>
      </c>
      <c r="C484" t="s">
        <v>52</v>
      </c>
      <c r="D484" t="s">
        <v>27</v>
      </c>
      <c r="E484" t="s">
        <v>28</v>
      </c>
      <c r="F484">
        <v>60</v>
      </c>
      <c r="G484" t="s">
        <v>118</v>
      </c>
      <c r="H484" s="18">
        <v>38667</v>
      </c>
      <c r="I484">
        <v>78388</v>
      </c>
      <c r="J484">
        <v>0</v>
      </c>
      <c r="K484">
        <v>0</v>
      </c>
      <c r="L484" t="s">
        <v>34</v>
      </c>
      <c r="M484" t="s">
        <v>35</v>
      </c>
      <c r="N484" s="18"/>
    </row>
    <row r="485" spans="1:14" x14ac:dyDescent="0.25">
      <c r="A485" t="s">
        <v>1941</v>
      </c>
      <c r="B485" t="s">
        <v>56</v>
      </c>
      <c r="C485" t="s">
        <v>26</v>
      </c>
      <c r="D485" t="s">
        <v>46</v>
      </c>
      <c r="E485" t="s">
        <v>33</v>
      </c>
      <c r="F485">
        <v>38</v>
      </c>
      <c r="G485" t="s">
        <v>121</v>
      </c>
      <c r="H485" s="18">
        <v>42543</v>
      </c>
      <c r="I485">
        <v>249870</v>
      </c>
      <c r="J485">
        <v>0.34</v>
      </c>
      <c r="K485">
        <v>84955.8</v>
      </c>
      <c r="L485" t="s">
        <v>29</v>
      </c>
      <c r="M485" t="s">
        <v>40</v>
      </c>
      <c r="N485" s="18"/>
    </row>
    <row r="486" spans="1:14" x14ac:dyDescent="0.25">
      <c r="A486" t="s">
        <v>1942</v>
      </c>
      <c r="B486" t="s">
        <v>25</v>
      </c>
      <c r="C486" t="s">
        <v>57</v>
      </c>
      <c r="D486" t="s">
        <v>32</v>
      </c>
      <c r="E486" t="s">
        <v>33</v>
      </c>
      <c r="F486">
        <v>63</v>
      </c>
      <c r="G486" t="s">
        <v>118</v>
      </c>
      <c r="H486" s="18">
        <v>42064</v>
      </c>
      <c r="I486">
        <v>148321</v>
      </c>
      <c r="J486">
        <v>0.15</v>
      </c>
      <c r="K486">
        <v>22248.149999999998</v>
      </c>
      <c r="L486" t="s">
        <v>34</v>
      </c>
      <c r="M486" t="s">
        <v>64</v>
      </c>
      <c r="N486" s="18"/>
    </row>
    <row r="487" spans="1:14" x14ac:dyDescent="0.25">
      <c r="A487" t="s">
        <v>1943</v>
      </c>
      <c r="B487" t="s">
        <v>86</v>
      </c>
      <c r="C487" t="s">
        <v>26</v>
      </c>
      <c r="D487" t="s">
        <v>46</v>
      </c>
      <c r="E487" t="s">
        <v>28</v>
      </c>
      <c r="F487">
        <v>60</v>
      </c>
      <c r="G487" t="s">
        <v>118</v>
      </c>
      <c r="H487" s="18">
        <v>38027</v>
      </c>
      <c r="I487">
        <v>90258</v>
      </c>
      <c r="J487">
        <v>0</v>
      </c>
      <c r="K487">
        <v>0</v>
      </c>
      <c r="L487" t="s">
        <v>34</v>
      </c>
      <c r="M487" t="s">
        <v>35</v>
      </c>
      <c r="N487" s="18"/>
    </row>
    <row r="488" spans="1:14" x14ac:dyDescent="0.25">
      <c r="A488" t="s">
        <v>1944</v>
      </c>
      <c r="B488" t="s">
        <v>82</v>
      </c>
      <c r="C488" t="s">
        <v>26</v>
      </c>
      <c r="D488" t="s">
        <v>32</v>
      </c>
      <c r="E488" t="s">
        <v>28</v>
      </c>
      <c r="F488">
        <v>42</v>
      </c>
      <c r="G488" t="s">
        <v>121</v>
      </c>
      <c r="H488" s="18">
        <v>40593</v>
      </c>
      <c r="I488">
        <v>72486</v>
      </c>
      <c r="J488">
        <v>0</v>
      </c>
      <c r="K488">
        <v>0</v>
      </c>
      <c r="L488" t="s">
        <v>29</v>
      </c>
      <c r="M488" t="s">
        <v>30</v>
      </c>
      <c r="N488" s="18"/>
    </row>
    <row r="489" spans="1:14" x14ac:dyDescent="0.25">
      <c r="A489" t="s">
        <v>1945</v>
      </c>
      <c r="B489" t="s">
        <v>42</v>
      </c>
      <c r="C489" t="s">
        <v>38</v>
      </c>
      <c r="D489" t="s">
        <v>46</v>
      </c>
      <c r="E489" t="s">
        <v>33</v>
      </c>
      <c r="F489">
        <v>34</v>
      </c>
      <c r="G489" t="s">
        <v>120</v>
      </c>
      <c r="H489" s="18">
        <v>41886</v>
      </c>
      <c r="I489">
        <v>95499</v>
      </c>
      <c r="J489">
        <v>0</v>
      </c>
      <c r="K489">
        <v>0</v>
      </c>
      <c r="L489" t="s">
        <v>59</v>
      </c>
      <c r="M489" t="s">
        <v>76</v>
      </c>
      <c r="N489" s="18">
        <v>42958</v>
      </c>
    </row>
    <row r="490" spans="1:14" x14ac:dyDescent="0.25">
      <c r="A490" t="s">
        <v>1946</v>
      </c>
      <c r="B490" t="s">
        <v>42</v>
      </c>
      <c r="C490" t="s">
        <v>50</v>
      </c>
      <c r="D490" t="s">
        <v>27</v>
      </c>
      <c r="E490" t="s">
        <v>28</v>
      </c>
      <c r="F490">
        <v>53</v>
      </c>
      <c r="G490" t="s">
        <v>119</v>
      </c>
      <c r="H490" s="18">
        <v>38344</v>
      </c>
      <c r="I490">
        <v>90212</v>
      </c>
      <c r="J490">
        <v>0</v>
      </c>
      <c r="K490">
        <v>0</v>
      </c>
      <c r="L490" t="s">
        <v>59</v>
      </c>
      <c r="M490" t="s">
        <v>76</v>
      </c>
      <c r="N490" s="18"/>
    </row>
    <row r="491" spans="1:14" x14ac:dyDescent="0.25">
      <c r="A491" t="s">
        <v>1947</v>
      </c>
      <c r="B491" t="s">
        <v>56</v>
      </c>
      <c r="C491" t="s">
        <v>57</v>
      </c>
      <c r="D491" t="s">
        <v>27</v>
      </c>
      <c r="E491" t="s">
        <v>33</v>
      </c>
      <c r="F491">
        <v>39</v>
      </c>
      <c r="G491" t="s">
        <v>121</v>
      </c>
      <c r="H491" s="18">
        <v>43804</v>
      </c>
      <c r="I491">
        <v>254057</v>
      </c>
      <c r="J491">
        <v>0.39</v>
      </c>
      <c r="K491">
        <v>99082.23000000001</v>
      </c>
      <c r="L491" t="s">
        <v>34</v>
      </c>
      <c r="M491" t="s">
        <v>55</v>
      </c>
      <c r="N491" s="18"/>
    </row>
    <row r="492" spans="1:14" x14ac:dyDescent="0.25">
      <c r="A492" t="s">
        <v>1948</v>
      </c>
      <c r="B492" t="s">
        <v>74</v>
      </c>
      <c r="C492" t="s">
        <v>52</v>
      </c>
      <c r="D492" t="s">
        <v>32</v>
      </c>
      <c r="E492" t="s">
        <v>28</v>
      </c>
      <c r="F492">
        <v>58</v>
      </c>
      <c r="G492" t="s">
        <v>118</v>
      </c>
      <c r="H492" s="18">
        <v>40463</v>
      </c>
      <c r="I492">
        <v>43001</v>
      </c>
      <c r="J492">
        <v>0</v>
      </c>
      <c r="K492">
        <v>0</v>
      </c>
      <c r="L492" t="s">
        <v>29</v>
      </c>
      <c r="M492" t="s">
        <v>51</v>
      </c>
      <c r="N492" s="18"/>
    </row>
    <row r="493" spans="1:14" x14ac:dyDescent="0.25">
      <c r="A493" t="s">
        <v>1949</v>
      </c>
      <c r="B493" t="s">
        <v>41</v>
      </c>
      <c r="C493" t="s">
        <v>26</v>
      </c>
      <c r="D493" t="s">
        <v>32</v>
      </c>
      <c r="E493" t="s">
        <v>33</v>
      </c>
      <c r="F493">
        <v>60</v>
      </c>
      <c r="G493" t="s">
        <v>118</v>
      </c>
      <c r="H493" s="18">
        <v>36010</v>
      </c>
      <c r="I493">
        <v>85120</v>
      </c>
      <c r="J493">
        <v>0.09</v>
      </c>
      <c r="K493">
        <v>7660.7999999999993</v>
      </c>
      <c r="L493" t="s">
        <v>29</v>
      </c>
      <c r="M493" t="s">
        <v>30</v>
      </c>
      <c r="N493" s="18"/>
    </row>
    <row r="494" spans="1:14" x14ac:dyDescent="0.25">
      <c r="A494" t="s">
        <v>1950</v>
      </c>
      <c r="B494" t="s">
        <v>74</v>
      </c>
      <c r="C494" t="s">
        <v>52</v>
      </c>
      <c r="D494" t="s">
        <v>32</v>
      </c>
      <c r="E494" t="s">
        <v>33</v>
      </c>
      <c r="F494">
        <v>34</v>
      </c>
      <c r="G494" t="s">
        <v>120</v>
      </c>
      <c r="H494" s="18">
        <v>42219</v>
      </c>
      <c r="I494">
        <v>52200</v>
      </c>
      <c r="J494">
        <v>0</v>
      </c>
      <c r="K494">
        <v>0</v>
      </c>
      <c r="L494" t="s">
        <v>29</v>
      </c>
      <c r="M494" t="s">
        <v>58</v>
      </c>
      <c r="N494" s="18"/>
    </row>
    <row r="495" spans="1:14" x14ac:dyDescent="0.25">
      <c r="A495" t="s">
        <v>1951</v>
      </c>
      <c r="B495" t="s">
        <v>25</v>
      </c>
      <c r="C495" t="s">
        <v>52</v>
      </c>
      <c r="D495" t="s">
        <v>46</v>
      </c>
      <c r="E495" t="s">
        <v>28</v>
      </c>
      <c r="F495">
        <v>60</v>
      </c>
      <c r="G495" t="s">
        <v>118</v>
      </c>
      <c r="H495" s="18">
        <v>39739</v>
      </c>
      <c r="I495">
        <v>150855</v>
      </c>
      <c r="J495">
        <v>0.11</v>
      </c>
      <c r="K495">
        <v>16594.05</v>
      </c>
      <c r="L495" t="s">
        <v>29</v>
      </c>
      <c r="M495" t="s">
        <v>43</v>
      </c>
      <c r="N495" s="18"/>
    </row>
    <row r="496" spans="1:14" x14ac:dyDescent="0.25">
      <c r="A496" t="s">
        <v>1952</v>
      </c>
      <c r="B496" t="s">
        <v>67</v>
      </c>
      <c r="C496" t="s">
        <v>26</v>
      </c>
      <c r="D496" t="s">
        <v>32</v>
      </c>
      <c r="E496" t="s">
        <v>28</v>
      </c>
      <c r="F496">
        <v>53</v>
      </c>
      <c r="G496" t="s">
        <v>119</v>
      </c>
      <c r="H496" s="18">
        <v>38188</v>
      </c>
      <c r="I496">
        <v>65702</v>
      </c>
      <c r="J496">
        <v>0</v>
      </c>
      <c r="K496">
        <v>0</v>
      </c>
      <c r="L496" t="s">
        <v>29</v>
      </c>
      <c r="M496" t="s">
        <v>58</v>
      </c>
      <c r="N496" s="18"/>
    </row>
    <row r="497" spans="1:14" x14ac:dyDescent="0.25">
      <c r="A497" t="s">
        <v>1953</v>
      </c>
      <c r="B497" t="s">
        <v>37</v>
      </c>
      <c r="C497" t="s">
        <v>38</v>
      </c>
      <c r="D497" t="s">
        <v>46</v>
      </c>
      <c r="E497" t="s">
        <v>33</v>
      </c>
      <c r="F497">
        <v>58</v>
      </c>
      <c r="G497" t="s">
        <v>118</v>
      </c>
      <c r="H497" s="18">
        <v>39367</v>
      </c>
      <c r="I497">
        <v>162038</v>
      </c>
      <c r="J497">
        <v>0.24</v>
      </c>
      <c r="K497">
        <v>38889.119999999995</v>
      </c>
      <c r="L497" t="s">
        <v>34</v>
      </c>
      <c r="M497" t="s">
        <v>35</v>
      </c>
      <c r="N497" s="18"/>
    </row>
    <row r="498" spans="1:14" x14ac:dyDescent="0.25">
      <c r="A498" t="s">
        <v>1954</v>
      </c>
      <c r="B498" t="s">
        <v>25</v>
      </c>
      <c r="C498" t="s">
        <v>57</v>
      </c>
      <c r="D498" t="s">
        <v>27</v>
      </c>
      <c r="E498" t="s">
        <v>28</v>
      </c>
      <c r="F498">
        <v>25</v>
      </c>
      <c r="G498" t="s">
        <v>120</v>
      </c>
      <c r="H498" s="18">
        <v>43930</v>
      </c>
      <c r="I498">
        <v>157057</v>
      </c>
      <c r="J498">
        <v>0.1</v>
      </c>
      <c r="K498">
        <v>15705.7</v>
      </c>
      <c r="L498" t="s">
        <v>29</v>
      </c>
      <c r="M498" t="s">
        <v>58</v>
      </c>
      <c r="N498" s="18"/>
    </row>
    <row r="499" spans="1:14" x14ac:dyDescent="0.25">
      <c r="A499" t="s">
        <v>1955</v>
      </c>
      <c r="B499" t="s">
        <v>47</v>
      </c>
      <c r="C499" t="s">
        <v>26</v>
      </c>
      <c r="D499" t="s">
        <v>27</v>
      </c>
      <c r="E499" t="s">
        <v>33</v>
      </c>
      <c r="F499">
        <v>46</v>
      </c>
      <c r="G499" t="s">
        <v>119</v>
      </c>
      <c r="H499" s="18">
        <v>44419</v>
      </c>
      <c r="I499">
        <v>127559</v>
      </c>
      <c r="J499">
        <v>0.1</v>
      </c>
      <c r="K499">
        <v>12755.900000000001</v>
      </c>
      <c r="L499" t="s">
        <v>29</v>
      </c>
      <c r="M499" t="s">
        <v>51</v>
      </c>
      <c r="N499" s="18"/>
    </row>
    <row r="500" spans="1:14" x14ac:dyDescent="0.25">
      <c r="A500" t="s">
        <v>1956</v>
      </c>
      <c r="B500" t="s">
        <v>71</v>
      </c>
      <c r="C500" t="s">
        <v>54</v>
      </c>
      <c r="D500" t="s">
        <v>46</v>
      </c>
      <c r="E500" t="s">
        <v>28</v>
      </c>
      <c r="F500">
        <v>39</v>
      </c>
      <c r="G500" t="s">
        <v>121</v>
      </c>
      <c r="H500" s="18">
        <v>43536</v>
      </c>
      <c r="I500">
        <v>62644</v>
      </c>
      <c r="J500">
        <v>0</v>
      </c>
      <c r="K500">
        <v>0</v>
      </c>
      <c r="L500" t="s">
        <v>29</v>
      </c>
      <c r="M500" t="s">
        <v>30</v>
      </c>
      <c r="N500" s="18"/>
    </row>
    <row r="501" spans="1:14" x14ac:dyDescent="0.25">
      <c r="A501" t="s">
        <v>1957</v>
      </c>
      <c r="B501" t="s">
        <v>78</v>
      </c>
      <c r="C501" t="s">
        <v>26</v>
      </c>
      <c r="D501" t="s">
        <v>32</v>
      </c>
      <c r="E501" t="s">
        <v>33</v>
      </c>
      <c r="F501">
        <v>50</v>
      </c>
      <c r="G501" t="s">
        <v>119</v>
      </c>
      <c r="H501" s="18">
        <v>36956</v>
      </c>
      <c r="I501">
        <v>73907</v>
      </c>
      <c r="J501">
        <v>0</v>
      </c>
      <c r="K501">
        <v>0</v>
      </c>
      <c r="L501" t="s">
        <v>34</v>
      </c>
      <c r="M501" t="s">
        <v>55</v>
      </c>
      <c r="N501" s="18"/>
    </row>
    <row r="502" spans="1:14" x14ac:dyDescent="0.25">
      <c r="A502" t="s">
        <v>1958</v>
      </c>
      <c r="B502" t="s">
        <v>42</v>
      </c>
      <c r="C502" t="s">
        <v>50</v>
      </c>
      <c r="D502" t="s">
        <v>32</v>
      </c>
      <c r="E502" t="s">
        <v>28</v>
      </c>
      <c r="F502">
        <v>56</v>
      </c>
      <c r="G502" t="s">
        <v>118</v>
      </c>
      <c r="H502" s="18">
        <v>43169</v>
      </c>
      <c r="I502">
        <v>90040</v>
      </c>
      <c r="J502">
        <v>0</v>
      </c>
      <c r="K502">
        <v>0</v>
      </c>
      <c r="L502" t="s">
        <v>29</v>
      </c>
      <c r="M502" t="s">
        <v>40</v>
      </c>
      <c r="N502" s="18"/>
    </row>
    <row r="503" spans="1:14" x14ac:dyDescent="0.25">
      <c r="A503" t="s">
        <v>1959</v>
      </c>
      <c r="B503" t="s">
        <v>80</v>
      </c>
      <c r="C503" t="s">
        <v>54</v>
      </c>
      <c r="D503" t="s">
        <v>32</v>
      </c>
      <c r="E503" t="s">
        <v>28</v>
      </c>
      <c r="F503">
        <v>30</v>
      </c>
      <c r="G503" t="s">
        <v>120</v>
      </c>
      <c r="H503" s="18">
        <v>42516</v>
      </c>
      <c r="I503">
        <v>91134</v>
      </c>
      <c r="J503">
        <v>0</v>
      </c>
      <c r="K503">
        <v>0</v>
      </c>
      <c r="L503" t="s">
        <v>59</v>
      </c>
      <c r="M503" t="s">
        <v>76</v>
      </c>
      <c r="N503" s="18"/>
    </row>
    <row r="504" spans="1:14" x14ac:dyDescent="0.25">
      <c r="A504" t="s">
        <v>1960</v>
      </c>
      <c r="B504" t="s">
        <v>56</v>
      </c>
      <c r="C504" t="s">
        <v>52</v>
      </c>
      <c r="D504" t="s">
        <v>39</v>
      </c>
      <c r="E504" t="s">
        <v>28</v>
      </c>
      <c r="F504">
        <v>45</v>
      </c>
      <c r="G504" t="s">
        <v>119</v>
      </c>
      <c r="H504" s="18">
        <v>44461</v>
      </c>
      <c r="I504">
        <v>201396</v>
      </c>
      <c r="J504">
        <v>0.32</v>
      </c>
      <c r="K504">
        <v>64446.720000000001</v>
      </c>
      <c r="L504" t="s">
        <v>29</v>
      </c>
      <c r="M504" t="s">
        <v>49</v>
      </c>
      <c r="N504" s="18"/>
    </row>
    <row r="505" spans="1:14" x14ac:dyDescent="0.25">
      <c r="A505" t="s">
        <v>1961</v>
      </c>
      <c r="B505" t="s">
        <v>48</v>
      </c>
      <c r="C505" t="s">
        <v>50</v>
      </c>
      <c r="D505" t="s">
        <v>46</v>
      </c>
      <c r="E505" t="s">
        <v>28</v>
      </c>
      <c r="F505">
        <v>55</v>
      </c>
      <c r="G505" t="s">
        <v>118</v>
      </c>
      <c r="H505" s="18">
        <v>40899</v>
      </c>
      <c r="I505">
        <v>54733</v>
      </c>
      <c r="J505">
        <v>0</v>
      </c>
      <c r="K505">
        <v>0</v>
      </c>
      <c r="L505" t="s">
        <v>34</v>
      </c>
      <c r="M505" t="s">
        <v>35</v>
      </c>
      <c r="N505" s="18"/>
    </row>
    <row r="506" spans="1:14" x14ac:dyDescent="0.25">
      <c r="A506" t="s">
        <v>1962</v>
      </c>
      <c r="B506" t="s">
        <v>82</v>
      </c>
      <c r="C506" t="s">
        <v>26</v>
      </c>
      <c r="D506" t="s">
        <v>46</v>
      </c>
      <c r="E506" t="s">
        <v>33</v>
      </c>
      <c r="F506">
        <v>28</v>
      </c>
      <c r="G506" t="s">
        <v>120</v>
      </c>
      <c r="H506" s="18">
        <v>43633</v>
      </c>
      <c r="I506">
        <v>65341</v>
      </c>
      <c r="J506">
        <v>0</v>
      </c>
      <c r="K506">
        <v>0</v>
      </c>
      <c r="L506" t="s">
        <v>29</v>
      </c>
      <c r="M506" t="s">
        <v>49</v>
      </c>
      <c r="N506" s="18">
        <v>44662</v>
      </c>
    </row>
    <row r="507" spans="1:14" x14ac:dyDescent="0.25">
      <c r="A507" t="s">
        <v>1963</v>
      </c>
      <c r="B507" t="s">
        <v>25</v>
      </c>
      <c r="C507" t="s">
        <v>38</v>
      </c>
      <c r="D507" t="s">
        <v>46</v>
      </c>
      <c r="E507" t="s">
        <v>28</v>
      </c>
      <c r="F507">
        <v>59</v>
      </c>
      <c r="G507" t="s">
        <v>118</v>
      </c>
      <c r="H507" s="18">
        <v>43400</v>
      </c>
      <c r="I507">
        <v>139208</v>
      </c>
      <c r="J507">
        <v>0.11</v>
      </c>
      <c r="K507">
        <v>15312.88</v>
      </c>
      <c r="L507" t="s">
        <v>29</v>
      </c>
      <c r="M507" t="s">
        <v>51</v>
      </c>
      <c r="N507" s="18"/>
    </row>
    <row r="508" spans="1:14" x14ac:dyDescent="0.25">
      <c r="A508" t="s">
        <v>1964</v>
      </c>
      <c r="B508" t="s">
        <v>42</v>
      </c>
      <c r="C508" t="s">
        <v>45</v>
      </c>
      <c r="D508" t="s">
        <v>39</v>
      </c>
      <c r="E508" t="s">
        <v>33</v>
      </c>
      <c r="F508">
        <v>63</v>
      </c>
      <c r="G508" t="s">
        <v>118</v>
      </c>
      <c r="H508" s="18">
        <v>43171</v>
      </c>
      <c r="I508">
        <v>73200</v>
      </c>
      <c r="J508">
        <v>0</v>
      </c>
      <c r="K508">
        <v>0</v>
      </c>
      <c r="L508" t="s">
        <v>34</v>
      </c>
      <c r="M508" t="s">
        <v>55</v>
      </c>
      <c r="N508" s="18"/>
    </row>
    <row r="509" spans="1:14" x14ac:dyDescent="0.25">
      <c r="A509" t="s">
        <v>1965</v>
      </c>
      <c r="B509" t="s">
        <v>47</v>
      </c>
      <c r="C509" t="s">
        <v>50</v>
      </c>
      <c r="D509" t="s">
        <v>39</v>
      </c>
      <c r="E509" t="s">
        <v>28</v>
      </c>
      <c r="F509">
        <v>46</v>
      </c>
      <c r="G509" t="s">
        <v>119</v>
      </c>
      <c r="H509" s="18">
        <v>40292</v>
      </c>
      <c r="I509">
        <v>102636</v>
      </c>
      <c r="J509">
        <v>0.06</v>
      </c>
      <c r="K509">
        <v>6158.16</v>
      </c>
      <c r="L509" t="s">
        <v>29</v>
      </c>
      <c r="M509" t="s">
        <v>30</v>
      </c>
      <c r="N509" s="18"/>
    </row>
    <row r="510" spans="1:14" x14ac:dyDescent="0.25">
      <c r="A510" t="s">
        <v>1966</v>
      </c>
      <c r="B510" t="s">
        <v>81</v>
      </c>
      <c r="C510" t="s">
        <v>45</v>
      </c>
      <c r="D510" t="s">
        <v>39</v>
      </c>
      <c r="E510" t="s">
        <v>28</v>
      </c>
      <c r="F510">
        <v>26</v>
      </c>
      <c r="G510" t="s">
        <v>120</v>
      </c>
      <c r="H510" s="18">
        <v>44236</v>
      </c>
      <c r="I510">
        <v>87427</v>
      </c>
      <c r="J510">
        <v>0</v>
      </c>
      <c r="K510">
        <v>0</v>
      </c>
      <c r="L510" t="s">
        <v>59</v>
      </c>
      <c r="M510" t="s">
        <v>76</v>
      </c>
      <c r="N510" s="18"/>
    </row>
    <row r="511" spans="1:14" x14ac:dyDescent="0.25">
      <c r="A511" t="s">
        <v>1967</v>
      </c>
      <c r="B511" t="s">
        <v>65</v>
      </c>
      <c r="C511" t="s">
        <v>26</v>
      </c>
      <c r="D511" t="s">
        <v>27</v>
      </c>
      <c r="E511" t="s">
        <v>33</v>
      </c>
      <c r="F511">
        <v>45</v>
      </c>
      <c r="G511" t="s">
        <v>119</v>
      </c>
      <c r="H511" s="18">
        <v>43248</v>
      </c>
      <c r="I511">
        <v>49219</v>
      </c>
      <c r="J511">
        <v>0</v>
      </c>
      <c r="K511">
        <v>0</v>
      </c>
      <c r="L511" t="s">
        <v>29</v>
      </c>
      <c r="M511" t="s">
        <v>58</v>
      </c>
      <c r="N511" s="18"/>
    </row>
    <row r="512" spans="1:14" x14ac:dyDescent="0.25">
      <c r="A512" t="s">
        <v>1968</v>
      </c>
      <c r="B512" t="s">
        <v>47</v>
      </c>
      <c r="C512" t="s">
        <v>38</v>
      </c>
      <c r="D512" t="s">
        <v>32</v>
      </c>
      <c r="E512" t="s">
        <v>33</v>
      </c>
      <c r="F512">
        <v>50</v>
      </c>
      <c r="G512" t="s">
        <v>119</v>
      </c>
      <c r="H512" s="18">
        <v>43239</v>
      </c>
      <c r="I512">
        <v>106437</v>
      </c>
      <c r="J512">
        <v>7.0000000000000007E-2</v>
      </c>
      <c r="K512">
        <v>7450.5900000000011</v>
      </c>
      <c r="L512" t="s">
        <v>34</v>
      </c>
      <c r="M512" t="s">
        <v>35</v>
      </c>
      <c r="N512" s="18"/>
    </row>
    <row r="513" spans="1:14" x14ac:dyDescent="0.25">
      <c r="A513" t="s">
        <v>1969</v>
      </c>
      <c r="B513" t="s">
        <v>66</v>
      </c>
      <c r="C513" t="s">
        <v>38</v>
      </c>
      <c r="D513" t="s">
        <v>32</v>
      </c>
      <c r="E513" t="s">
        <v>33</v>
      </c>
      <c r="F513">
        <v>46</v>
      </c>
      <c r="G513" t="s">
        <v>119</v>
      </c>
      <c r="H513" s="18">
        <v>42129</v>
      </c>
      <c r="I513">
        <v>64364</v>
      </c>
      <c r="J513">
        <v>0</v>
      </c>
      <c r="K513">
        <v>0</v>
      </c>
      <c r="L513" t="s">
        <v>59</v>
      </c>
      <c r="M513" t="s">
        <v>76</v>
      </c>
      <c r="N513" s="18"/>
    </row>
    <row r="514" spans="1:14" x14ac:dyDescent="0.25">
      <c r="A514" t="s">
        <v>1970</v>
      </c>
      <c r="B514" t="s">
        <v>37</v>
      </c>
      <c r="C514" t="s">
        <v>52</v>
      </c>
      <c r="D514" t="s">
        <v>32</v>
      </c>
      <c r="E514" t="s">
        <v>33</v>
      </c>
      <c r="F514">
        <v>50</v>
      </c>
      <c r="G514" t="s">
        <v>119</v>
      </c>
      <c r="H514" s="18">
        <v>44486</v>
      </c>
      <c r="I514">
        <v>172180</v>
      </c>
      <c r="J514">
        <v>0.3</v>
      </c>
      <c r="K514">
        <v>51654</v>
      </c>
      <c r="L514" t="s">
        <v>29</v>
      </c>
      <c r="M514" t="s">
        <v>58</v>
      </c>
      <c r="N514" s="18"/>
    </row>
    <row r="515" spans="1:14" x14ac:dyDescent="0.25">
      <c r="A515" t="s">
        <v>1971</v>
      </c>
      <c r="B515" t="s">
        <v>42</v>
      </c>
      <c r="C515" t="s">
        <v>45</v>
      </c>
      <c r="D515" t="s">
        <v>32</v>
      </c>
      <c r="E515" t="s">
        <v>28</v>
      </c>
      <c r="F515">
        <v>33</v>
      </c>
      <c r="G515" t="s">
        <v>120</v>
      </c>
      <c r="H515" s="18">
        <v>41043</v>
      </c>
      <c r="I515">
        <v>88343</v>
      </c>
      <c r="J515">
        <v>0</v>
      </c>
      <c r="K515">
        <v>0</v>
      </c>
      <c r="L515" t="s">
        <v>59</v>
      </c>
      <c r="M515" t="s">
        <v>61</v>
      </c>
      <c r="N515" s="18"/>
    </row>
    <row r="516" spans="1:14" x14ac:dyDescent="0.25">
      <c r="A516" t="s">
        <v>1972</v>
      </c>
      <c r="B516" t="s">
        <v>84</v>
      </c>
      <c r="C516" t="s">
        <v>26</v>
      </c>
      <c r="D516" t="s">
        <v>39</v>
      </c>
      <c r="E516" t="s">
        <v>33</v>
      </c>
      <c r="F516">
        <v>57</v>
      </c>
      <c r="G516" t="s">
        <v>118</v>
      </c>
      <c r="H516" s="18">
        <v>41830</v>
      </c>
      <c r="I516">
        <v>66649</v>
      </c>
      <c r="J516">
        <v>0</v>
      </c>
      <c r="K516">
        <v>0</v>
      </c>
      <c r="L516" t="s">
        <v>59</v>
      </c>
      <c r="M516" t="s">
        <v>61</v>
      </c>
      <c r="N516" s="18"/>
    </row>
    <row r="517" spans="1:14" x14ac:dyDescent="0.25">
      <c r="A517" t="s">
        <v>1973</v>
      </c>
      <c r="B517" t="s">
        <v>47</v>
      </c>
      <c r="C517" t="s">
        <v>38</v>
      </c>
      <c r="D517" t="s">
        <v>46</v>
      </c>
      <c r="E517" t="s">
        <v>28</v>
      </c>
      <c r="F517">
        <v>48</v>
      </c>
      <c r="G517" t="s">
        <v>119</v>
      </c>
      <c r="H517" s="18">
        <v>36272</v>
      </c>
      <c r="I517">
        <v>102847</v>
      </c>
      <c r="J517">
        <v>0.05</v>
      </c>
      <c r="K517">
        <v>5142.3500000000004</v>
      </c>
      <c r="L517" t="s">
        <v>29</v>
      </c>
      <c r="M517" t="s">
        <v>40</v>
      </c>
      <c r="N517" s="18"/>
    </row>
    <row r="518" spans="1:14" x14ac:dyDescent="0.25">
      <c r="A518" t="s">
        <v>1974</v>
      </c>
      <c r="B518" t="s">
        <v>25</v>
      </c>
      <c r="C518" t="s">
        <v>38</v>
      </c>
      <c r="D518" t="s">
        <v>32</v>
      </c>
      <c r="E518" t="s">
        <v>33</v>
      </c>
      <c r="F518">
        <v>46</v>
      </c>
      <c r="G518" t="s">
        <v>119</v>
      </c>
      <c r="H518" s="18">
        <v>40378</v>
      </c>
      <c r="I518">
        <v>134881</v>
      </c>
      <c r="J518">
        <v>0.15</v>
      </c>
      <c r="K518">
        <v>20232.149999999998</v>
      </c>
      <c r="L518" t="s">
        <v>59</v>
      </c>
      <c r="M518" t="s">
        <v>60</v>
      </c>
      <c r="N518" s="18"/>
    </row>
    <row r="519" spans="1:14" x14ac:dyDescent="0.25">
      <c r="A519" t="s">
        <v>1975</v>
      </c>
      <c r="B519" t="s">
        <v>66</v>
      </c>
      <c r="C519" t="s">
        <v>57</v>
      </c>
      <c r="D519" t="s">
        <v>32</v>
      </c>
      <c r="E519" t="s">
        <v>33</v>
      </c>
      <c r="F519">
        <v>52</v>
      </c>
      <c r="G519" t="s">
        <v>119</v>
      </c>
      <c r="H519" s="18">
        <v>36303</v>
      </c>
      <c r="I519">
        <v>68807</v>
      </c>
      <c r="J519">
        <v>0</v>
      </c>
      <c r="K519">
        <v>0</v>
      </c>
      <c r="L519" t="s">
        <v>34</v>
      </c>
      <c r="M519" t="s">
        <v>68</v>
      </c>
      <c r="N519" s="18">
        <v>42338</v>
      </c>
    </row>
    <row r="520" spans="1:14" x14ac:dyDescent="0.25">
      <c r="A520" t="s">
        <v>1976</v>
      </c>
      <c r="B520" t="s">
        <v>56</v>
      </c>
      <c r="C520" t="s">
        <v>26</v>
      </c>
      <c r="D520" t="s">
        <v>32</v>
      </c>
      <c r="E520" t="s">
        <v>33</v>
      </c>
      <c r="F520">
        <v>56</v>
      </c>
      <c r="G520" t="s">
        <v>118</v>
      </c>
      <c r="H520" s="18">
        <v>38866</v>
      </c>
      <c r="I520">
        <v>228822</v>
      </c>
      <c r="J520">
        <v>0.36</v>
      </c>
      <c r="K520">
        <v>82375.92</v>
      </c>
      <c r="L520" t="s">
        <v>29</v>
      </c>
      <c r="M520" t="s">
        <v>49</v>
      </c>
      <c r="N520" s="18"/>
    </row>
    <row r="521" spans="1:14" x14ac:dyDescent="0.25">
      <c r="A521" t="s">
        <v>1977</v>
      </c>
      <c r="B521" t="s">
        <v>48</v>
      </c>
      <c r="C521" t="s">
        <v>57</v>
      </c>
      <c r="D521" t="s">
        <v>32</v>
      </c>
      <c r="E521" t="s">
        <v>33</v>
      </c>
      <c r="F521">
        <v>28</v>
      </c>
      <c r="G521" t="s">
        <v>120</v>
      </c>
      <c r="H521" s="18">
        <v>44395</v>
      </c>
      <c r="I521">
        <v>43391</v>
      </c>
      <c r="J521">
        <v>0</v>
      </c>
      <c r="K521">
        <v>0</v>
      </c>
      <c r="L521" t="s">
        <v>29</v>
      </c>
      <c r="M521" t="s">
        <v>58</v>
      </c>
      <c r="N521" s="18"/>
    </row>
    <row r="522" spans="1:14" x14ac:dyDescent="0.25">
      <c r="A522" t="s">
        <v>1978</v>
      </c>
      <c r="B522" t="s">
        <v>62</v>
      </c>
      <c r="C522" t="s">
        <v>54</v>
      </c>
      <c r="D522" t="s">
        <v>39</v>
      </c>
      <c r="E522" t="s">
        <v>33</v>
      </c>
      <c r="F522">
        <v>29</v>
      </c>
      <c r="G522" t="s">
        <v>120</v>
      </c>
      <c r="H522" s="18">
        <v>44515</v>
      </c>
      <c r="I522">
        <v>91782</v>
      </c>
      <c r="J522">
        <v>0</v>
      </c>
      <c r="K522">
        <v>0</v>
      </c>
      <c r="L522" t="s">
        <v>34</v>
      </c>
      <c r="M522" t="s">
        <v>35</v>
      </c>
      <c r="N522" s="18"/>
    </row>
    <row r="523" spans="1:14" x14ac:dyDescent="0.25">
      <c r="A523" t="s">
        <v>1979</v>
      </c>
      <c r="B523" t="s">
        <v>56</v>
      </c>
      <c r="C523" t="s">
        <v>57</v>
      </c>
      <c r="D523" t="s">
        <v>46</v>
      </c>
      <c r="E523" t="s">
        <v>28</v>
      </c>
      <c r="F523">
        <v>45</v>
      </c>
      <c r="G523" t="s">
        <v>119</v>
      </c>
      <c r="H523" s="18">
        <v>42428</v>
      </c>
      <c r="I523">
        <v>211637</v>
      </c>
      <c r="J523">
        <v>0.31</v>
      </c>
      <c r="K523">
        <v>65607.47</v>
      </c>
      <c r="L523" t="s">
        <v>29</v>
      </c>
      <c r="M523" t="s">
        <v>40</v>
      </c>
      <c r="N523" s="18"/>
    </row>
    <row r="524" spans="1:14" x14ac:dyDescent="0.25">
      <c r="A524" t="s">
        <v>1980</v>
      </c>
      <c r="B524" t="s">
        <v>41</v>
      </c>
      <c r="C524" t="s">
        <v>26</v>
      </c>
      <c r="D524" t="s">
        <v>32</v>
      </c>
      <c r="E524" t="s">
        <v>33</v>
      </c>
      <c r="F524">
        <v>28</v>
      </c>
      <c r="G524" t="s">
        <v>120</v>
      </c>
      <c r="H524" s="18">
        <v>44051</v>
      </c>
      <c r="I524">
        <v>73255</v>
      </c>
      <c r="J524">
        <v>0.09</v>
      </c>
      <c r="K524">
        <v>6592.95</v>
      </c>
      <c r="L524" t="s">
        <v>29</v>
      </c>
      <c r="M524" t="s">
        <v>43</v>
      </c>
      <c r="N524" s="18"/>
    </row>
    <row r="525" spans="1:14" x14ac:dyDescent="0.25">
      <c r="A525" t="s">
        <v>1981</v>
      </c>
      <c r="B525" t="s">
        <v>47</v>
      </c>
      <c r="C525" t="s">
        <v>45</v>
      </c>
      <c r="D525" t="s">
        <v>46</v>
      </c>
      <c r="E525" t="s">
        <v>33</v>
      </c>
      <c r="F525">
        <v>28</v>
      </c>
      <c r="G525" t="s">
        <v>120</v>
      </c>
      <c r="H525" s="18">
        <v>44204</v>
      </c>
      <c r="I525">
        <v>108826</v>
      </c>
      <c r="J525">
        <v>0.1</v>
      </c>
      <c r="K525">
        <v>10882.6</v>
      </c>
      <c r="L525" t="s">
        <v>29</v>
      </c>
      <c r="M525" t="s">
        <v>49</v>
      </c>
      <c r="N525" s="18"/>
    </row>
    <row r="526" spans="1:14" x14ac:dyDescent="0.25">
      <c r="A526" t="s">
        <v>1982</v>
      </c>
      <c r="B526" t="s">
        <v>84</v>
      </c>
      <c r="C526" t="s">
        <v>26</v>
      </c>
      <c r="D526" t="s">
        <v>39</v>
      </c>
      <c r="E526" t="s">
        <v>33</v>
      </c>
      <c r="F526">
        <v>34</v>
      </c>
      <c r="G526" t="s">
        <v>120</v>
      </c>
      <c r="H526" s="18">
        <v>42514</v>
      </c>
      <c r="I526">
        <v>94352</v>
      </c>
      <c r="J526">
        <v>0</v>
      </c>
      <c r="K526">
        <v>0</v>
      </c>
      <c r="L526" t="s">
        <v>29</v>
      </c>
      <c r="M526" t="s">
        <v>49</v>
      </c>
      <c r="N526" s="18"/>
    </row>
    <row r="527" spans="1:14" x14ac:dyDescent="0.25">
      <c r="A527" t="s">
        <v>1983</v>
      </c>
      <c r="B527" t="s">
        <v>85</v>
      </c>
      <c r="C527" t="s">
        <v>26</v>
      </c>
      <c r="D527" t="s">
        <v>27</v>
      </c>
      <c r="E527" t="s">
        <v>28</v>
      </c>
      <c r="F527">
        <v>55</v>
      </c>
      <c r="G527" t="s">
        <v>118</v>
      </c>
      <c r="H527" s="18">
        <v>34576</v>
      </c>
      <c r="I527">
        <v>73955</v>
      </c>
      <c r="J527">
        <v>0</v>
      </c>
      <c r="K527">
        <v>0</v>
      </c>
      <c r="L527" t="s">
        <v>29</v>
      </c>
      <c r="M527" t="s">
        <v>43</v>
      </c>
      <c r="N527" s="18"/>
    </row>
    <row r="528" spans="1:14" x14ac:dyDescent="0.25">
      <c r="A528" t="s">
        <v>1984</v>
      </c>
      <c r="B528" t="s">
        <v>47</v>
      </c>
      <c r="C528" t="s">
        <v>52</v>
      </c>
      <c r="D528" t="s">
        <v>32</v>
      </c>
      <c r="E528" t="s">
        <v>33</v>
      </c>
      <c r="F528">
        <v>34</v>
      </c>
      <c r="G528" t="s">
        <v>120</v>
      </c>
      <c r="H528" s="18">
        <v>41499</v>
      </c>
      <c r="I528">
        <v>113909</v>
      </c>
      <c r="J528">
        <v>0.06</v>
      </c>
      <c r="K528">
        <v>6834.54</v>
      </c>
      <c r="L528" t="s">
        <v>59</v>
      </c>
      <c r="M528" t="s">
        <v>61</v>
      </c>
      <c r="N528" s="18"/>
    </row>
    <row r="529" spans="1:14" x14ac:dyDescent="0.25">
      <c r="A529" t="s">
        <v>1985</v>
      </c>
      <c r="B529" t="s">
        <v>87</v>
      </c>
      <c r="C529" t="s">
        <v>26</v>
      </c>
      <c r="D529" t="s">
        <v>32</v>
      </c>
      <c r="E529" t="s">
        <v>33</v>
      </c>
      <c r="F529">
        <v>27</v>
      </c>
      <c r="G529" t="s">
        <v>120</v>
      </c>
      <c r="H529" s="18">
        <v>44189</v>
      </c>
      <c r="I529">
        <v>92321</v>
      </c>
      <c r="J529">
        <v>0</v>
      </c>
      <c r="K529">
        <v>0</v>
      </c>
      <c r="L529" t="s">
        <v>29</v>
      </c>
      <c r="M529" t="s">
        <v>40</v>
      </c>
      <c r="N529" s="18"/>
    </row>
    <row r="530" spans="1:14" x14ac:dyDescent="0.25">
      <c r="A530" t="s">
        <v>1986</v>
      </c>
      <c r="B530" t="s">
        <v>41</v>
      </c>
      <c r="C530" t="s">
        <v>26</v>
      </c>
      <c r="D530" t="s">
        <v>27</v>
      </c>
      <c r="E530" t="s">
        <v>33</v>
      </c>
      <c r="F530">
        <v>52</v>
      </c>
      <c r="G530" t="s">
        <v>119</v>
      </c>
      <c r="H530" s="18">
        <v>41417</v>
      </c>
      <c r="I530">
        <v>99557</v>
      </c>
      <c r="J530">
        <v>0.09</v>
      </c>
      <c r="K530">
        <v>8960.1299999999992</v>
      </c>
      <c r="L530" t="s">
        <v>29</v>
      </c>
      <c r="M530" t="s">
        <v>30</v>
      </c>
      <c r="N530" s="18"/>
    </row>
    <row r="531" spans="1:14" x14ac:dyDescent="0.25">
      <c r="A531" t="s">
        <v>1987</v>
      </c>
      <c r="B531" t="s">
        <v>72</v>
      </c>
      <c r="C531" t="s">
        <v>54</v>
      </c>
      <c r="D531" t="s">
        <v>39</v>
      </c>
      <c r="E531" t="s">
        <v>28</v>
      </c>
      <c r="F531">
        <v>28</v>
      </c>
      <c r="G531" t="s">
        <v>120</v>
      </c>
      <c r="H531" s="18">
        <v>43418</v>
      </c>
      <c r="I531">
        <v>115854</v>
      </c>
      <c r="J531">
        <v>0</v>
      </c>
      <c r="K531">
        <v>0</v>
      </c>
      <c r="L531" t="s">
        <v>29</v>
      </c>
      <c r="M531" t="s">
        <v>43</v>
      </c>
      <c r="N531" s="18"/>
    </row>
    <row r="532" spans="1:14" x14ac:dyDescent="0.25">
      <c r="A532" t="s">
        <v>1988</v>
      </c>
      <c r="B532" t="s">
        <v>85</v>
      </c>
      <c r="C532" t="s">
        <v>26</v>
      </c>
      <c r="D532" t="s">
        <v>32</v>
      </c>
      <c r="E532" t="s">
        <v>28</v>
      </c>
      <c r="F532">
        <v>44</v>
      </c>
      <c r="G532" t="s">
        <v>121</v>
      </c>
      <c r="H532" s="18">
        <v>40603</v>
      </c>
      <c r="I532">
        <v>82462</v>
      </c>
      <c r="J532">
        <v>0</v>
      </c>
      <c r="K532">
        <v>0</v>
      </c>
      <c r="L532" t="s">
        <v>29</v>
      </c>
      <c r="M532" t="s">
        <v>51</v>
      </c>
      <c r="N532" s="18"/>
    </row>
    <row r="533" spans="1:14" x14ac:dyDescent="0.25">
      <c r="A533" t="s">
        <v>1989</v>
      </c>
      <c r="B533" t="s">
        <v>56</v>
      </c>
      <c r="C533" t="s">
        <v>26</v>
      </c>
      <c r="D533" t="s">
        <v>27</v>
      </c>
      <c r="E533" t="s">
        <v>28</v>
      </c>
      <c r="F533">
        <v>53</v>
      </c>
      <c r="G533" t="s">
        <v>119</v>
      </c>
      <c r="H533" s="18">
        <v>40856</v>
      </c>
      <c r="I533">
        <v>198473</v>
      </c>
      <c r="J533">
        <v>0.32</v>
      </c>
      <c r="K533">
        <v>63511.360000000001</v>
      </c>
      <c r="L533" t="s">
        <v>29</v>
      </c>
      <c r="M533" t="s">
        <v>49</v>
      </c>
      <c r="N533" s="18"/>
    </row>
    <row r="534" spans="1:14" x14ac:dyDescent="0.25">
      <c r="A534" t="s">
        <v>1990</v>
      </c>
      <c r="B534" t="s">
        <v>25</v>
      </c>
      <c r="C534" t="s">
        <v>38</v>
      </c>
      <c r="D534" t="s">
        <v>46</v>
      </c>
      <c r="E534" t="s">
        <v>28</v>
      </c>
      <c r="F534">
        <v>43</v>
      </c>
      <c r="G534" t="s">
        <v>121</v>
      </c>
      <c r="H534" s="18">
        <v>39005</v>
      </c>
      <c r="I534">
        <v>153492</v>
      </c>
      <c r="J534">
        <v>0.11</v>
      </c>
      <c r="K534">
        <v>16884.12</v>
      </c>
      <c r="L534" t="s">
        <v>29</v>
      </c>
      <c r="M534" t="s">
        <v>40</v>
      </c>
      <c r="N534" s="18"/>
    </row>
    <row r="535" spans="1:14" x14ac:dyDescent="0.25">
      <c r="A535" t="s">
        <v>1991</v>
      </c>
      <c r="B535" t="s">
        <v>56</v>
      </c>
      <c r="C535" t="s">
        <v>52</v>
      </c>
      <c r="D535" t="s">
        <v>46</v>
      </c>
      <c r="E535" t="s">
        <v>28</v>
      </c>
      <c r="F535">
        <v>28</v>
      </c>
      <c r="G535" t="s">
        <v>120</v>
      </c>
      <c r="H535" s="18">
        <v>43121</v>
      </c>
      <c r="I535">
        <v>208210</v>
      </c>
      <c r="J535">
        <v>0.3</v>
      </c>
      <c r="K535">
        <v>62463</v>
      </c>
      <c r="L535" t="s">
        <v>29</v>
      </c>
      <c r="M535" t="s">
        <v>30</v>
      </c>
      <c r="N535" s="18"/>
    </row>
    <row r="536" spans="1:14" x14ac:dyDescent="0.25">
      <c r="A536" t="s">
        <v>1992</v>
      </c>
      <c r="B536" t="s">
        <v>42</v>
      </c>
      <c r="C536" t="s">
        <v>57</v>
      </c>
      <c r="D536" t="s">
        <v>46</v>
      </c>
      <c r="E536" t="s">
        <v>33</v>
      </c>
      <c r="F536">
        <v>33</v>
      </c>
      <c r="G536" t="s">
        <v>120</v>
      </c>
      <c r="H536" s="18">
        <v>42325</v>
      </c>
      <c r="I536">
        <v>91632</v>
      </c>
      <c r="J536">
        <v>0</v>
      </c>
      <c r="K536">
        <v>0</v>
      </c>
      <c r="L536" t="s">
        <v>29</v>
      </c>
      <c r="M536" t="s">
        <v>43</v>
      </c>
      <c r="N536" s="18"/>
    </row>
    <row r="537" spans="1:14" x14ac:dyDescent="0.25">
      <c r="A537" t="s">
        <v>1993</v>
      </c>
      <c r="B537" t="s">
        <v>70</v>
      </c>
      <c r="C537" t="s">
        <v>52</v>
      </c>
      <c r="D537" t="s">
        <v>46</v>
      </c>
      <c r="E537" t="s">
        <v>33</v>
      </c>
      <c r="F537">
        <v>31</v>
      </c>
      <c r="G537" t="s">
        <v>120</v>
      </c>
      <c r="H537" s="18">
        <v>43002</v>
      </c>
      <c r="I537">
        <v>71755</v>
      </c>
      <c r="J537">
        <v>0</v>
      </c>
      <c r="K537">
        <v>0</v>
      </c>
      <c r="L537" t="s">
        <v>34</v>
      </c>
      <c r="M537" t="s">
        <v>35</v>
      </c>
      <c r="N537" s="18"/>
    </row>
    <row r="538" spans="1:14" x14ac:dyDescent="0.25">
      <c r="A538" t="s">
        <v>1994</v>
      </c>
      <c r="B538" t="s">
        <v>47</v>
      </c>
      <c r="C538" t="s">
        <v>50</v>
      </c>
      <c r="D538" t="s">
        <v>46</v>
      </c>
      <c r="E538" t="s">
        <v>28</v>
      </c>
      <c r="F538">
        <v>52</v>
      </c>
      <c r="G538" t="s">
        <v>119</v>
      </c>
      <c r="H538" s="18">
        <v>44519</v>
      </c>
      <c r="I538">
        <v>111006</v>
      </c>
      <c r="J538">
        <v>0.08</v>
      </c>
      <c r="K538">
        <v>8880.48</v>
      </c>
      <c r="L538" t="s">
        <v>34</v>
      </c>
      <c r="M538" t="s">
        <v>35</v>
      </c>
      <c r="N538" s="18"/>
    </row>
    <row r="539" spans="1:14" x14ac:dyDescent="0.25">
      <c r="A539" t="s">
        <v>1995</v>
      </c>
      <c r="B539" t="s">
        <v>75</v>
      </c>
      <c r="C539" t="s">
        <v>26</v>
      </c>
      <c r="D539" t="s">
        <v>46</v>
      </c>
      <c r="E539" t="s">
        <v>33</v>
      </c>
      <c r="F539">
        <v>55</v>
      </c>
      <c r="G539" t="s">
        <v>118</v>
      </c>
      <c r="H539" s="18">
        <v>34692</v>
      </c>
      <c r="I539">
        <v>99774</v>
      </c>
      <c r="J539">
        <v>0</v>
      </c>
      <c r="K539">
        <v>0</v>
      </c>
      <c r="L539" t="s">
        <v>29</v>
      </c>
      <c r="M539" t="s">
        <v>51</v>
      </c>
      <c r="N539" s="18"/>
    </row>
    <row r="540" spans="1:14" x14ac:dyDescent="0.25">
      <c r="A540" t="s">
        <v>1996</v>
      </c>
      <c r="B540" t="s">
        <v>37</v>
      </c>
      <c r="C540" t="s">
        <v>26</v>
      </c>
      <c r="D540" t="s">
        <v>27</v>
      </c>
      <c r="E540" t="s">
        <v>33</v>
      </c>
      <c r="F540">
        <v>55</v>
      </c>
      <c r="G540" t="s">
        <v>118</v>
      </c>
      <c r="H540" s="18">
        <v>39154</v>
      </c>
      <c r="I540">
        <v>184648</v>
      </c>
      <c r="J540">
        <v>0.24</v>
      </c>
      <c r="K540">
        <v>44315.519999999997</v>
      </c>
      <c r="L540" t="s">
        <v>34</v>
      </c>
      <c r="M540" t="s">
        <v>55</v>
      </c>
      <c r="N540" s="18"/>
    </row>
    <row r="541" spans="1:14" x14ac:dyDescent="0.25">
      <c r="A541" t="s">
        <v>1997</v>
      </c>
      <c r="B541" t="s">
        <v>56</v>
      </c>
      <c r="C541" t="s">
        <v>26</v>
      </c>
      <c r="D541" t="s">
        <v>32</v>
      </c>
      <c r="E541" t="s">
        <v>33</v>
      </c>
      <c r="F541">
        <v>51</v>
      </c>
      <c r="G541" t="s">
        <v>119</v>
      </c>
      <c r="H541" s="18">
        <v>37091</v>
      </c>
      <c r="I541">
        <v>247874</v>
      </c>
      <c r="J541">
        <v>0.33</v>
      </c>
      <c r="K541">
        <v>81798.42</v>
      </c>
      <c r="L541" t="s">
        <v>59</v>
      </c>
      <c r="M541" t="s">
        <v>60</v>
      </c>
      <c r="N541" s="18"/>
    </row>
    <row r="542" spans="1:14" x14ac:dyDescent="0.25">
      <c r="A542" t="s">
        <v>1998</v>
      </c>
      <c r="B542" t="s">
        <v>80</v>
      </c>
      <c r="C542" t="s">
        <v>54</v>
      </c>
      <c r="D542" t="s">
        <v>32</v>
      </c>
      <c r="E542" t="s">
        <v>33</v>
      </c>
      <c r="F542">
        <v>60</v>
      </c>
      <c r="G542" t="s">
        <v>118</v>
      </c>
      <c r="H542" s="18">
        <v>39944</v>
      </c>
      <c r="I542">
        <v>62239</v>
      </c>
      <c r="J542">
        <v>0</v>
      </c>
      <c r="K542">
        <v>0</v>
      </c>
      <c r="L542" t="s">
        <v>34</v>
      </c>
      <c r="M542" t="s">
        <v>64</v>
      </c>
      <c r="N542" s="18"/>
    </row>
    <row r="543" spans="1:14" x14ac:dyDescent="0.25">
      <c r="A543" t="s">
        <v>1999</v>
      </c>
      <c r="B543" t="s">
        <v>47</v>
      </c>
      <c r="C543" t="s">
        <v>50</v>
      </c>
      <c r="D543" t="s">
        <v>39</v>
      </c>
      <c r="E543" t="s">
        <v>28</v>
      </c>
      <c r="F543">
        <v>31</v>
      </c>
      <c r="G543" t="s">
        <v>120</v>
      </c>
      <c r="H543" s="18">
        <v>41919</v>
      </c>
      <c r="I543">
        <v>114911</v>
      </c>
      <c r="J543">
        <v>7.0000000000000007E-2</v>
      </c>
      <c r="K543">
        <v>8043.77</v>
      </c>
      <c r="L543" t="s">
        <v>29</v>
      </c>
      <c r="M543" t="s">
        <v>40</v>
      </c>
      <c r="N543" s="18"/>
    </row>
    <row r="544" spans="1:14" x14ac:dyDescent="0.25">
      <c r="A544" t="s">
        <v>2000</v>
      </c>
      <c r="B544" t="s">
        <v>63</v>
      </c>
      <c r="C544" t="s">
        <v>54</v>
      </c>
      <c r="D544" t="s">
        <v>46</v>
      </c>
      <c r="E544" t="s">
        <v>33</v>
      </c>
      <c r="F544">
        <v>45</v>
      </c>
      <c r="G544" t="s">
        <v>119</v>
      </c>
      <c r="H544" s="18">
        <v>43217</v>
      </c>
      <c r="I544">
        <v>115490</v>
      </c>
      <c r="J544">
        <v>0.12</v>
      </c>
      <c r="K544">
        <v>13858.8</v>
      </c>
      <c r="L544" t="s">
        <v>29</v>
      </c>
      <c r="M544" t="s">
        <v>40</v>
      </c>
      <c r="N544" s="18"/>
    </row>
    <row r="545" spans="1:14" x14ac:dyDescent="0.25">
      <c r="A545" t="s">
        <v>2001</v>
      </c>
      <c r="B545" t="s">
        <v>47</v>
      </c>
      <c r="C545" t="s">
        <v>50</v>
      </c>
      <c r="D545" t="s">
        <v>39</v>
      </c>
      <c r="E545" t="s">
        <v>33</v>
      </c>
      <c r="F545">
        <v>34</v>
      </c>
      <c r="G545" t="s">
        <v>120</v>
      </c>
      <c r="H545" s="18">
        <v>40952</v>
      </c>
      <c r="I545">
        <v>118708</v>
      </c>
      <c r="J545">
        <v>7.0000000000000007E-2</v>
      </c>
      <c r="K545">
        <v>8309.5600000000013</v>
      </c>
      <c r="L545" t="s">
        <v>34</v>
      </c>
      <c r="M545" t="s">
        <v>55</v>
      </c>
      <c r="N545" s="18"/>
    </row>
    <row r="546" spans="1:14" x14ac:dyDescent="0.25">
      <c r="A546" t="s">
        <v>2002</v>
      </c>
      <c r="B546" t="s">
        <v>37</v>
      </c>
      <c r="C546" t="s">
        <v>50</v>
      </c>
      <c r="D546" t="s">
        <v>39</v>
      </c>
      <c r="E546" t="s">
        <v>28</v>
      </c>
      <c r="F546">
        <v>29</v>
      </c>
      <c r="G546" t="s">
        <v>120</v>
      </c>
      <c r="H546" s="18">
        <v>42914</v>
      </c>
      <c r="I546">
        <v>197649</v>
      </c>
      <c r="J546">
        <v>0.2</v>
      </c>
      <c r="K546">
        <v>39529.800000000003</v>
      </c>
      <c r="L546" t="s">
        <v>29</v>
      </c>
      <c r="M546" t="s">
        <v>58</v>
      </c>
      <c r="N546" s="18"/>
    </row>
    <row r="547" spans="1:14" x14ac:dyDescent="0.25">
      <c r="A547" t="s">
        <v>2003</v>
      </c>
      <c r="B547" t="s">
        <v>42</v>
      </c>
      <c r="C547" t="s">
        <v>50</v>
      </c>
      <c r="D547" t="s">
        <v>39</v>
      </c>
      <c r="E547" t="s">
        <v>28</v>
      </c>
      <c r="F547">
        <v>45</v>
      </c>
      <c r="G547" t="s">
        <v>119</v>
      </c>
      <c r="H547" s="18">
        <v>43999</v>
      </c>
      <c r="I547">
        <v>89841</v>
      </c>
      <c r="J547">
        <v>0</v>
      </c>
      <c r="K547">
        <v>0</v>
      </c>
      <c r="L547" t="s">
        <v>34</v>
      </c>
      <c r="M547" t="s">
        <v>64</v>
      </c>
      <c r="N547" s="18"/>
    </row>
    <row r="548" spans="1:14" x14ac:dyDescent="0.25">
      <c r="A548" t="s">
        <v>2004</v>
      </c>
      <c r="B548" t="s">
        <v>66</v>
      </c>
      <c r="C548" t="s">
        <v>38</v>
      </c>
      <c r="D548" t="s">
        <v>39</v>
      </c>
      <c r="E548" t="s">
        <v>28</v>
      </c>
      <c r="F548">
        <v>52</v>
      </c>
      <c r="G548" t="s">
        <v>119</v>
      </c>
      <c r="H548" s="18">
        <v>43819</v>
      </c>
      <c r="I548">
        <v>61026</v>
      </c>
      <c r="J548">
        <v>0</v>
      </c>
      <c r="K548">
        <v>0</v>
      </c>
      <c r="L548" t="s">
        <v>29</v>
      </c>
      <c r="M548" t="s">
        <v>43</v>
      </c>
      <c r="N548" s="18"/>
    </row>
    <row r="549" spans="1:14" x14ac:dyDescent="0.25">
      <c r="A549" t="s">
        <v>2005</v>
      </c>
      <c r="B549" t="s">
        <v>53</v>
      </c>
      <c r="C549" t="s">
        <v>54</v>
      </c>
      <c r="D549" t="s">
        <v>39</v>
      </c>
      <c r="E549" t="s">
        <v>28</v>
      </c>
      <c r="F549">
        <v>48</v>
      </c>
      <c r="G549" t="s">
        <v>119</v>
      </c>
      <c r="H549" s="18">
        <v>41907</v>
      </c>
      <c r="I549">
        <v>96693</v>
      </c>
      <c r="J549">
        <v>0</v>
      </c>
      <c r="K549">
        <v>0</v>
      </c>
      <c r="L549" t="s">
        <v>29</v>
      </c>
      <c r="M549" t="s">
        <v>40</v>
      </c>
      <c r="N549" s="18"/>
    </row>
    <row r="550" spans="1:14" x14ac:dyDescent="0.25">
      <c r="A550" t="s">
        <v>2006</v>
      </c>
      <c r="B550" t="s">
        <v>77</v>
      </c>
      <c r="C550" t="s">
        <v>54</v>
      </c>
      <c r="D550" t="s">
        <v>39</v>
      </c>
      <c r="E550" t="s">
        <v>28</v>
      </c>
      <c r="F550">
        <v>48</v>
      </c>
      <c r="G550" t="s">
        <v>119</v>
      </c>
      <c r="H550" s="18">
        <v>39991</v>
      </c>
      <c r="I550">
        <v>82907</v>
      </c>
      <c r="J550">
        <v>0</v>
      </c>
      <c r="K550">
        <v>0</v>
      </c>
      <c r="L550" t="s">
        <v>29</v>
      </c>
      <c r="M550" t="s">
        <v>30</v>
      </c>
      <c r="N550" s="18"/>
    </row>
    <row r="551" spans="1:14" x14ac:dyDescent="0.25">
      <c r="A551" t="s">
        <v>2007</v>
      </c>
      <c r="B551" t="s">
        <v>56</v>
      </c>
      <c r="C551" t="s">
        <v>57</v>
      </c>
      <c r="D551" t="s">
        <v>46</v>
      </c>
      <c r="E551" t="s">
        <v>33</v>
      </c>
      <c r="F551">
        <v>41</v>
      </c>
      <c r="G551" t="s">
        <v>121</v>
      </c>
      <c r="H551" s="18">
        <v>41916</v>
      </c>
      <c r="I551">
        <v>257194</v>
      </c>
      <c r="J551">
        <v>0.35</v>
      </c>
      <c r="K551">
        <v>90017.9</v>
      </c>
      <c r="L551" t="s">
        <v>34</v>
      </c>
      <c r="M551" t="s">
        <v>35</v>
      </c>
      <c r="N551" s="18"/>
    </row>
    <row r="552" spans="1:14" x14ac:dyDescent="0.25">
      <c r="A552" t="s">
        <v>2008</v>
      </c>
      <c r="B552" t="s">
        <v>62</v>
      </c>
      <c r="C552" t="s">
        <v>54</v>
      </c>
      <c r="D552" t="s">
        <v>27</v>
      </c>
      <c r="E552" t="s">
        <v>33</v>
      </c>
      <c r="F552">
        <v>41</v>
      </c>
      <c r="G552" t="s">
        <v>121</v>
      </c>
      <c r="H552" s="18">
        <v>40929</v>
      </c>
      <c r="I552">
        <v>94658</v>
      </c>
      <c r="J552">
        <v>0</v>
      </c>
      <c r="K552">
        <v>0</v>
      </c>
      <c r="L552" t="s">
        <v>29</v>
      </c>
      <c r="M552" t="s">
        <v>49</v>
      </c>
      <c r="N552" s="18"/>
    </row>
    <row r="553" spans="1:14" x14ac:dyDescent="0.25">
      <c r="A553" t="s">
        <v>2009</v>
      </c>
      <c r="B553" t="s">
        <v>62</v>
      </c>
      <c r="C553" t="s">
        <v>54</v>
      </c>
      <c r="D553" t="s">
        <v>27</v>
      </c>
      <c r="E553" t="s">
        <v>33</v>
      </c>
      <c r="F553">
        <v>55</v>
      </c>
      <c r="G553" t="s">
        <v>118</v>
      </c>
      <c r="H553" s="18">
        <v>40663</v>
      </c>
      <c r="I553">
        <v>89419</v>
      </c>
      <c r="J553">
        <v>0</v>
      </c>
      <c r="K553">
        <v>0</v>
      </c>
      <c r="L553" t="s">
        <v>34</v>
      </c>
      <c r="M553" t="s">
        <v>55</v>
      </c>
      <c r="N553" s="18"/>
    </row>
    <row r="554" spans="1:14" x14ac:dyDescent="0.25">
      <c r="A554" t="s">
        <v>2010</v>
      </c>
      <c r="B554" t="s">
        <v>70</v>
      </c>
      <c r="C554" t="s">
        <v>52</v>
      </c>
      <c r="D554" t="s">
        <v>32</v>
      </c>
      <c r="E554" t="s">
        <v>33</v>
      </c>
      <c r="F554">
        <v>45</v>
      </c>
      <c r="G554" t="s">
        <v>119</v>
      </c>
      <c r="H554" s="18">
        <v>42357</v>
      </c>
      <c r="I554">
        <v>51983</v>
      </c>
      <c r="J554">
        <v>0</v>
      </c>
      <c r="K554">
        <v>0</v>
      </c>
      <c r="L554" t="s">
        <v>29</v>
      </c>
      <c r="M554" t="s">
        <v>58</v>
      </c>
      <c r="N554" s="18"/>
    </row>
    <row r="555" spans="1:14" x14ac:dyDescent="0.25">
      <c r="A555" t="s">
        <v>2011</v>
      </c>
      <c r="B555" t="s">
        <v>37</v>
      </c>
      <c r="C555" t="s">
        <v>38</v>
      </c>
      <c r="D555" t="s">
        <v>46</v>
      </c>
      <c r="E555" t="s">
        <v>28</v>
      </c>
      <c r="F555">
        <v>53</v>
      </c>
      <c r="G555" t="s">
        <v>119</v>
      </c>
      <c r="H555" s="18">
        <v>37304</v>
      </c>
      <c r="I555">
        <v>179494</v>
      </c>
      <c r="J555">
        <v>0.2</v>
      </c>
      <c r="K555">
        <v>35898.800000000003</v>
      </c>
      <c r="L555" t="s">
        <v>34</v>
      </c>
      <c r="M555" t="s">
        <v>35</v>
      </c>
      <c r="N555" s="18"/>
    </row>
    <row r="556" spans="1:14" x14ac:dyDescent="0.25">
      <c r="A556" t="s">
        <v>2012</v>
      </c>
      <c r="B556" t="s">
        <v>85</v>
      </c>
      <c r="C556" t="s">
        <v>26</v>
      </c>
      <c r="D556" t="s">
        <v>46</v>
      </c>
      <c r="E556" t="s">
        <v>33</v>
      </c>
      <c r="F556">
        <v>49</v>
      </c>
      <c r="G556" t="s">
        <v>119</v>
      </c>
      <c r="H556" s="18">
        <v>42545</v>
      </c>
      <c r="I556">
        <v>68426</v>
      </c>
      <c r="J556">
        <v>0</v>
      </c>
      <c r="K556">
        <v>0</v>
      </c>
      <c r="L556" t="s">
        <v>59</v>
      </c>
      <c r="M556" t="s">
        <v>61</v>
      </c>
      <c r="N556" s="18"/>
    </row>
    <row r="557" spans="1:14" x14ac:dyDescent="0.25">
      <c r="A557" t="s">
        <v>2013</v>
      </c>
      <c r="B557" t="s">
        <v>25</v>
      </c>
      <c r="C557" t="s">
        <v>38</v>
      </c>
      <c r="D557" t="s">
        <v>46</v>
      </c>
      <c r="E557" t="s">
        <v>28</v>
      </c>
      <c r="F557">
        <v>55</v>
      </c>
      <c r="G557" t="s">
        <v>118</v>
      </c>
      <c r="H557" s="18">
        <v>42772</v>
      </c>
      <c r="I557">
        <v>144986</v>
      </c>
      <c r="J557">
        <v>0.12</v>
      </c>
      <c r="K557">
        <v>17398.32</v>
      </c>
      <c r="L557" t="s">
        <v>29</v>
      </c>
      <c r="M557" t="s">
        <v>43</v>
      </c>
      <c r="N557" s="18"/>
    </row>
    <row r="558" spans="1:14" x14ac:dyDescent="0.25">
      <c r="A558" t="s">
        <v>2014</v>
      </c>
      <c r="B558" t="s">
        <v>44</v>
      </c>
      <c r="C558" t="s">
        <v>45</v>
      </c>
      <c r="D558" t="s">
        <v>39</v>
      </c>
      <c r="E558" t="s">
        <v>28</v>
      </c>
      <c r="F558">
        <v>45</v>
      </c>
      <c r="G558" t="s">
        <v>119</v>
      </c>
      <c r="H558" s="18">
        <v>36754</v>
      </c>
      <c r="I558">
        <v>60113</v>
      </c>
      <c r="J558">
        <v>0</v>
      </c>
      <c r="K558">
        <v>0</v>
      </c>
      <c r="L558" t="s">
        <v>29</v>
      </c>
      <c r="M558" t="s">
        <v>40</v>
      </c>
      <c r="N558" s="18"/>
    </row>
    <row r="559" spans="1:14" x14ac:dyDescent="0.25">
      <c r="A559" t="s">
        <v>2015</v>
      </c>
      <c r="B559" t="s">
        <v>70</v>
      </c>
      <c r="C559" t="s">
        <v>52</v>
      </c>
      <c r="D559" t="s">
        <v>27</v>
      </c>
      <c r="E559" t="s">
        <v>28</v>
      </c>
      <c r="F559">
        <v>52</v>
      </c>
      <c r="G559" t="s">
        <v>119</v>
      </c>
      <c r="H559" s="18">
        <v>44304</v>
      </c>
      <c r="I559">
        <v>50548</v>
      </c>
      <c r="J559">
        <v>0</v>
      </c>
      <c r="K559">
        <v>0</v>
      </c>
      <c r="L559" t="s">
        <v>59</v>
      </c>
      <c r="M559" t="s">
        <v>76</v>
      </c>
      <c r="N559" s="18"/>
    </row>
    <row r="560" spans="1:14" x14ac:dyDescent="0.25">
      <c r="A560" t="s">
        <v>2016</v>
      </c>
      <c r="B560" t="s">
        <v>66</v>
      </c>
      <c r="C560" t="s">
        <v>57</v>
      </c>
      <c r="D560" t="s">
        <v>32</v>
      </c>
      <c r="E560" t="s">
        <v>28</v>
      </c>
      <c r="F560">
        <v>33</v>
      </c>
      <c r="G560" t="s">
        <v>120</v>
      </c>
      <c r="H560" s="18">
        <v>43904</v>
      </c>
      <c r="I560">
        <v>68846</v>
      </c>
      <c r="J560">
        <v>0</v>
      </c>
      <c r="K560">
        <v>0</v>
      </c>
      <c r="L560" t="s">
        <v>29</v>
      </c>
      <c r="M560" t="s">
        <v>40</v>
      </c>
      <c r="N560" s="18"/>
    </row>
    <row r="561" spans="1:14" x14ac:dyDescent="0.25">
      <c r="A561" t="s">
        <v>2017</v>
      </c>
      <c r="B561" t="s">
        <v>84</v>
      </c>
      <c r="C561" t="s">
        <v>26</v>
      </c>
      <c r="D561" t="s">
        <v>46</v>
      </c>
      <c r="E561" t="s">
        <v>28</v>
      </c>
      <c r="F561">
        <v>59</v>
      </c>
      <c r="G561" t="s">
        <v>118</v>
      </c>
      <c r="H561" s="18">
        <v>41717</v>
      </c>
      <c r="I561">
        <v>90901</v>
      </c>
      <c r="J561">
        <v>0</v>
      </c>
      <c r="K561">
        <v>0</v>
      </c>
      <c r="L561" t="s">
        <v>29</v>
      </c>
      <c r="M561" t="s">
        <v>30</v>
      </c>
      <c r="N561" s="18"/>
    </row>
    <row r="562" spans="1:14" x14ac:dyDescent="0.25">
      <c r="A562" t="s">
        <v>2018</v>
      </c>
      <c r="B562" t="s">
        <v>47</v>
      </c>
      <c r="C562" t="s">
        <v>50</v>
      </c>
      <c r="D562" t="s">
        <v>46</v>
      </c>
      <c r="E562" t="s">
        <v>28</v>
      </c>
      <c r="F562">
        <v>50</v>
      </c>
      <c r="G562" t="s">
        <v>119</v>
      </c>
      <c r="H562" s="18">
        <v>41155</v>
      </c>
      <c r="I562">
        <v>102033</v>
      </c>
      <c r="J562">
        <v>0.08</v>
      </c>
      <c r="K562">
        <v>8162.64</v>
      </c>
      <c r="L562" t="s">
        <v>29</v>
      </c>
      <c r="M562" t="s">
        <v>51</v>
      </c>
      <c r="N562" s="18"/>
    </row>
    <row r="563" spans="1:14" x14ac:dyDescent="0.25">
      <c r="A563" t="s">
        <v>2019</v>
      </c>
      <c r="B563" t="s">
        <v>37</v>
      </c>
      <c r="C563" t="s">
        <v>45</v>
      </c>
      <c r="D563" t="s">
        <v>32</v>
      </c>
      <c r="E563" t="s">
        <v>28</v>
      </c>
      <c r="F563">
        <v>61</v>
      </c>
      <c r="G563" t="s">
        <v>118</v>
      </c>
      <c r="H563" s="18">
        <v>44219</v>
      </c>
      <c r="I563">
        <v>151783</v>
      </c>
      <c r="J563">
        <v>0.26</v>
      </c>
      <c r="K563">
        <v>39463.58</v>
      </c>
      <c r="L563" t="s">
        <v>29</v>
      </c>
      <c r="M563" t="s">
        <v>30</v>
      </c>
      <c r="N563" s="18"/>
    </row>
    <row r="564" spans="1:14" x14ac:dyDescent="0.25">
      <c r="A564" t="s">
        <v>2020</v>
      </c>
      <c r="B564" t="s">
        <v>37</v>
      </c>
      <c r="C564" t="s">
        <v>54</v>
      </c>
      <c r="D564" t="s">
        <v>46</v>
      </c>
      <c r="E564" t="s">
        <v>28</v>
      </c>
      <c r="F564">
        <v>27</v>
      </c>
      <c r="G564" t="s">
        <v>120</v>
      </c>
      <c r="H564" s="18">
        <v>43441</v>
      </c>
      <c r="I564">
        <v>170164</v>
      </c>
      <c r="J564">
        <v>0.17</v>
      </c>
      <c r="K564">
        <v>28927.88</v>
      </c>
      <c r="L564" t="s">
        <v>29</v>
      </c>
      <c r="M564" t="s">
        <v>51</v>
      </c>
      <c r="N564" s="18"/>
    </row>
    <row r="565" spans="1:14" x14ac:dyDescent="0.25">
      <c r="A565" t="s">
        <v>2021</v>
      </c>
      <c r="B565" t="s">
        <v>25</v>
      </c>
      <c r="C565" t="s">
        <v>57</v>
      </c>
      <c r="D565" t="s">
        <v>39</v>
      </c>
      <c r="E565" t="s">
        <v>28</v>
      </c>
      <c r="F565">
        <v>35</v>
      </c>
      <c r="G565" t="s">
        <v>121</v>
      </c>
      <c r="H565" s="18">
        <v>41690</v>
      </c>
      <c r="I565">
        <v>155905</v>
      </c>
      <c r="J565">
        <v>0.14000000000000001</v>
      </c>
      <c r="K565">
        <v>21826.7</v>
      </c>
      <c r="L565" t="s">
        <v>29</v>
      </c>
      <c r="M565" t="s">
        <v>43</v>
      </c>
      <c r="N565" s="18"/>
    </row>
    <row r="566" spans="1:14" x14ac:dyDescent="0.25">
      <c r="A566" t="s">
        <v>2022</v>
      </c>
      <c r="B566" t="s">
        <v>48</v>
      </c>
      <c r="C566" t="s">
        <v>45</v>
      </c>
      <c r="D566" t="s">
        <v>46</v>
      </c>
      <c r="E566" t="s">
        <v>33</v>
      </c>
      <c r="F566">
        <v>40</v>
      </c>
      <c r="G566" t="s">
        <v>121</v>
      </c>
      <c r="H566" s="18">
        <v>42721</v>
      </c>
      <c r="I566">
        <v>50733</v>
      </c>
      <c r="J566">
        <v>0</v>
      </c>
      <c r="K566">
        <v>0</v>
      </c>
      <c r="L566" t="s">
        <v>29</v>
      </c>
      <c r="M566" t="s">
        <v>49</v>
      </c>
      <c r="N566" s="18"/>
    </row>
    <row r="567" spans="1:14" x14ac:dyDescent="0.25">
      <c r="A567" t="s">
        <v>2023</v>
      </c>
      <c r="B567" t="s">
        <v>69</v>
      </c>
      <c r="C567" t="s">
        <v>52</v>
      </c>
      <c r="D567" t="s">
        <v>46</v>
      </c>
      <c r="E567" t="s">
        <v>28</v>
      </c>
      <c r="F567">
        <v>30</v>
      </c>
      <c r="G567" t="s">
        <v>120</v>
      </c>
      <c r="H567" s="18">
        <v>42761</v>
      </c>
      <c r="I567">
        <v>88663</v>
      </c>
      <c r="J567">
        <v>0</v>
      </c>
      <c r="K567">
        <v>0</v>
      </c>
      <c r="L567" t="s">
        <v>29</v>
      </c>
      <c r="M567" t="s">
        <v>43</v>
      </c>
      <c r="N567" s="18"/>
    </row>
    <row r="568" spans="1:14" x14ac:dyDescent="0.25">
      <c r="A568" t="s">
        <v>2024</v>
      </c>
      <c r="B568" t="s">
        <v>71</v>
      </c>
      <c r="C568" t="s">
        <v>54</v>
      </c>
      <c r="D568" t="s">
        <v>32</v>
      </c>
      <c r="E568" t="s">
        <v>33</v>
      </c>
      <c r="F568">
        <v>60</v>
      </c>
      <c r="G568" t="s">
        <v>118</v>
      </c>
      <c r="H568" s="18">
        <v>33890</v>
      </c>
      <c r="I568">
        <v>88213</v>
      </c>
      <c r="J568">
        <v>0</v>
      </c>
      <c r="K568">
        <v>0</v>
      </c>
      <c r="L568" t="s">
        <v>34</v>
      </c>
      <c r="M568" t="s">
        <v>35</v>
      </c>
      <c r="N568" s="18"/>
    </row>
    <row r="569" spans="1:14" x14ac:dyDescent="0.25">
      <c r="A569" t="s">
        <v>2025</v>
      </c>
      <c r="B569" t="s">
        <v>66</v>
      </c>
      <c r="C569" t="s">
        <v>45</v>
      </c>
      <c r="D569" t="s">
        <v>39</v>
      </c>
      <c r="E569" t="s">
        <v>33</v>
      </c>
      <c r="F569">
        <v>55</v>
      </c>
      <c r="G569" t="s">
        <v>118</v>
      </c>
      <c r="H569" s="18">
        <v>44410</v>
      </c>
      <c r="I569">
        <v>67130</v>
      </c>
      <c r="J569">
        <v>0</v>
      </c>
      <c r="K569">
        <v>0</v>
      </c>
      <c r="L569" t="s">
        <v>29</v>
      </c>
      <c r="M569" t="s">
        <v>49</v>
      </c>
      <c r="N569" s="18"/>
    </row>
    <row r="570" spans="1:14" x14ac:dyDescent="0.25">
      <c r="A570" t="s">
        <v>2026</v>
      </c>
      <c r="B570" t="s">
        <v>42</v>
      </c>
      <c r="C570" t="s">
        <v>38</v>
      </c>
      <c r="D570" t="s">
        <v>39</v>
      </c>
      <c r="E570" t="s">
        <v>28</v>
      </c>
      <c r="F570">
        <v>33</v>
      </c>
      <c r="G570" t="s">
        <v>120</v>
      </c>
      <c r="H570" s="18">
        <v>42285</v>
      </c>
      <c r="I570">
        <v>94876</v>
      </c>
      <c r="J570">
        <v>0</v>
      </c>
      <c r="K570">
        <v>0</v>
      </c>
      <c r="L570" t="s">
        <v>29</v>
      </c>
      <c r="M570" t="s">
        <v>49</v>
      </c>
      <c r="N570" s="18"/>
    </row>
    <row r="571" spans="1:14" x14ac:dyDescent="0.25">
      <c r="A571" t="s">
        <v>2027</v>
      </c>
      <c r="B571" t="s">
        <v>80</v>
      </c>
      <c r="C571" t="s">
        <v>54</v>
      </c>
      <c r="D571" t="s">
        <v>39</v>
      </c>
      <c r="E571" t="s">
        <v>33</v>
      </c>
      <c r="F571">
        <v>62</v>
      </c>
      <c r="G571" t="s">
        <v>118</v>
      </c>
      <c r="H571" s="18">
        <v>34616</v>
      </c>
      <c r="I571">
        <v>98230</v>
      </c>
      <c r="J571">
        <v>0</v>
      </c>
      <c r="K571">
        <v>0</v>
      </c>
      <c r="L571" t="s">
        <v>29</v>
      </c>
      <c r="M571" t="s">
        <v>49</v>
      </c>
      <c r="N571" s="18"/>
    </row>
    <row r="572" spans="1:14" x14ac:dyDescent="0.25">
      <c r="A572" t="s">
        <v>2028</v>
      </c>
      <c r="B572" t="s">
        <v>77</v>
      </c>
      <c r="C572" t="s">
        <v>54</v>
      </c>
      <c r="D572" t="s">
        <v>27</v>
      </c>
      <c r="E572" t="s">
        <v>28</v>
      </c>
      <c r="F572">
        <v>36</v>
      </c>
      <c r="G572" t="s">
        <v>121</v>
      </c>
      <c r="H572" s="18">
        <v>43448</v>
      </c>
      <c r="I572">
        <v>96757</v>
      </c>
      <c r="J572">
        <v>0</v>
      </c>
      <c r="K572">
        <v>0</v>
      </c>
      <c r="L572" t="s">
        <v>29</v>
      </c>
      <c r="M572" t="s">
        <v>58</v>
      </c>
      <c r="N572" s="18"/>
    </row>
    <row r="573" spans="1:14" x14ac:dyDescent="0.25">
      <c r="A573" t="s">
        <v>2029</v>
      </c>
      <c r="B573" t="s">
        <v>66</v>
      </c>
      <c r="C573" t="s">
        <v>57</v>
      </c>
      <c r="D573" t="s">
        <v>32</v>
      </c>
      <c r="E573" t="s">
        <v>33</v>
      </c>
      <c r="F573">
        <v>35</v>
      </c>
      <c r="G573" t="s">
        <v>121</v>
      </c>
      <c r="H573" s="18">
        <v>44015</v>
      </c>
      <c r="I573">
        <v>51513</v>
      </c>
      <c r="J573">
        <v>0</v>
      </c>
      <c r="K573">
        <v>0</v>
      </c>
      <c r="L573" t="s">
        <v>29</v>
      </c>
      <c r="M573" t="s">
        <v>58</v>
      </c>
      <c r="N573" s="18"/>
    </row>
    <row r="574" spans="1:14" x14ac:dyDescent="0.25">
      <c r="A574" t="s">
        <v>2030</v>
      </c>
      <c r="B574" t="s">
        <v>56</v>
      </c>
      <c r="C574" t="s">
        <v>57</v>
      </c>
      <c r="D574" t="s">
        <v>46</v>
      </c>
      <c r="E574" t="s">
        <v>33</v>
      </c>
      <c r="F574">
        <v>60</v>
      </c>
      <c r="G574" t="s">
        <v>118</v>
      </c>
      <c r="H574" s="18">
        <v>39109</v>
      </c>
      <c r="I574">
        <v>234311</v>
      </c>
      <c r="J574">
        <v>0.37</v>
      </c>
      <c r="K574">
        <v>86695.069999999992</v>
      </c>
      <c r="L574" t="s">
        <v>29</v>
      </c>
      <c r="M574" t="s">
        <v>49</v>
      </c>
      <c r="N574" s="18"/>
    </row>
    <row r="575" spans="1:14" x14ac:dyDescent="0.25">
      <c r="A575" t="s">
        <v>2031</v>
      </c>
      <c r="B575" t="s">
        <v>25</v>
      </c>
      <c r="C575" t="s">
        <v>52</v>
      </c>
      <c r="D575" t="s">
        <v>39</v>
      </c>
      <c r="E575" t="s">
        <v>28</v>
      </c>
      <c r="F575">
        <v>45</v>
      </c>
      <c r="G575" t="s">
        <v>119</v>
      </c>
      <c r="H575" s="18">
        <v>40685</v>
      </c>
      <c r="I575">
        <v>152353</v>
      </c>
      <c r="J575">
        <v>0.14000000000000001</v>
      </c>
      <c r="K575">
        <v>21329.420000000002</v>
      </c>
      <c r="L575" t="s">
        <v>29</v>
      </c>
      <c r="M575" t="s">
        <v>30</v>
      </c>
      <c r="N575" s="18"/>
    </row>
    <row r="576" spans="1:14" x14ac:dyDescent="0.25">
      <c r="A576" t="s">
        <v>2032</v>
      </c>
      <c r="B576" t="s">
        <v>25</v>
      </c>
      <c r="C576" t="s">
        <v>50</v>
      </c>
      <c r="D576" t="s">
        <v>39</v>
      </c>
      <c r="E576" t="s">
        <v>28</v>
      </c>
      <c r="F576">
        <v>48</v>
      </c>
      <c r="G576" t="s">
        <v>119</v>
      </c>
      <c r="H576" s="18">
        <v>40389</v>
      </c>
      <c r="I576">
        <v>124774</v>
      </c>
      <c r="J576">
        <v>0.12</v>
      </c>
      <c r="K576">
        <v>14972.88</v>
      </c>
      <c r="L576" t="s">
        <v>29</v>
      </c>
      <c r="M576" t="s">
        <v>43</v>
      </c>
      <c r="N576" s="18"/>
    </row>
    <row r="577" spans="1:14" x14ac:dyDescent="0.25">
      <c r="A577" t="s">
        <v>2033</v>
      </c>
      <c r="B577" t="s">
        <v>37</v>
      </c>
      <c r="C577" t="s">
        <v>57</v>
      </c>
      <c r="D577" t="s">
        <v>46</v>
      </c>
      <c r="E577" t="s">
        <v>28</v>
      </c>
      <c r="F577">
        <v>36</v>
      </c>
      <c r="G577" t="s">
        <v>121</v>
      </c>
      <c r="H577" s="18">
        <v>40434</v>
      </c>
      <c r="I577">
        <v>157070</v>
      </c>
      <c r="J577">
        <v>0.28000000000000003</v>
      </c>
      <c r="K577">
        <v>43979.600000000006</v>
      </c>
      <c r="L577" t="s">
        <v>34</v>
      </c>
      <c r="M577" t="s">
        <v>35</v>
      </c>
      <c r="N577" s="18"/>
    </row>
    <row r="578" spans="1:14" x14ac:dyDescent="0.25">
      <c r="A578" t="s">
        <v>2034</v>
      </c>
      <c r="B578" t="s">
        <v>25</v>
      </c>
      <c r="C578" t="s">
        <v>38</v>
      </c>
      <c r="D578" t="s">
        <v>39</v>
      </c>
      <c r="E578" t="s">
        <v>33</v>
      </c>
      <c r="F578">
        <v>44</v>
      </c>
      <c r="G578" t="s">
        <v>121</v>
      </c>
      <c r="H578" s="18">
        <v>43685</v>
      </c>
      <c r="I578">
        <v>130133</v>
      </c>
      <c r="J578">
        <v>0.15</v>
      </c>
      <c r="K578">
        <v>19519.95</v>
      </c>
      <c r="L578" t="s">
        <v>29</v>
      </c>
      <c r="M578" t="s">
        <v>51</v>
      </c>
      <c r="N578" s="18">
        <v>44699</v>
      </c>
    </row>
    <row r="579" spans="1:14" x14ac:dyDescent="0.25">
      <c r="A579" t="s">
        <v>2035</v>
      </c>
      <c r="B579" t="s">
        <v>47</v>
      </c>
      <c r="C579" t="s">
        <v>57</v>
      </c>
      <c r="D579" t="s">
        <v>32</v>
      </c>
      <c r="E579" t="s">
        <v>28</v>
      </c>
      <c r="F579">
        <v>64</v>
      </c>
      <c r="G579" t="s">
        <v>118</v>
      </c>
      <c r="H579" s="18">
        <v>43729</v>
      </c>
      <c r="I579">
        <v>108780</v>
      </c>
      <c r="J579">
        <v>0.06</v>
      </c>
      <c r="K579">
        <v>6526.8</v>
      </c>
      <c r="L579" t="s">
        <v>34</v>
      </c>
      <c r="M579" t="s">
        <v>55</v>
      </c>
      <c r="N579" s="18"/>
    </row>
    <row r="580" spans="1:14" x14ac:dyDescent="0.25">
      <c r="A580" t="s">
        <v>2036</v>
      </c>
      <c r="B580" t="s">
        <v>37</v>
      </c>
      <c r="C580" t="s">
        <v>54</v>
      </c>
      <c r="D580" t="s">
        <v>39</v>
      </c>
      <c r="E580" t="s">
        <v>28</v>
      </c>
      <c r="F580">
        <v>46</v>
      </c>
      <c r="G580" t="s">
        <v>119</v>
      </c>
      <c r="H580" s="18">
        <v>44125</v>
      </c>
      <c r="I580">
        <v>151853</v>
      </c>
      <c r="J580">
        <v>0.16</v>
      </c>
      <c r="K580">
        <v>24296.48</v>
      </c>
      <c r="L580" t="s">
        <v>34</v>
      </c>
      <c r="M580" t="s">
        <v>68</v>
      </c>
      <c r="N580" s="18"/>
    </row>
    <row r="581" spans="1:14" x14ac:dyDescent="0.25">
      <c r="A581" t="s">
        <v>2037</v>
      </c>
      <c r="B581" t="s">
        <v>44</v>
      </c>
      <c r="C581" t="s">
        <v>45</v>
      </c>
      <c r="D581" t="s">
        <v>32</v>
      </c>
      <c r="E581" t="s">
        <v>28</v>
      </c>
      <c r="F581">
        <v>62</v>
      </c>
      <c r="G581" t="s">
        <v>118</v>
      </c>
      <c r="H581" s="18">
        <v>38977</v>
      </c>
      <c r="I581">
        <v>64669</v>
      </c>
      <c r="J581">
        <v>0</v>
      </c>
      <c r="K581">
        <v>0</v>
      </c>
      <c r="L581" t="s">
        <v>34</v>
      </c>
      <c r="M581" t="s">
        <v>35</v>
      </c>
      <c r="N581" s="18"/>
    </row>
    <row r="582" spans="1:14" x14ac:dyDescent="0.25">
      <c r="A582" t="s">
        <v>2038</v>
      </c>
      <c r="B582" t="s">
        <v>66</v>
      </c>
      <c r="C582" t="s">
        <v>57</v>
      </c>
      <c r="D582" t="s">
        <v>27</v>
      </c>
      <c r="E582" t="s">
        <v>33</v>
      </c>
      <c r="F582">
        <v>61</v>
      </c>
      <c r="G582" t="s">
        <v>118</v>
      </c>
      <c r="H582" s="18">
        <v>39568</v>
      </c>
      <c r="I582">
        <v>69352</v>
      </c>
      <c r="J582">
        <v>0</v>
      </c>
      <c r="K582">
        <v>0</v>
      </c>
      <c r="L582" t="s">
        <v>59</v>
      </c>
      <c r="M582" t="s">
        <v>61</v>
      </c>
      <c r="N582" s="18"/>
    </row>
    <row r="583" spans="1:14" x14ac:dyDescent="0.25">
      <c r="A583" t="s">
        <v>2039</v>
      </c>
      <c r="B583" t="s">
        <v>66</v>
      </c>
      <c r="C583" t="s">
        <v>57</v>
      </c>
      <c r="D583" t="s">
        <v>27</v>
      </c>
      <c r="E583" t="s">
        <v>33</v>
      </c>
      <c r="F583">
        <v>65</v>
      </c>
      <c r="G583" t="s">
        <v>122</v>
      </c>
      <c r="H583" s="18">
        <v>37181</v>
      </c>
      <c r="I583">
        <v>74631</v>
      </c>
      <c r="J583">
        <v>0</v>
      </c>
      <c r="K583">
        <v>0</v>
      </c>
      <c r="L583" t="s">
        <v>34</v>
      </c>
      <c r="M583" t="s">
        <v>35</v>
      </c>
      <c r="N583" s="18"/>
    </row>
    <row r="584" spans="1:14" x14ac:dyDescent="0.25">
      <c r="A584" t="s">
        <v>2040</v>
      </c>
      <c r="B584" t="s">
        <v>62</v>
      </c>
      <c r="C584" t="s">
        <v>54</v>
      </c>
      <c r="D584" t="s">
        <v>39</v>
      </c>
      <c r="E584" t="s">
        <v>33</v>
      </c>
      <c r="F584">
        <v>54</v>
      </c>
      <c r="G584" t="s">
        <v>119</v>
      </c>
      <c r="H584" s="18">
        <v>41028</v>
      </c>
      <c r="I584">
        <v>96441</v>
      </c>
      <c r="J584">
        <v>0</v>
      </c>
      <c r="K584">
        <v>0</v>
      </c>
      <c r="L584" t="s">
        <v>59</v>
      </c>
      <c r="M584" t="s">
        <v>76</v>
      </c>
      <c r="N584" s="18"/>
    </row>
    <row r="585" spans="1:14" x14ac:dyDescent="0.25">
      <c r="A585" t="s">
        <v>2041</v>
      </c>
      <c r="B585" t="s">
        <v>63</v>
      </c>
      <c r="C585" t="s">
        <v>54</v>
      </c>
      <c r="D585" t="s">
        <v>39</v>
      </c>
      <c r="E585" t="s">
        <v>33</v>
      </c>
      <c r="F585">
        <v>46</v>
      </c>
      <c r="G585" t="s">
        <v>119</v>
      </c>
      <c r="H585" s="18">
        <v>40836</v>
      </c>
      <c r="I585">
        <v>114250</v>
      </c>
      <c r="J585">
        <v>0.14000000000000001</v>
      </c>
      <c r="K585">
        <v>15995.000000000002</v>
      </c>
      <c r="L585" t="s">
        <v>34</v>
      </c>
      <c r="M585" t="s">
        <v>68</v>
      </c>
      <c r="N585" s="18"/>
    </row>
    <row r="586" spans="1:14" x14ac:dyDescent="0.25">
      <c r="A586" t="s">
        <v>2042</v>
      </c>
      <c r="B586" t="s">
        <v>41</v>
      </c>
      <c r="C586" t="s">
        <v>26</v>
      </c>
      <c r="D586" t="s">
        <v>46</v>
      </c>
      <c r="E586" t="s">
        <v>33</v>
      </c>
      <c r="F586">
        <v>36</v>
      </c>
      <c r="G586" t="s">
        <v>121</v>
      </c>
      <c r="H586" s="18">
        <v>44192</v>
      </c>
      <c r="I586">
        <v>70165</v>
      </c>
      <c r="J586">
        <v>7.0000000000000007E-2</v>
      </c>
      <c r="K586">
        <v>4911.55</v>
      </c>
      <c r="L586" t="s">
        <v>59</v>
      </c>
      <c r="M586" t="s">
        <v>60</v>
      </c>
      <c r="N586" s="18"/>
    </row>
    <row r="587" spans="1:14" x14ac:dyDescent="0.25">
      <c r="A587" t="s">
        <v>2043</v>
      </c>
      <c r="B587" t="s">
        <v>47</v>
      </c>
      <c r="C587" t="s">
        <v>26</v>
      </c>
      <c r="D587" t="s">
        <v>46</v>
      </c>
      <c r="E587" t="s">
        <v>33</v>
      </c>
      <c r="F587">
        <v>60</v>
      </c>
      <c r="G587" t="s">
        <v>118</v>
      </c>
      <c r="H587" s="18">
        <v>36554</v>
      </c>
      <c r="I587">
        <v>109059</v>
      </c>
      <c r="J587">
        <v>7.0000000000000007E-2</v>
      </c>
      <c r="K587">
        <v>7634.130000000001</v>
      </c>
      <c r="L587" t="s">
        <v>34</v>
      </c>
      <c r="M587" t="s">
        <v>68</v>
      </c>
      <c r="N587" s="18"/>
    </row>
    <row r="588" spans="1:14" x14ac:dyDescent="0.25">
      <c r="A588" t="s">
        <v>2044</v>
      </c>
      <c r="B588" t="s">
        <v>73</v>
      </c>
      <c r="C588" t="s">
        <v>54</v>
      </c>
      <c r="D588" t="s">
        <v>27</v>
      </c>
      <c r="E588" t="s">
        <v>28</v>
      </c>
      <c r="F588">
        <v>30</v>
      </c>
      <c r="G588" t="s">
        <v>120</v>
      </c>
      <c r="H588" s="18">
        <v>42322</v>
      </c>
      <c r="I588">
        <v>77442</v>
      </c>
      <c r="J588">
        <v>0</v>
      </c>
      <c r="K588">
        <v>0</v>
      </c>
      <c r="L588" t="s">
        <v>29</v>
      </c>
      <c r="M588" t="s">
        <v>58</v>
      </c>
      <c r="N588" s="18"/>
    </row>
    <row r="589" spans="1:14" x14ac:dyDescent="0.25">
      <c r="A589" t="s">
        <v>2045</v>
      </c>
      <c r="B589" t="s">
        <v>66</v>
      </c>
      <c r="C589" t="s">
        <v>45</v>
      </c>
      <c r="D589" t="s">
        <v>46</v>
      </c>
      <c r="E589" t="s">
        <v>28</v>
      </c>
      <c r="F589">
        <v>34</v>
      </c>
      <c r="G589" t="s">
        <v>120</v>
      </c>
      <c r="H589" s="18">
        <v>41066</v>
      </c>
      <c r="I589">
        <v>72126</v>
      </c>
      <c r="J589">
        <v>0</v>
      </c>
      <c r="K589">
        <v>0</v>
      </c>
      <c r="L589" t="s">
        <v>59</v>
      </c>
      <c r="M589" t="s">
        <v>60</v>
      </c>
      <c r="N589" s="18"/>
    </row>
    <row r="590" spans="1:14" x14ac:dyDescent="0.25">
      <c r="A590" t="s">
        <v>2046</v>
      </c>
      <c r="B590" t="s">
        <v>86</v>
      </c>
      <c r="C590" t="s">
        <v>26</v>
      </c>
      <c r="D590" t="s">
        <v>32</v>
      </c>
      <c r="E590" t="s">
        <v>33</v>
      </c>
      <c r="F590">
        <v>55</v>
      </c>
      <c r="G590" t="s">
        <v>118</v>
      </c>
      <c r="H590" s="18">
        <v>41565</v>
      </c>
      <c r="I590">
        <v>70334</v>
      </c>
      <c r="J590">
        <v>0</v>
      </c>
      <c r="K590">
        <v>0</v>
      </c>
      <c r="L590" t="s">
        <v>29</v>
      </c>
      <c r="M590" t="s">
        <v>49</v>
      </c>
      <c r="N590" s="18"/>
    </row>
    <row r="591" spans="1:14" x14ac:dyDescent="0.25">
      <c r="A591" t="s">
        <v>2047</v>
      </c>
      <c r="B591" t="s">
        <v>62</v>
      </c>
      <c r="C591" t="s">
        <v>54</v>
      </c>
      <c r="D591" t="s">
        <v>27</v>
      </c>
      <c r="E591" t="s">
        <v>33</v>
      </c>
      <c r="F591">
        <v>59</v>
      </c>
      <c r="G591" t="s">
        <v>118</v>
      </c>
      <c r="H591" s="18">
        <v>40170</v>
      </c>
      <c r="I591">
        <v>78006</v>
      </c>
      <c r="J591">
        <v>0</v>
      </c>
      <c r="K591">
        <v>0</v>
      </c>
      <c r="L591" t="s">
        <v>29</v>
      </c>
      <c r="M591" t="s">
        <v>49</v>
      </c>
      <c r="N591" s="18"/>
    </row>
    <row r="592" spans="1:14" x14ac:dyDescent="0.25">
      <c r="A592" t="s">
        <v>2048</v>
      </c>
      <c r="B592" t="s">
        <v>37</v>
      </c>
      <c r="C592" t="s">
        <v>26</v>
      </c>
      <c r="D592" t="s">
        <v>32</v>
      </c>
      <c r="E592" t="s">
        <v>28</v>
      </c>
      <c r="F592">
        <v>28</v>
      </c>
      <c r="G592" t="s">
        <v>120</v>
      </c>
      <c r="H592" s="18">
        <v>44221</v>
      </c>
      <c r="I592">
        <v>160385</v>
      </c>
      <c r="J592">
        <v>0.23</v>
      </c>
      <c r="K592">
        <v>36888.550000000003</v>
      </c>
      <c r="L592" t="s">
        <v>29</v>
      </c>
      <c r="M592" t="s">
        <v>49</v>
      </c>
      <c r="N592" s="18">
        <v>44334</v>
      </c>
    </row>
    <row r="593" spans="1:14" x14ac:dyDescent="0.25">
      <c r="A593" t="s">
        <v>2049</v>
      </c>
      <c r="B593" t="s">
        <v>56</v>
      </c>
      <c r="C593" t="s">
        <v>38</v>
      </c>
      <c r="D593" t="s">
        <v>46</v>
      </c>
      <c r="E593" t="s">
        <v>28</v>
      </c>
      <c r="F593">
        <v>36</v>
      </c>
      <c r="G593" t="s">
        <v>121</v>
      </c>
      <c r="H593" s="18">
        <v>41650</v>
      </c>
      <c r="I593">
        <v>202323</v>
      </c>
      <c r="J593">
        <v>0.39</v>
      </c>
      <c r="K593">
        <v>78905.97</v>
      </c>
      <c r="L593" t="s">
        <v>29</v>
      </c>
      <c r="M593" t="s">
        <v>40</v>
      </c>
      <c r="N593" s="18"/>
    </row>
    <row r="594" spans="1:14" x14ac:dyDescent="0.25">
      <c r="A594" t="s">
        <v>2050</v>
      </c>
      <c r="B594" t="s">
        <v>25</v>
      </c>
      <c r="C594" t="s">
        <v>52</v>
      </c>
      <c r="D594" t="s">
        <v>46</v>
      </c>
      <c r="E594" t="s">
        <v>28</v>
      </c>
      <c r="F594">
        <v>29</v>
      </c>
      <c r="G594" t="s">
        <v>120</v>
      </c>
      <c r="H594" s="18">
        <v>44025</v>
      </c>
      <c r="I594">
        <v>141555</v>
      </c>
      <c r="J594">
        <v>0.11</v>
      </c>
      <c r="K594">
        <v>15571.05</v>
      </c>
      <c r="L594" t="s">
        <v>59</v>
      </c>
      <c r="M594" t="s">
        <v>60</v>
      </c>
      <c r="N594" s="18"/>
    </row>
    <row r="595" spans="1:14" x14ac:dyDescent="0.25">
      <c r="A595" t="s">
        <v>2051</v>
      </c>
      <c r="B595" t="s">
        <v>37</v>
      </c>
      <c r="C595" t="s">
        <v>38</v>
      </c>
      <c r="D595" t="s">
        <v>39</v>
      </c>
      <c r="E595" t="s">
        <v>28</v>
      </c>
      <c r="F595">
        <v>34</v>
      </c>
      <c r="G595" t="s">
        <v>120</v>
      </c>
      <c r="H595" s="18">
        <v>44032</v>
      </c>
      <c r="I595">
        <v>184960</v>
      </c>
      <c r="J595">
        <v>0.18</v>
      </c>
      <c r="K595">
        <v>33292.799999999996</v>
      </c>
      <c r="L595" t="s">
        <v>29</v>
      </c>
      <c r="M595" t="s">
        <v>30</v>
      </c>
      <c r="N595" s="18"/>
    </row>
    <row r="596" spans="1:14" x14ac:dyDescent="0.25">
      <c r="A596" t="s">
        <v>2052</v>
      </c>
      <c r="B596" t="s">
        <v>56</v>
      </c>
      <c r="C596" t="s">
        <v>26</v>
      </c>
      <c r="D596" t="s">
        <v>32</v>
      </c>
      <c r="E596" t="s">
        <v>33</v>
      </c>
      <c r="F596">
        <v>37</v>
      </c>
      <c r="G596" t="s">
        <v>121</v>
      </c>
      <c r="H596" s="18">
        <v>40719</v>
      </c>
      <c r="I596">
        <v>221592</v>
      </c>
      <c r="J596">
        <v>0.31</v>
      </c>
      <c r="K596">
        <v>68693.52</v>
      </c>
      <c r="L596" t="s">
        <v>29</v>
      </c>
      <c r="M596" t="s">
        <v>58</v>
      </c>
      <c r="N596" s="18"/>
    </row>
    <row r="597" spans="1:14" x14ac:dyDescent="0.25">
      <c r="A597" t="s">
        <v>2053</v>
      </c>
      <c r="B597" t="s">
        <v>70</v>
      </c>
      <c r="C597" t="s">
        <v>52</v>
      </c>
      <c r="D597" t="s">
        <v>32</v>
      </c>
      <c r="E597" t="s">
        <v>28</v>
      </c>
      <c r="F597">
        <v>44</v>
      </c>
      <c r="G597" t="s">
        <v>121</v>
      </c>
      <c r="H597" s="18">
        <v>39841</v>
      </c>
      <c r="I597">
        <v>53301</v>
      </c>
      <c r="J597">
        <v>0</v>
      </c>
      <c r="K597">
        <v>0</v>
      </c>
      <c r="L597" t="s">
        <v>29</v>
      </c>
      <c r="M597" t="s">
        <v>30</v>
      </c>
      <c r="N597" s="18"/>
    </row>
    <row r="598" spans="1:14" x14ac:dyDescent="0.25">
      <c r="A598" t="s">
        <v>2054</v>
      </c>
      <c r="B598" t="s">
        <v>75</v>
      </c>
      <c r="C598" t="s">
        <v>26</v>
      </c>
      <c r="D598" t="s">
        <v>46</v>
      </c>
      <c r="E598" t="s">
        <v>33</v>
      </c>
      <c r="F598">
        <v>45</v>
      </c>
      <c r="G598" t="s">
        <v>119</v>
      </c>
      <c r="H598" s="18">
        <v>36587</v>
      </c>
      <c r="I598">
        <v>91276</v>
      </c>
      <c r="J598">
        <v>0</v>
      </c>
      <c r="K598">
        <v>0</v>
      </c>
      <c r="L598" t="s">
        <v>29</v>
      </c>
      <c r="M598" t="s">
        <v>30</v>
      </c>
      <c r="N598" s="18"/>
    </row>
    <row r="599" spans="1:14" x14ac:dyDescent="0.25">
      <c r="A599" t="s">
        <v>2055</v>
      </c>
      <c r="B599" t="s">
        <v>25</v>
      </c>
      <c r="C599" t="s">
        <v>52</v>
      </c>
      <c r="D599" t="s">
        <v>27</v>
      </c>
      <c r="E599" t="s">
        <v>28</v>
      </c>
      <c r="F599">
        <v>52</v>
      </c>
      <c r="G599" t="s">
        <v>119</v>
      </c>
      <c r="H599" s="18">
        <v>42983</v>
      </c>
      <c r="I599">
        <v>140042</v>
      </c>
      <c r="J599">
        <v>0.13</v>
      </c>
      <c r="K599">
        <v>18205.46</v>
      </c>
      <c r="L599" t="s">
        <v>29</v>
      </c>
      <c r="M599" t="s">
        <v>51</v>
      </c>
      <c r="N599" s="18"/>
    </row>
    <row r="600" spans="1:14" x14ac:dyDescent="0.25">
      <c r="A600" t="s">
        <v>2056</v>
      </c>
      <c r="B600" t="s">
        <v>48</v>
      </c>
      <c r="C600" t="s">
        <v>50</v>
      </c>
      <c r="D600" t="s">
        <v>32</v>
      </c>
      <c r="E600" t="s">
        <v>28</v>
      </c>
      <c r="F600">
        <v>40</v>
      </c>
      <c r="G600" t="s">
        <v>121</v>
      </c>
      <c r="H600" s="18">
        <v>43440</v>
      </c>
      <c r="I600">
        <v>57225</v>
      </c>
      <c r="J600">
        <v>0</v>
      </c>
      <c r="K600">
        <v>0</v>
      </c>
      <c r="L600" t="s">
        <v>29</v>
      </c>
      <c r="M600" t="s">
        <v>58</v>
      </c>
      <c r="N600" s="18"/>
    </row>
    <row r="601" spans="1:14" x14ac:dyDescent="0.25">
      <c r="A601" t="s">
        <v>2057</v>
      </c>
      <c r="B601" t="s">
        <v>47</v>
      </c>
      <c r="C601" t="s">
        <v>52</v>
      </c>
      <c r="D601" t="s">
        <v>39</v>
      </c>
      <c r="E601" t="s">
        <v>28</v>
      </c>
      <c r="F601">
        <v>55</v>
      </c>
      <c r="G601" t="s">
        <v>118</v>
      </c>
      <c r="H601" s="18">
        <v>40233</v>
      </c>
      <c r="I601">
        <v>102839</v>
      </c>
      <c r="J601">
        <v>0.05</v>
      </c>
      <c r="K601">
        <v>5141.9500000000007</v>
      </c>
      <c r="L601" t="s">
        <v>29</v>
      </c>
      <c r="M601" t="s">
        <v>49</v>
      </c>
      <c r="N601" s="18"/>
    </row>
    <row r="602" spans="1:14" x14ac:dyDescent="0.25">
      <c r="A602" t="s">
        <v>2058</v>
      </c>
      <c r="B602" t="s">
        <v>37</v>
      </c>
      <c r="C602" t="s">
        <v>57</v>
      </c>
      <c r="D602" t="s">
        <v>27</v>
      </c>
      <c r="E602" t="s">
        <v>33</v>
      </c>
      <c r="F602">
        <v>29</v>
      </c>
      <c r="G602" t="s">
        <v>120</v>
      </c>
      <c r="H602" s="18">
        <v>44454</v>
      </c>
      <c r="I602">
        <v>199783</v>
      </c>
      <c r="J602">
        <v>0.21</v>
      </c>
      <c r="K602">
        <v>41954.43</v>
      </c>
      <c r="L602" t="s">
        <v>29</v>
      </c>
      <c r="M602" t="s">
        <v>40</v>
      </c>
      <c r="N602" s="18">
        <v>44661</v>
      </c>
    </row>
    <row r="603" spans="1:14" x14ac:dyDescent="0.25">
      <c r="A603" t="s">
        <v>2059</v>
      </c>
      <c r="B603" t="s">
        <v>69</v>
      </c>
      <c r="C603" t="s">
        <v>52</v>
      </c>
      <c r="D603" t="s">
        <v>27</v>
      </c>
      <c r="E603" t="s">
        <v>33</v>
      </c>
      <c r="F603">
        <v>32</v>
      </c>
      <c r="G603" t="s">
        <v>120</v>
      </c>
      <c r="H603" s="18">
        <v>44295</v>
      </c>
      <c r="I603">
        <v>70980</v>
      </c>
      <c r="J603">
        <v>0</v>
      </c>
      <c r="K603">
        <v>0</v>
      </c>
      <c r="L603" t="s">
        <v>59</v>
      </c>
      <c r="M603" t="s">
        <v>61</v>
      </c>
      <c r="N603" s="18"/>
    </row>
    <row r="604" spans="1:14" x14ac:dyDescent="0.25">
      <c r="A604" t="s">
        <v>2060</v>
      </c>
      <c r="B604" t="s">
        <v>47</v>
      </c>
      <c r="C604" t="s">
        <v>57</v>
      </c>
      <c r="D604" t="s">
        <v>46</v>
      </c>
      <c r="E604" t="s">
        <v>33</v>
      </c>
      <c r="F604">
        <v>51</v>
      </c>
      <c r="G604" t="s">
        <v>119</v>
      </c>
      <c r="H604" s="18">
        <v>35456</v>
      </c>
      <c r="I604">
        <v>104431</v>
      </c>
      <c r="J604">
        <v>7.0000000000000007E-2</v>
      </c>
      <c r="K604">
        <v>7310.170000000001</v>
      </c>
      <c r="L604" t="s">
        <v>29</v>
      </c>
      <c r="M604" t="s">
        <v>43</v>
      </c>
      <c r="N604" s="18"/>
    </row>
    <row r="605" spans="1:14" x14ac:dyDescent="0.25">
      <c r="A605" t="s">
        <v>2061</v>
      </c>
      <c r="B605" t="s">
        <v>74</v>
      </c>
      <c r="C605" t="s">
        <v>52</v>
      </c>
      <c r="D605" t="s">
        <v>39</v>
      </c>
      <c r="E605" t="s">
        <v>33</v>
      </c>
      <c r="F605">
        <v>28</v>
      </c>
      <c r="G605" t="s">
        <v>120</v>
      </c>
      <c r="H605" s="18">
        <v>44374</v>
      </c>
      <c r="I605">
        <v>48510</v>
      </c>
      <c r="J605">
        <v>0</v>
      </c>
      <c r="K605">
        <v>0</v>
      </c>
      <c r="L605" t="s">
        <v>29</v>
      </c>
      <c r="M605" t="s">
        <v>40</v>
      </c>
      <c r="N605" s="18"/>
    </row>
    <row r="606" spans="1:14" x14ac:dyDescent="0.25">
      <c r="A606" t="s">
        <v>2062</v>
      </c>
      <c r="B606" t="s">
        <v>62</v>
      </c>
      <c r="C606" t="s">
        <v>54</v>
      </c>
      <c r="D606" t="s">
        <v>39</v>
      </c>
      <c r="E606" t="s">
        <v>33</v>
      </c>
      <c r="F606">
        <v>27</v>
      </c>
      <c r="G606" t="s">
        <v>120</v>
      </c>
      <c r="H606" s="18">
        <v>43613</v>
      </c>
      <c r="I606">
        <v>70110</v>
      </c>
      <c r="J606">
        <v>0</v>
      </c>
      <c r="K606">
        <v>0</v>
      </c>
      <c r="L606" t="s">
        <v>29</v>
      </c>
      <c r="M606" t="s">
        <v>49</v>
      </c>
      <c r="N606" s="18">
        <v>44203</v>
      </c>
    </row>
    <row r="607" spans="1:14" x14ac:dyDescent="0.25">
      <c r="A607" t="s">
        <v>2063</v>
      </c>
      <c r="B607" t="s">
        <v>37</v>
      </c>
      <c r="C607" t="s">
        <v>57</v>
      </c>
      <c r="D607" t="s">
        <v>46</v>
      </c>
      <c r="E607" t="s">
        <v>33</v>
      </c>
      <c r="F607">
        <v>45</v>
      </c>
      <c r="G607" t="s">
        <v>119</v>
      </c>
      <c r="H607" s="18">
        <v>39519</v>
      </c>
      <c r="I607">
        <v>186138</v>
      </c>
      <c r="J607">
        <v>0.28000000000000003</v>
      </c>
      <c r="K607">
        <v>52118.640000000007</v>
      </c>
      <c r="L607" t="s">
        <v>34</v>
      </c>
      <c r="M607" t="s">
        <v>35</v>
      </c>
      <c r="N607" s="18"/>
    </row>
    <row r="608" spans="1:14" x14ac:dyDescent="0.25">
      <c r="A608" t="s">
        <v>2064</v>
      </c>
      <c r="B608" t="s">
        <v>48</v>
      </c>
      <c r="C608" t="s">
        <v>50</v>
      </c>
      <c r="D608" t="s">
        <v>32</v>
      </c>
      <c r="E608" t="s">
        <v>33</v>
      </c>
      <c r="F608">
        <v>58</v>
      </c>
      <c r="G608" t="s">
        <v>118</v>
      </c>
      <c r="H608" s="18">
        <v>40287</v>
      </c>
      <c r="I608">
        <v>56350</v>
      </c>
      <c r="J608">
        <v>0</v>
      </c>
      <c r="K608">
        <v>0</v>
      </c>
      <c r="L608" t="s">
        <v>59</v>
      </c>
      <c r="M608" t="s">
        <v>61</v>
      </c>
      <c r="N608" s="18"/>
    </row>
    <row r="609" spans="1:14" x14ac:dyDescent="0.25">
      <c r="A609" t="s">
        <v>2065</v>
      </c>
      <c r="B609" t="s">
        <v>25</v>
      </c>
      <c r="C609" t="s">
        <v>38</v>
      </c>
      <c r="D609" t="s">
        <v>27</v>
      </c>
      <c r="E609" t="s">
        <v>28</v>
      </c>
      <c r="F609">
        <v>45</v>
      </c>
      <c r="G609" t="s">
        <v>119</v>
      </c>
      <c r="H609" s="18">
        <v>42379</v>
      </c>
      <c r="I609">
        <v>149761</v>
      </c>
      <c r="J609">
        <v>0.12</v>
      </c>
      <c r="K609">
        <v>17971.32</v>
      </c>
      <c r="L609" t="s">
        <v>29</v>
      </c>
      <c r="M609" t="s">
        <v>58</v>
      </c>
      <c r="N609" s="18"/>
    </row>
    <row r="610" spans="1:14" x14ac:dyDescent="0.25">
      <c r="A610" t="s">
        <v>2066</v>
      </c>
      <c r="B610" t="s">
        <v>25</v>
      </c>
      <c r="C610" t="s">
        <v>38</v>
      </c>
      <c r="D610" t="s">
        <v>46</v>
      </c>
      <c r="E610" t="s">
        <v>33</v>
      </c>
      <c r="F610">
        <v>44</v>
      </c>
      <c r="G610" t="s">
        <v>121</v>
      </c>
      <c r="H610" s="18">
        <v>39305</v>
      </c>
      <c r="I610">
        <v>126277</v>
      </c>
      <c r="J610">
        <v>0.13</v>
      </c>
      <c r="K610">
        <v>16416.010000000002</v>
      </c>
      <c r="L610" t="s">
        <v>59</v>
      </c>
      <c r="M610" t="s">
        <v>60</v>
      </c>
      <c r="N610" s="18"/>
    </row>
    <row r="611" spans="1:14" x14ac:dyDescent="0.25">
      <c r="A611" t="s">
        <v>2067</v>
      </c>
      <c r="B611" t="s">
        <v>47</v>
      </c>
      <c r="C611" t="s">
        <v>45</v>
      </c>
      <c r="D611" t="s">
        <v>39</v>
      </c>
      <c r="E611" t="s">
        <v>33</v>
      </c>
      <c r="F611">
        <v>33</v>
      </c>
      <c r="G611" t="s">
        <v>120</v>
      </c>
      <c r="H611" s="18">
        <v>41446</v>
      </c>
      <c r="I611">
        <v>119631</v>
      </c>
      <c r="J611">
        <v>0.06</v>
      </c>
      <c r="K611">
        <v>7177.86</v>
      </c>
      <c r="L611" t="s">
        <v>29</v>
      </c>
      <c r="M611" t="s">
        <v>43</v>
      </c>
      <c r="N611" s="18"/>
    </row>
    <row r="612" spans="1:14" x14ac:dyDescent="0.25">
      <c r="A612" t="s">
        <v>2068</v>
      </c>
      <c r="B612" t="s">
        <v>56</v>
      </c>
      <c r="C612" t="s">
        <v>26</v>
      </c>
      <c r="D612" t="s">
        <v>27</v>
      </c>
      <c r="E612" t="s">
        <v>33</v>
      </c>
      <c r="F612">
        <v>26</v>
      </c>
      <c r="G612" t="s">
        <v>120</v>
      </c>
      <c r="H612" s="18">
        <v>43960</v>
      </c>
      <c r="I612">
        <v>256561</v>
      </c>
      <c r="J612">
        <v>0.39</v>
      </c>
      <c r="K612">
        <v>100058.79000000001</v>
      </c>
      <c r="L612" t="s">
        <v>29</v>
      </c>
      <c r="M612" t="s">
        <v>51</v>
      </c>
      <c r="N612" s="18"/>
    </row>
    <row r="613" spans="1:14" x14ac:dyDescent="0.25">
      <c r="A613" t="s">
        <v>2069</v>
      </c>
      <c r="B613" t="s">
        <v>84</v>
      </c>
      <c r="C613" t="s">
        <v>26</v>
      </c>
      <c r="D613" t="s">
        <v>39</v>
      </c>
      <c r="E613" t="s">
        <v>28</v>
      </c>
      <c r="F613">
        <v>45</v>
      </c>
      <c r="G613" t="s">
        <v>119</v>
      </c>
      <c r="H613" s="18">
        <v>43937</v>
      </c>
      <c r="I613">
        <v>66958</v>
      </c>
      <c r="J613">
        <v>0</v>
      </c>
      <c r="K613">
        <v>0</v>
      </c>
      <c r="L613" t="s">
        <v>29</v>
      </c>
      <c r="M613" t="s">
        <v>49</v>
      </c>
      <c r="N613" s="18"/>
    </row>
    <row r="614" spans="1:14" x14ac:dyDescent="0.25">
      <c r="A614" t="s">
        <v>2070</v>
      </c>
      <c r="B614" t="s">
        <v>25</v>
      </c>
      <c r="C614" t="s">
        <v>45</v>
      </c>
      <c r="D614" t="s">
        <v>32</v>
      </c>
      <c r="E614" t="s">
        <v>28</v>
      </c>
      <c r="F614">
        <v>46</v>
      </c>
      <c r="G614" t="s">
        <v>119</v>
      </c>
      <c r="H614" s="18">
        <v>38046</v>
      </c>
      <c r="I614">
        <v>158897</v>
      </c>
      <c r="J614">
        <v>0.1</v>
      </c>
      <c r="K614">
        <v>15889.7</v>
      </c>
      <c r="L614" t="s">
        <v>34</v>
      </c>
      <c r="M614" t="s">
        <v>35</v>
      </c>
      <c r="N614" s="18"/>
    </row>
    <row r="615" spans="1:14" x14ac:dyDescent="0.25">
      <c r="A615" t="s">
        <v>2071</v>
      </c>
      <c r="B615" t="s">
        <v>31</v>
      </c>
      <c r="C615" t="s">
        <v>26</v>
      </c>
      <c r="D615" t="s">
        <v>46</v>
      </c>
      <c r="E615" t="s">
        <v>33</v>
      </c>
      <c r="F615">
        <v>37</v>
      </c>
      <c r="G615" t="s">
        <v>121</v>
      </c>
      <c r="H615" s="18">
        <v>39493</v>
      </c>
      <c r="I615">
        <v>71695</v>
      </c>
      <c r="J615">
        <v>0</v>
      </c>
      <c r="K615">
        <v>0</v>
      </c>
      <c r="L615" t="s">
        <v>29</v>
      </c>
      <c r="M615" t="s">
        <v>43</v>
      </c>
      <c r="N615" s="18"/>
    </row>
    <row r="616" spans="1:14" x14ac:dyDescent="0.25">
      <c r="A616" t="s">
        <v>2072</v>
      </c>
      <c r="B616" t="s">
        <v>42</v>
      </c>
      <c r="C616" t="s">
        <v>57</v>
      </c>
      <c r="D616" t="s">
        <v>46</v>
      </c>
      <c r="E616" t="s">
        <v>33</v>
      </c>
      <c r="F616">
        <v>40</v>
      </c>
      <c r="G616" t="s">
        <v>121</v>
      </c>
      <c r="H616" s="18">
        <v>41904</v>
      </c>
      <c r="I616">
        <v>73779</v>
      </c>
      <c r="J616">
        <v>0</v>
      </c>
      <c r="K616">
        <v>0</v>
      </c>
      <c r="L616" t="s">
        <v>34</v>
      </c>
      <c r="M616" t="s">
        <v>35</v>
      </c>
      <c r="N616" s="18">
        <v>43594</v>
      </c>
    </row>
    <row r="617" spans="1:14" x14ac:dyDescent="0.25">
      <c r="A617" t="s">
        <v>2073</v>
      </c>
      <c r="B617" t="s">
        <v>47</v>
      </c>
      <c r="C617" t="s">
        <v>45</v>
      </c>
      <c r="D617" t="s">
        <v>39</v>
      </c>
      <c r="E617" t="s">
        <v>28</v>
      </c>
      <c r="F617">
        <v>45</v>
      </c>
      <c r="G617" t="s">
        <v>119</v>
      </c>
      <c r="H617" s="18">
        <v>40836</v>
      </c>
      <c r="I617">
        <v>123640</v>
      </c>
      <c r="J617">
        <v>7.0000000000000007E-2</v>
      </c>
      <c r="K617">
        <v>8654.8000000000011</v>
      </c>
      <c r="L617" t="s">
        <v>34</v>
      </c>
      <c r="M617" t="s">
        <v>55</v>
      </c>
      <c r="N617" s="18"/>
    </row>
    <row r="618" spans="1:14" x14ac:dyDescent="0.25">
      <c r="A618" t="s">
        <v>2074</v>
      </c>
      <c r="B618" t="s">
        <v>48</v>
      </c>
      <c r="C618" t="s">
        <v>45</v>
      </c>
      <c r="D618" t="s">
        <v>39</v>
      </c>
      <c r="E618" t="s">
        <v>28</v>
      </c>
      <c r="F618">
        <v>33</v>
      </c>
      <c r="G618" t="s">
        <v>120</v>
      </c>
      <c r="H618" s="18">
        <v>41742</v>
      </c>
      <c r="I618">
        <v>46878</v>
      </c>
      <c r="J618">
        <v>0</v>
      </c>
      <c r="K618">
        <v>0</v>
      </c>
      <c r="L618" t="s">
        <v>29</v>
      </c>
      <c r="M618" t="s">
        <v>49</v>
      </c>
      <c r="N618" s="18"/>
    </row>
    <row r="619" spans="1:14" x14ac:dyDescent="0.25">
      <c r="A619" t="s">
        <v>2075</v>
      </c>
      <c r="B619" t="s">
        <v>48</v>
      </c>
      <c r="C619" t="s">
        <v>57</v>
      </c>
      <c r="D619" t="s">
        <v>39</v>
      </c>
      <c r="E619" t="s">
        <v>28</v>
      </c>
      <c r="F619">
        <v>64</v>
      </c>
      <c r="G619" t="s">
        <v>118</v>
      </c>
      <c r="H619" s="18">
        <v>37662</v>
      </c>
      <c r="I619">
        <v>57032</v>
      </c>
      <c r="J619">
        <v>0</v>
      </c>
      <c r="K619">
        <v>0</v>
      </c>
      <c r="L619" t="s">
        <v>29</v>
      </c>
      <c r="M619" t="s">
        <v>49</v>
      </c>
      <c r="N619" s="18"/>
    </row>
    <row r="620" spans="1:14" x14ac:dyDescent="0.25">
      <c r="A620" t="s">
        <v>2076</v>
      </c>
      <c r="B620" t="s">
        <v>42</v>
      </c>
      <c r="C620" t="s">
        <v>45</v>
      </c>
      <c r="D620" t="s">
        <v>32</v>
      </c>
      <c r="E620" t="s">
        <v>28</v>
      </c>
      <c r="F620">
        <v>57</v>
      </c>
      <c r="G620" t="s">
        <v>118</v>
      </c>
      <c r="H620" s="18">
        <v>39357</v>
      </c>
      <c r="I620">
        <v>98150</v>
      </c>
      <c r="J620">
        <v>0</v>
      </c>
      <c r="K620">
        <v>0</v>
      </c>
      <c r="L620" t="s">
        <v>59</v>
      </c>
      <c r="M620" t="s">
        <v>61</v>
      </c>
      <c r="N620" s="18"/>
    </row>
    <row r="621" spans="1:14" x14ac:dyDescent="0.25">
      <c r="A621" t="s">
        <v>2077</v>
      </c>
      <c r="B621" t="s">
        <v>37</v>
      </c>
      <c r="C621" t="s">
        <v>57</v>
      </c>
      <c r="D621" t="s">
        <v>32</v>
      </c>
      <c r="E621" t="s">
        <v>28</v>
      </c>
      <c r="F621">
        <v>35</v>
      </c>
      <c r="G621" t="s">
        <v>121</v>
      </c>
      <c r="H621" s="18">
        <v>42800</v>
      </c>
      <c r="I621">
        <v>171426</v>
      </c>
      <c r="J621">
        <v>0.15</v>
      </c>
      <c r="K621">
        <v>25713.899999999998</v>
      </c>
      <c r="L621" t="s">
        <v>34</v>
      </c>
      <c r="M621" t="s">
        <v>64</v>
      </c>
      <c r="N621" s="18">
        <v>43000</v>
      </c>
    </row>
    <row r="622" spans="1:14" x14ac:dyDescent="0.25">
      <c r="A622" t="s">
        <v>2078</v>
      </c>
      <c r="B622" t="s">
        <v>48</v>
      </c>
      <c r="C622" t="s">
        <v>38</v>
      </c>
      <c r="D622" t="s">
        <v>32</v>
      </c>
      <c r="E622" t="s">
        <v>28</v>
      </c>
      <c r="F622">
        <v>55</v>
      </c>
      <c r="G622" t="s">
        <v>118</v>
      </c>
      <c r="H622" s="18">
        <v>44302</v>
      </c>
      <c r="I622">
        <v>48266</v>
      </c>
      <c r="J622">
        <v>0</v>
      </c>
      <c r="K622">
        <v>0</v>
      </c>
      <c r="L622" t="s">
        <v>29</v>
      </c>
      <c r="M622" t="s">
        <v>40</v>
      </c>
      <c r="N622" s="18"/>
    </row>
    <row r="623" spans="1:14" x14ac:dyDescent="0.25">
      <c r="A623" t="s">
        <v>2079</v>
      </c>
      <c r="B623" t="s">
        <v>56</v>
      </c>
      <c r="C623" t="s">
        <v>38</v>
      </c>
      <c r="D623" t="s">
        <v>27</v>
      </c>
      <c r="E623" t="s">
        <v>33</v>
      </c>
      <c r="F623">
        <v>36</v>
      </c>
      <c r="G623" t="s">
        <v>121</v>
      </c>
      <c r="H623" s="18">
        <v>43330</v>
      </c>
      <c r="I623">
        <v>223404</v>
      </c>
      <c r="J623">
        <v>0.32</v>
      </c>
      <c r="K623">
        <v>71489.279999999999</v>
      </c>
      <c r="L623" t="s">
        <v>29</v>
      </c>
      <c r="M623" t="s">
        <v>58</v>
      </c>
      <c r="N623" s="18"/>
    </row>
    <row r="624" spans="1:14" x14ac:dyDescent="0.25">
      <c r="A624" t="s">
        <v>2080</v>
      </c>
      <c r="B624" t="s">
        <v>82</v>
      </c>
      <c r="C624" t="s">
        <v>26</v>
      </c>
      <c r="D624" t="s">
        <v>39</v>
      </c>
      <c r="E624" t="s">
        <v>28</v>
      </c>
      <c r="F624">
        <v>57</v>
      </c>
      <c r="G624" t="s">
        <v>118</v>
      </c>
      <c r="H624" s="18">
        <v>41649</v>
      </c>
      <c r="I624">
        <v>74854</v>
      </c>
      <c r="J624">
        <v>0</v>
      </c>
      <c r="K624">
        <v>0</v>
      </c>
      <c r="L624" t="s">
        <v>29</v>
      </c>
      <c r="M624" t="s">
        <v>30</v>
      </c>
      <c r="N624" s="18"/>
    </row>
    <row r="625" spans="1:14" x14ac:dyDescent="0.25">
      <c r="A625" t="s">
        <v>2081</v>
      </c>
      <c r="B625" t="s">
        <v>56</v>
      </c>
      <c r="C625" t="s">
        <v>50</v>
      </c>
      <c r="D625" t="s">
        <v>39</v>
      </c>
      <c r="E625" t="s">
        <v>28</v>
      </c>
      <c r="F625">
        <v>48</v>
      </c>
      <c r="G625" t="s">
        <v>119</v>
      </c>
      <c r="H625" s="18">
        <v>39197</v>
      </c>
      <c r="I625">
        <v>217783</v>
      </c>
      <c r="J625">
        <v>0.36</v>
      </c>
      <c r="K625">
        <v>78401.87999999999</v>
      </c>
      <c r="L625" t="s">
        <v>29</v>
      </c>
      <c r="M625" t="s">
        <v>30</v>
      </c>
      <c r="N625" s="18"/>
    </row>
    <row r="626" spans="1:14" x14ac:dyDescent="0.25">
      <c r="A626" t="s">
        <v>2082</v>
      </c>
      <c r="B626" t="s">
        <v>83</v>
      </c>
      <c r="C626" t="s">
        <v>26</v>
      </c>
      <c r="D626" t="s">
        <v>32</v>
      </c>
      <c r="E626" t="s">
        <v>28</v>
      </c>
      <c r="F626">
        <v>53</v>
      </c>
      <c r="G626" t="s">
        <v>119</v>
      </c>
      <c r="H626" s="18">
        <v>38214</v>
      </c>
      <c r="I626">
        <v>44735</v>
      </c>
      <c r="J626">
        <v>0</v>
      </c>
      <c r="K626">
        <v>0</v>
      </c>
      <c r="L626" t="s">
        <v>59</v>
      </c>
      <c r="M626" t="s">
        <v>60</v>
      </c>
      <c r="N626" s="18"/>
    </row>
    <row r="627" spans="1:14" x14ac:dyDescent="0.25">
      <c r="A627" t="s">
        <v>2083</v>
      </c>
      <c r="B627" t="s">
        <v>66</v>
      </c>
      <c r="C627" t="s">
        <v>38</v>
      </c>
      <c r="D627" t="s">
        <v>32</v>
      </c>
      <c r="E627" t="s">
        <v>28</v>
      </c>
      <c r="F627">
        <v>41</v>
      </c>
      <c r="G627" t="s">
        <v>121</v>
      </c>
      <c r="H627" s="18">
        <v>39091</v>
      </c>
      <c r="I627">
        <v>50685</v>
      </c>
      <c r="J627">
        <v>0</v>
      </c>
      <c r="K627">
        <v>0</v>
      </c>
      <c r="L627" t="s">
        <v>29</v>
      </c>
      <c r="M627" t="s">
        <v>58</v>
      </c>
      <c r="N627" s="18"/>
    </row>
    <row r="628" spans="1:14" x14ac:dyDescent="0.25">
      <c r="A628" t="s">
        <v>2084</v>
      </c>
      <c r="B628" t="s">
        <v>66</v>
      </c>
      <c r="C628" t="s">
        <v>45</v>
      </c>
      <c r="D628" t="s">
        <v>27</v>
      </c>
      <c r="E628" t="s">
        <v>33</v>
      </c>
      <c r="F628">
        <v>34</v>
      </c>
      <c r="G628" t="s">
        <v>120</v>
      </c>
      <c r="H628" s="18">
        <v>43169</v>
      </c>
      <c r="I628">
        <v>58993</v>
      </c>
      <c r="J628">
        <v>0</v>
      </c>
      <c r="K628">
        <v>0</v>
      </c>
      <c r="L628" t="s">
        <v>29</v>
      </c>
      <c r="M628" t="s">
        <v>51</v>
      </c>
      <c r="N628" s="18"/>
    </row>
    <row r="629" spans="1:14" x14ac:dyDescent="0.25">
      <c r="A629" t="s">
        <v>2085</v>
      </c>
      <c r="B629" t="s">
        <v>73</v>
      </c>
      <c r="C629" t="s">
        <v>54</v>
      </c>
      <c r="D629" t="s">
        <v>46</v>
      </c>
      <c r="E629" t="s">
        <v>33</v>
      </c>
      <c r="F629">
        <v>47</v>
      </c>
      <c r="G629" t="s">
        <v>119</v>
      </c>
      <c r="H629" s="18">
        <v>43990</v>
      </c>
      <c r="I629">
        <v>115765</v>
      </c>
      <c r="J629">
        <v>0</v>
      </c>
      <c r="K629">
        <v>0</v>
      </c>
      <c r="L629" t="s">
        <v>29</v>
      </c>
      <c r="M629" t="s">
        <v>49</v>
      </c>
      <c r="N629" s="18">
        <v>44229</v>
      </c>
    </row>
    <row r="630" spans="1:14" x14ac:dyDescent="0.25">
      <c r="A630" t="s">
        <v>2086</v>
      </c>
      <c r="B630" t="s">
        <v>37</v>
      </c>
      <c r="C630" t="s">
        <v>50</v>
      </c>
      <c r="D630" t="s">
        <v>32</v>
      </c>
      <c r="E630" t="s">
        <v>28</v>
      </c>
      <c r="F630">
        <v>63</v>
      </c>
      <c r="G630" t="s">
        <v>118</v>
      </c>
      <c r="H630" s="18">
        <v>39147</v>
      </c>
      <c r="I630">
        <v>193044</v>
      </c>
      <c r="J630">
        <v>0.15</v>
      </c>
      <c r="K630">
        <v>28956.6</v>
      </c>
      <c r="L630" t="s">
        <v>29</v>
      </c>
      <c r="M630" t="s">
        <v>49</v>
      </c>
      <c r="N630" s="18"/>
    </row>
    <row r="631" spans="1:14" x14ac:dyDescent="0.25">
      <c r="A631" t="s">
        <v>2087</v>
      </c>
      <c r="B631" t="s">
        <v>48</v>
      </c>
      <c r="C631" t="s">
        <v>57</v>
      </c>
      <c r="D631" t="s">
        <v>27</v>
      </c>
      <c r="E631" t="s">
        <v>28</v>
      </c>
      <c r="F631">
        <v>65</v>
      </c>
      <c r="G631" t="s">
        <v>122</v>
      </c>
      <c r="H631" s="18">
        <v>40711</v>
      </c>
      <c r="I631">
        <v>56686</v>
      </c>
      <c r="J631">
        <v>0</v>
      </c>
      <c r="K631">
        <v>0</v>
      </c>
      <c r="L631" t="s">
        <v>29</v>
      </c>
      <c r="M631" t="s">
        <v>30</v>
      </c>
      <c r="N631" s="18">
        <v>42164</v>
      </c>
    </row>
    <row r="632" spans="1:14" x14ac:dyDescent="0.25">
      <c r="A632" t="s">
        <v>2088</v>
      </c>
      <c r="B632" t="s">
        <v>25</v>
      </c>
      <c r="C632" t="s">
        <v>38</v>
      </c>
      <c r="D632" t="s">
        <v>32</v>
      </c>
      <c r="E632" t="s">
        <v>28</v>
      </c>
      <c r="F632">
        <v>33</v>
      </c>
      <c r="G632" t="s">
        <v>120</v>
      </c>
      <c r="H632" s="18">
        <v>43763</v>
      </c>
      <c r="I632">
        <v>131652</v>
      </c>
      <c r="J632">
        <v>0.11</v>
      </c>
      <c r="K632">
        <v>14481.72</v>
      </c>
      <c r="L632" t="s">
        <v>29</v>
      </c>
      <c r="M632" t="s">
        <v>30</v>
      </c>
      <c r="N632" s="18"/>
    </row>
    <row r="633" spans="1:14" x14ac:dyDescent="0.25">
      <c r="A633" t="s">
        <v>2089</v>
      </c>
      <c r="B633" t="s">
        <v>37</v>
      </c>
      <c r="C633" t="s">
        <v>57</v>
      </c>
      <c r="D633" t="s">
        <v>32</v>
      </c>
      <c r="E633" t="s">
        <v>28</v>
      </c>
      <c r="F633">
        <v>45</v>
      </c>
      <c r="G633" t="s">
        <v>119</v>
      </c>
      <c r="H633" s="18">
        <v>39507</v>
      </c>
      <c r="I633">
        <v>150577</v>
      </c>
      <c r="J633">
        <v>0.25</v>
      </c>
      <c r="K633">
        <v>37644.25</v>
      </c>
      <c r="L633" t="s">
        <v>29</v>
      </c>
      <c r="M633" t="s">
        <v>49</v>
      </c>
      <c r="N633" s="18"/>
    </row>
    <row r="634" spans="1:14" x14ac:dyDescent="0.25">
      <c r="A634" t="s">
        <v>2090</v>
      </c>
      <c r="B634" t="s">
        <v>63</v>
      </c>
      <c r="C634" t="s">
        <v>54</v>
      </c>
      <c r="D634" t="s">
        <v>27</v>
      </c>
      <c r="E634" t="s">
        <v>28</v>
      </c>
      <c r="F634">
        <v>37</v>
      </c>
      <c r="G634" t="s">
        <v>121</v>
      </c>
      <c r="H634" s="18">
        <v>43461</v>
      </c>
      <c r="I634">
        <v>87359</v>
      </c>
      <c r="J634">
        <v>0.11</v>
      </c>
      <c r="K634">
        <v>9609.49</v>
      </c>
      <c r="L634" t="s">
        <v>59</v>
      </c>
      <c r="M634" t="s">
        <v>61</v>
      </c>
      <c r="N634" s="18"/>
    </row>
    <row r="635" spans="1:14" x14ac:dyDescent="0.25">
      <c r="A635" t="s">
        <v>2091</v>
      </c>
      <c r="B635" t="s">
        <v>66</v>
      </c>
      <c r="C635" t="s">
        <v>45</v>
      </c>
      <c r="D635" t="s">
        <v>39</v>
      </c>
      <c r="E635" t="s">
        <v>28</v>
      </c>
      <c r="F635">
        <v>60</v>
      </c>
      <c r="G635" t="s">
        <v>118</v>
      </c>
      <c r="H635" s="18">
        <v>41647</v>
      </c>
      <c r="I635">
        <v>51877</v>
      </c>
      <c r="J635">
        <v>0</v>
      </c>
      <c r="K635">
        <v>0</v>
      </c>
      <c r="L635" t="s">
        <v>34</v>
      </c>
      <c r="M635" t="s">
        <v>64</v>
      </c>
      <c r="N635" s="18"/>
    </row>
    <row r="636" spans="1:14" x14ac:dyDescent="0.25">
      <c r="A636" t="s">
        <v>2092</v>
      </c>
      <c r="B636" t="s">
        <v>84</v>
      </c>
      <c r="C636" t="s">
        <v>26</v>
      </c>
      <c r="D636" t="s">
        <v>32</v>
      </c>
      <c r="E636" t="s">
        <v>33</v>
      </c>
      <c r="F636">
        <v>43</v>
      </c>
      <c r="G636" t="s">
        <v>121</v>
      </c>
      <c r="H636" s="18">
        <v>42753</v>
      </c>
      <c r="I636">
        <v>86417</v>
      </c>
      <c r="J636">
        <v>0</v>
      </c>
      <c r="K636">
        <v>0</v>
      </c>
      <c r="L636" t="s">
        <v>29</v>
      </c>
      <c r="M636" t="s">
        <v>40</v>
      </c>
      <c r="N636" s="18"/>
    </row>
    <row r="637" spans="1:14" x14ac:dyDescent="0.25">
      <c r="A637" t="s">
        <v>2093</v>
      </c>
      <c r="B637" t="s">
        <v>82</v>
      </c>
      <c r="C637" t="s">
        <v>26</v>
      </c>
      <c r="D637" t="s">
        <v>27</v>
      </c>
      <c r="E637" t="s">
        <v>28</v>
      </c>
      <c r="F637">
        <v>65</v>
      </c>
      <c r="G637" t="s">
        <v>122</v>
      </c>
      <c r="H637" s="18">
        <v>37749</v>
      </c>
      <c r="I637">
        <v>96548</v>
      </c>
      <c r="J637">
        <v>0</v>
      </c>
      <c r="K637">
        <v>0</v>
      </c>
      <c r="L637" t="s">
        <v>29</v>
      </c>
      <c r="M637" t="s">
        <v>51</v>
      </c>
      <c r="N637" s="18"/>
    </row>
    <row r="638" spans="1:14" x14ac:dyDescent="0.25">
      <c r="A638" t="s">
        <v>2094</v>
      </c>
      <c r="B638" t="s">
        <v>42</v>
      </c>
      <c r="C638" t="s">
        <v>50</v>
      </c>
      <c r="D638" t="s">
        <v>32</v>
      </c>
      <c r="E638" t="s">
        <v>28</v>
      </c>
      <c r="F638">
        <v>43</v>
      </c>
      <c r="G638" t="s">
        <v>121</v>
      </c>
      <c r="H638" s="18">
        <v>41662</v>
      </c>
      <c r="I638">
        <v>92940</v>
      </c>
      <c r="J638">
        <v>0</v>
      </c>
      <c r="K638">
        <v>0</v>
      </c>
      <c r="L638" t="s">
        <v>34</v>
      </c>
      <c r="M638" t="s">
        <v>68</v>
      </c>
      <c r="N638" s="18"/>
    </row>
    <row r="639" spans="1:14" x14ac:dyDescent="0.25">
      <c r="A639" t="s">
        <v>2095</v>
      </c>
      <c r="B639" t="s">
        <v>66</v>
      </c>
      <c r="C639" t="s">
        <v>50</v>
      </c>
      <c r="D639" t="s">
        <v>39</v>
      </c>
      <c r="E639" t="s">
        <v>33</v>
      </c>
      <c r="F639">
        <v>28</v>
      </c>
      <c r="G639" t="s">
        <v>120</v>
      </c>
      <c r="H639" s="18">
        <v>43336</v>
      </c>
      <c r="I639">
        <v>61410</v>
      </c>
      <c r="J639">
        <v>0</v>
      </c>
      <c r="K639">
        <v>0</v>
      </c>
      <c r="L639" t="s">
        <v>29</v>
      </c>
      <c r="M639" t="s">
        <v>43</v>
      </c>
      <c r="N639" s="18"/>
    </row>
    <row r="640" spans="1:14" x14ac:dyDescent="0.25">
      <c r="A640" t="s">
        <v>2096</v>
      </c>
      <c r="B640" t="s">
        <v>47</v>
      </c>
      <c r="C640" t="s">
        <v>38</v>
      </c>
      <c r="D640" t="s">
        <v>39</v>
      </c>
      <c r="E640" t="s">
        <v>28</v>
      </c>
      <c r="F640">
        <v>61</v>
      </c>
      <c r="G640" t="s">
        <v>118</v>
      </c>
      <c r="H640" s="18">
        <v>40293</v>
      </c>
      <c r="I640">
        <v>110302</v>
      </c>
      <c r="J640">
        <v>0.06</v>
      </c>
      <c r="K640">
        <v>6618.12</v>
      </c>
      <c r="L640" t="s">
        <v>29</v>
      </c>
      <c r="M640" t="s">
        <v>49</v>
      </c>
      <c r="N640" s="18"/>
    </row>
    <row r="641" spans="1:14" x14ac:dyDescent="0.25">
      <c r="A641" t="s">
        <v>2097</v>
      </c>
      <c r="B641" t="s">
        <v>37</v>
      </c>
      <c r="C641" t="s">
        <v>54</v>
      </c>
      <c r="D641" t="s">
        <v>39</v>
      </c>
      <c r="E641" t="s">
        <v>28</v>
      </c>
      <c r="F641">
        <v>45</v>
      </c>
      <c r="G641" t="s">
        <v>119</v>
      </c>
      <c r="H641" s="18">
        <v>43212</v>
      </c>
      <c r="I641">
        <v>187205</v>
      </c>
      <c r="J641">
        <v>0.24</v>
      </c>
      <c r="K641">
        <v>44929.2</v>
      </c>
      <c r="L641" t="s">
        <v>29</v>
      </c>
      <c r="M641" t="s">
        <v>58</v>
      </c>
      <c r="N641" s="18">
        <v>44732</v>
      </c>
    </row>
    <row r="642" spans="1:14" x14ac:dyDescent="0.25">
      <c r="A642" t="s">
        <v>2098</v>
      </c>
      <c r="B642" t="s">
        <v>42</v>
      </c>
      <c r="C642" t="s">
        <v>45</v>
      </c>
      <c r="D642" t="s">
        <v>46</v>
      </c>
      <c r="E642" t="s">
        <v>33</v>
      </c>
      <c r="F642">
        <v>45</v>
      </c>
      <c r="G642" t="s">
        <v>119</v>
      </c>
      <c r="H642" s="18">
        <v>40618</v>
      </c>
      <c r="I642">
        <v>81687</v>
      </c>
      <c r="J642">
        <v>0</v>
      </c>
      <c r="K642">
        <v>0</v>
      </c>
      <c r="L642" t="s">
        <v>29</v>
      </c>
      <c r="M642" t="s">
        <v>43</v>
      </c>
      <c r="N642" s="18"/>
    </row>
    <row r="643" spans="1:14" x14ac:dyDescent="0.25">
      <c r="A643" t="s">
        <v>2099</v>
      </c>
      <c r="B643" t="s">
        <v>56</v>
      </c>
      <c r="C643" t="s">
        <v>26</v>
      </c>
      <c r="D643" t="s">
        <v>39</v>
      </c>
      <c r="E643" t="s">
        <v>33</v>
      </c>
      <c r="F643">
        <v>54</v>
      </c>
      <c r="G643" t="s">
        <v>119</v>
      </c>
      <c r="H643" s="18">
        <v>40040</v>
      </c>
      <c r="I643">
        <v>241083</v>
      </c>
      <c r="J643">
        <v>0.39</v>
      </c>
      <c r="K643">
        <v>94022.37000000001</v>
      </c>
      <c r="L643" t="s">
        <v>29</v>
      </c>
      <c r="M643" t="s">
        <v>58</v>
      </c>
      <c r="N643" s="18"/>
    </row>
    <row r="644" spans="1:14" x14ac:dyDescent="0.25">
      <c r="A644" t="s">
        <v>2100</v>
      </c>
      <c r="B644" t="s">
        <v>56</v>
      </c>
      <c r="C644" t="s">
        <v>38</v>
      </c>
      <c r="D644" t="s">
        <v>39</v>
      </c>
      <c r="E644" t="s">
        <v>28</v>
      </c>
      <c r="F644">
        <v>38</v>
      </c>
      <c r="G644" t="s">
        <v>121</v>
      </c>
      <c r="H644" s="18">
        <v>43413</v>
      </c>
      <c r="I644">
        <v>223805</v>
      </c>
      <c r="J644">
        <v>0.36</v>
      </c>
      <c r="K644">
        <v>80569.8</v>
      </c>
      <c r="L644" t="s">
        <v>29</v>
      </c>
      <c r="M644" t="s">
        <v>40</v>
      </c>
      <c r="N644" s="18"/>
    </row>
    <row r="645" spans="1:14" x14ac:dyDescent="0.25">
      <c r="A645" t="s">
        <v>2101</v>
      </c>
      <c r="B645" t="s">
        <v>37</v>
      </c>
      <c r="C645" t="s">
        <v>50</v>
      </c>
      <c r="D645" t="s">
        <v>46</v>
      </c>
      <c r="E645" t="s">
        <v>28</v>
      </c>
      <c r="F645">
        <v>27</v>
      </c>
      <c r="G645" t="s">
        <v>120</v>
      </c>
      <c r="H645" s="18">
        <v>44393</v>
      </c>
      <c r="I645">
        <v>161759</v>
      </c>
      <c r="J645">
        <v>0.16</v>
      </c>
      <c r="K645">
        <v>25881.440000000002</v>
      </c>
      <c r="L645" t="s">
        <v>29</v>
      </c>
      <c r="M645" t="s">
        <v>49</v>
      </c>
      <c r="N645" s="18"/>
    </row>
    <row r="646" spans="1:14" x14ac:dyDescent="0.25">
      <c r="A646" t="s">
        <v>2102</v>
      </c>
      <c r="B646" t="s">
        <v>41</v>
      </c>
      <c r="C646" t="s">
        <v>26</v>
      </c>
      <c r="D646" t="s">
        <v>27</v>
      </c>
      <c r="E646" t="s">
        <v>33</v>
      </c>
      <c r="F646">
        <v>40</v>
      </c>
      <c r="G646" t="s">
        <v>121</v>
      </c>
      <c r="H646" s="18">
        <v>43520</v>
      </c>
      <c r="I646">
        <v>95899</v>
      </c>
      <c r="J646">
        <v>0.1</v>
      </c>
      <c r="K646">
        <v>9589.9</v>
      </c>
      <c r="L646" t="s">
        <v>29</v>
      </c>
      <c r="M646" t="s">
        <v>58</v>
      </c>
      <c r="N646" s="18">
        <v>44263</v>
      </c>
    </row>
    <row r="647" spans="1:14" x14ac:dyDescent="0.25">
      <c r="A647" t="s">
        <v>2103</v>
      </c>
      <c r="B647" t="s">
        <v>42</v>
      </c>
      <c r="C647" t="s">
        <v>38</v>
      </c>
      <c r="D647" t="s">
        <v>46</v>
      </c>
      <c r="E647" t="s">
        <v>33</v>
      </c>
      <c r="F647">
        <v>49</v>
      </c>
      <c r="G647" t="s">
        <v>119</v>
      </c>
      <c r="H647" s="18">
        <v>43623</v>
      </c>
      <c r="I647">
        <v>80700</v>
      </c>
      <c r="J647">
        <v>0</v>
      </c>
      <c r="K647">
        <v>0</v>
      </c>
      <c r="L647" t="s">
        <v>29</v>
      </c>
      <c r="M647" t="s">
        <v>58</v>
      </c>
      <c r="N647" s="18"/>
    </row>
    <row r="648" spans="1:14" x14ac:dyDescent="0.25">
      <c r="A648" t="s">
        <v>2104</v>
      </c>
      <c r="B648" t="s">
        <v>47</v>
      </c>
      <c r="C648" t="s">
        <v>52</v>
      </c>
      <c r="D648" t="s">
        <v>39</v>
      </c>
      <c r="E648" t="s">
        <v>33</v>
      </c>
      <c r="F648">
        <v>54</v>
      </c>
      <c r="G648" t="s">
        <v>119</v>
      </c>
      <c r="H648" s="18">
        <v>35500</v>
      </c>
      <c r="I648">
        <v>128136</v>
      </c>
      <c r="J648">
        <v>0.05</v>
      </c>
      <c r="K648">
        <v>6406.8</v>
      </c>
      <c r="L648" t="s">
        <v>34</v>
      </c>
      <c r="M648" t="s">
        <v>64</v>
      </c>
      <c r="N648" s="18"/>
    </row>
    <row r="649" spans="1:14" x14ac:dyDescent="0.25">
      <c r="A649" t="s">
        <v>2105</v>
      </c>
      <c r="B649" t="s">
        <v>66</v>
      </c>
      <c r="C649" t="s">
        <v>57</v>
      </c>
      <c r="D649" t="s">
        <v>46</v>
      </c>
      <c r="E649" t="s">
        <v>28</v>
      </c>
      <c r="F649">
        <v>39</v>
      </c>
      <c r="G649" t="s">
        <v>121</v>
      </c>
      <c r="H649" s="18">
        <v>42843</v>
      </c>
      <c r="I649">
        <v>58745</v>
      </c>
      <c r="J649">
        <v>0</v>
      </c>
      <c r="K649">
        <v>0</v>
      </c>
      <c r="L649" t="s">
        <v>29</v>
      </c>
      <c r="M649" t="s">
        <v>51</v>
      </c>
      <c r="N649" s="18"/>
    </row>
    <row r="650" spans="1:14" x14ac:dyDescent="0.25">
      <c r="A650" t="s">
        <v>2106</v>
      </c>
      <c r="B650" t="s">
        <v>31</v>
      </c>
      <c r="C650" t="s">
        <v>26</v>
      </c>
      <c r="D650" t="s">
        <v>46</v>
      </c>
      <c r="E650" t="s">
        <v>28</v>
      </c>
      <c r="F650">
        <v>57</v>
      </c>
      <c r="G650" t="s">
        <v>118</v>
      </c>
      <c r="H650" s="18">
        <v>33728</v>
      </c>
      <c r="I650">
        <v>76202</v>
      </c>
      <c r="J650">
        <v>0</v>
      </c>
      <c r="K650">
        <v>0</v>
      </c>
      <c r="L650" t="s">
        <v>29</v>
      </c>
      <c r="M650" t="s">
        <v>51</v>
      </c>
      <c r="N650" s="18">
        <v>34686</v>
      </c>
    </row>
    <row r="651" spans="1:14" x14ac:dyDescent="0.25">
      <c r="A651" t="s">
        <v>2107</v>
      </c>
      <c r="B651" t="s">
        <v>56</v>
      </c>
      <c r="C651" t="s">
        <v>45</v>
      </c>
      <c r="D651" t="s">
        <v>39</v>
      </c>
      <c r="E651" t="s">
        <v>33</v>
      </c>
      <c r="F651">
        <v>36</v>
      </c>
      <c r="G651" t="s">
        <v>121</v>
      </c>
      <c r="H651" s="18">
        <v>43178</v>
      </c>
      <c r="I651">
        <v>195200</v>
      </c>
      <c r="J651">
        <v>0.36</v>
      </c>
      <c r="K651">
        <v>70272</v>
      </c>
      <c r="L651" t="s">
        <v>29</v>
      </c>
      <c r="M651" t="s">
        <v>51</v>
      </c>
      <c r="N651" s="18"/>
    </row>
    <row r="652" spans="1:14" x14ac:dyDescent="0.25">
      <c r="A652" t="s">
        <v>2108</v>
      </c>
      <c r="B652" t="s">
        <v>66</v>
      </c>
      <c r="C652" t="s">
        <v>38</v>
      </c>
      <c r="D652" t="s">
        <v>32</v>
      </c>
      <c r="E652" t="s">
        <v>28</v>
      </c>
      <c r="F652">
        <v>45</v>
      </c>
      <c r="G652" t="s">
        <v>119</v>
      </c>
      <c r="H652" s="18">
        <v>42711</v>
      </c>
      <c r="I652">
        <v>71454</v>
      </c>
      <c r="J652">
        <v>0</v>
      </c>
      <c r="K652">
        <v>0</v>
      </c>
      <c r="L652" t="s">
        <v>34</v>
      </c>
      <c r="M652" t="s">
        <v>55</v>
      </c>
      <c r="N652" s="18"/>
    </row>
    <row r="653" spans="1:14" x14ac:dyDescent="0.25">
      <c r="A653" t="s">
        <v>2109</v>
      </c>
      <c r="B653" t="s">
        <v>75</v>
      </c>
      <c r="C653" t="s">
        <v>26</v>
      </c>
      <c r="D653" t="s">
        <v>32</v>
      </c>
      <c r="E653" t="s">
        <v>28</v>
      </c>
      <c r="F653">
        <v>30</v>
      </c>
      <c r="G653" t="s">
        <v>120</v>
      </c>
      <c r="H653" s="18">
        <v>43864</v>
      </c>
      <c r="I653">
        <v>94652</v>
      </c>
      <c r="J653">
        <v>0</v>
      </c>
      <c r="K653">
        <v>0</v>
      </c>
      <c r="L653" t="s">
        <v>29</v>
      </c>
      <c r="M653" t="s">
        <v>30</v>
      </c>
      <c r="N653" s="18"/>
    </row>
    <row r="654" spans="1:14" x14ac:dyDescent="0.25">
      <c r="A654" t="s">
        <v>2110</v>
      </c>
      <c r="B654" t="s">
        <v>31</v>
      </c>
      <c r="C654" t="s">
        <v>26</v>
      </c>
      <c r="D654" t="s">
        <v>32</v>
      </c>
      <c r="E654" t="s">
        <v>33</v>
      </c>
      <c r="F654">
        <v>34</v>
      </c>
      <c r="G654" t="s">
        <v>120</v>
      </c>
      <c r="H654" s="18">
        <v>42416</v>
      </c>
      <c r="I654">
        <v>63411</v>
      </c>
      <c r="J654">
        <v>0</v>
      </c>
      <c r="K654">
        <v>0</v>
      </c>
      <c r="L654" t="s">
        <v>29</v>
      </c>
      <c r="M654" t="s">
        <v>49</v>
      </c>
      <c r="N654" s="18"/>
    </row>
    <row r="655" spans="1:14" x14ac:dyDescent="0.25">
      <c r="A655" t="s">
        <v>2111</v>
      </c>
      <c r="B655" t="s">
        <v>66</v>
      </c>
      <c r="C655" t="s">
        <v>45</v>
      </c>
      <c r="D655" t="s">
        <v>39</v>
      </c>
      <c r="E655" t="s">
        <v>33</v>
      </c>
      <c r="F655">
        <v>31</v>
      </c>
      <c r="G655" t="s">
        <v>120</v>
      </c>
      <c r="H655" s="18">
        <v>43878</v>
      </c>
      <c r="I655">
        <v>67171</v>
      </c>
      <c r="J655">
        <v>0</v>
      </c>
      <c r="K655">
        <v>0</v>
      </c>
      <c r="L655" t="s">
        <v>34</v>
      </c>
      <c r="M655" t="s">
        <v>35</v>
      </c>
      <c r="N655" s="18">
        <v>44317</v>
      </c>
    </row>
    <row r="656" spans="1:14" x14ac:dyDescent="0.25">
      <c r="A656" t="s">
        <v>2112</v>
      </c>
      <c r="B656" t="s">
        <v>25</v>
      </c>
      <c r="C656" t="s">
        <v>50</v>
      </c>
      <c r="D656" t="s">
        <v>39</v>
      </c>
      <c r="E656" t="s">
        <v>28</v>
      </c>
      <c r="F656">
        <v>28</v>
      </c>
      <c r="G656" t="s">
        <v>120</v>
      </c>
      <c r="H656" s="18">
        <v>43652</v>
      </c>
      <c r="I656">
        <v>152036</v>
      </c>
      <c r="J656">
        <v>0.15</v>
      </c>
      <c r="K656">
        <v>22805.399999999998</v>
      </c>
      <c r="L656" t="s">
        <v>59</v>
      </c>
      <c r="M656" t="s">
        <v>61</v>
      </c>
      <c r="N656" s="18"/>
    </row>
    <row r="657" spans="1:14" x14ac:dyDescent="0.25">
      <c r="A657" t="s">
        <v>2113</v>
      </c>
      <c r="B657" t="s">
        <v>53</v>
      </c>
      <c r="C657" t="s">
        <v>54</v>
      </c>
      <c r="D657" t="s">
        <v>32</v>
      </c>
      <c r="E657" t="s">
        <v>28</v>
      </c>
      <c r="F657">
        <v>55</v>
      </c>
      <c r="G657" t="s">
        <v>118</v>
      </c>
      <c r="H657" s="18">
        <v>44276</v>
      </c>
      <c r="I657">
        <v>95562</v>
      </c>
      <c r="J657">
        <v>0</v>
      </c>
      <c r="K657">
        <v>0</v>
      </c>
      <c r="L657" t="s">
        <v>29</v>
      </c>
      <c r="M657" t="s">
        <v>40</v>
      </c>
      <c r="N657" s="18"/>
    </row>
    <row r="658" spans="1:14" x14ac:dyDescent="0.25">
      <c r="A658" t="s">
        <v>2114</v>
      </c>
      <c r="B658" t="s">
        <v>42</v>
      </c>
      <c r="C658" t="s">
        <v>45</v>
      </c>
      <c r="D658" t="s">
        <v>27</v>
      </c>
      <c r="E658" t="s">
        <v>33</v>
      </c>
      <c r="F658">
        <v>30</v>
      </c>
      <c r="G658" t="s">
        <v>120</v>
      </c>
      <c r="H658" s="18">
        <v>43773</v>
      </c>
      <c r="I658">
        <v>96092</v>
      </c>
      <c r="J658">
        <v>0</v>
      </c>
      <c r="K658">
        <v>0</v>
      </c>
      <c r="L658" t="s">
        <v>29</v>
      </c>
      <c r="M658" t="s">
        <v>51</v>
      </c>
      <c r="N658" s="18"/>
    </row>
    <row r="659" spans="1:14" x14ac:dyDescent="0.25">
      <c r="A659" t="s">
        <v>2115</v>
      </c>
      <c r="B659" t="s">
        <v>56</v>
      </c>
      <c r="C659" t="s">
        <v>54</v>
      </c>
      <c r="D659" t="s">
        <v>32</v>
      </c>
      <c r="E659" t="s">
        <v>33</v>
      </c>
      <c r="F659">
        <v>63</v>
      </c>
      <c r="G659" t="s">
        <v>118</v>
      </c>
      <c r="H659" s="18">
        <v>41428</v>
      </c>
      <c r="I659">
        <v>254289</v>
      </c>
      <c r="J659">
        <v>0.39</v>
      </c>
      <c r="K659">
        <v>99172.71</v>
      </c>
      <c r="L659" t="s">
        <v>29</v>
      </c>
      <c r="M659" t="s">
        <v>40</v>
      </c>
      <c r="N659" s="18"/>
    </row>
    <row r="660" spans="1:14" x14ac:dyDescent="0.25">
      <c r="A660" t="s">
        <v>2116</v>
      </c>
      <c r="B660" t="s">
        <v>41</v>
      </c>
      <c r="C660" t="s">
        <v>26</v>
      </c>
      <c r="D660" t="s">
        <v>27</v>
      </c>
      <c r="E660" t="s">
        <v>33</v>
      </c>
      <c r="F660">
        <v>26</v>
      </c>
      <c r="G660" t="s">
        <v>120</v>
      </c>
      <c r="H660" s="18">
        <v>43656</v>
      </c>
      <c r="I660">
        <v>69110</v>
      </c>
      <c r="J660">
        <v>0.05</v>
      </c>
      <c r="K660">
        <v>3455.5</v>
      </c>
      <c r="L660" t="s">
        <v>29</v>
      </c>
      <c r="M660" t="s">
        <v>40</v>
      </c>
      <c r="N660" s="18"/>
    </row>
    <row r="661" spans="1:14" x14ac:dyDescent="0.25">
      <c r="A661" t="s">
        <v>2117</v>
      </c>
      <c r="B661" t="s">
        <v>56</v>
      </c>
      <c r="C661" t="s">
        <v>57</v>
      </c>
      <c r="D661" t="s">
        <v>39</v>
      </c>
      <c r="E661" t="s">
        <v>33</v>
      </c>
      <c r="F661">
        <v>52</v>
      </c>
      <c r="G661" t="s">
        <v>119</v>
      </c>
      <c r="H661" s="18">
        <v>37418</v>
      </c>
      <c r="I661">
        <v>236314</v>
      </c>
      <c r="J661">
        <v>0.34</v>
      </c>
      <c r="K661">
        <v>80346.760000000009</v>
      </c>
      <c r="L661" t="s">
        <v>29</v>
      </c>
      <c r="M661" t="s">
        <v>49</v>
      </c>
      <c r="N661" s="18"/>
    </row>
    <row r="662" spans="1:14" x14ac:dyDescent="0.25">
      <c r="A662" t="s">
        <v>2118</v>
      </c>
      <c r="B662" t="s">
        <v>48</v>
      </c>
      <c r="C662" t="s">
        <v>57</v>
      </c>
      <c r="D662" t="s">
        <v>46</v>
      </c>
      <c r="E662" t="s">
        <v>33</v>
      </c>
      <c r="F662">
        <v>51</v>
      </c>
      <c r="G662" t="s">
        <v>119</v>
      </c>
      <c r="H662" s="18">
        <v>39252</v>
      </c>
      <c r="I662">
        <v>45206</v>
      </c>
      <c r="J662">
        <v>0</v>
      </c>
      <c r="K662">
        <v>0</v>
      </c>
      <c r="L662" t="s">
        <v>29</v>
      </c>
      <c r="M662" t="s">
        <v>58</v>
      </c>
      <c r="N662" s="18"/>
    </row>
    <row r="663" spans="1:14" x14ac:dyDescent="0.25">
      <c r="A663" t="s">
        <v>2119</v>
      </c>
      <c r="B663" t="s">
        <v>56</v>
      </c>
      <c r="C663" t="s">
        <v>38</v>
      </c>
      <c r="D663" t="s">
        <v>27</v>
      </c>
      <c r="E663" t="s">
        <v>28</v>
      </c>
      <c r="F663">
        <v>25</v>
      </c>
      <c r="G663" t="s">
        <v>120</v>
      </c>
      <c r="H663" s="18">
        <v>44515</v>
      </c>
      <c r="I663">
        <v>210708</v>
      </c>
      <c r="J663">
        <v>0.33</v>
      </c>
      <c r="K663">
        <v>69533.64</v>
      </c>
      <c r="L663" t="s">
        <v>29</v>
      </c>
      <c r="M663" t="s">
        <v>40</v>
      </c>
      <c r="N663" s="18"/>
    </row>
    <row r="664" spans="1:14" x14ac:dyDescent="0.25">
      <c r="A664" t="s">
        <v>2120</v>
      </c>
      <c r="B664" t="s">
        <v>82</v>
      </c>
      <c r="C664" t="s">
        <v>26</v>
      </c>
      <c r="D664" t="s">
        <v>46</v>
      </c>
      <c r="E664" t="s">
        <v>33</v>
      </c>
      <c r="F664">
        <v>40</v>
      </c>
      <c r="G664" t="s">
        <v>121</v>
      </c>
      <c r="H664" s="18">
        <v>44465</v>
      </c>
      <c r="I664">
        <v>87770</v>
      </c>
      <c r="J664">
        <v>0</v>
      </c>
      <c r="K664">
        <v>0</v>
      </c>
      <c r="L664" t="s">
        <v>29</v>
      </c>
      <c r="M664" t="s">
        <v>51</v>
      </c>
      <c r="N664" s="18"/>
    </row>
    <row r="665" spans="1:14" x14ac:dyDescent="0.25">
      <c r="A665" t="s">
        <v>2121</v>
      </c>
      <c r="B665" t="s">
        <v>47</v>
      </c>
      <c r="C665" t="s">
        <v>50</v>
      </c>
      <c r="D665" t="s">
        <v>46</v>
      </c>
      <c r="E665" t="s">
        <v>28</v>
      </c>
      <c r="F665">
        <v>38</v>
      </c>
      <c r="G665" t="s">
        <v>121</v>
      </c>
      <c r="H665" s="18">
        <v>42228</v>
      </c>
      <c r="I665">
        <v>106858</v>
      </c>
      <c r="J665">
        <v>0.05</v>
      </c>
      <c r="K665">
        <v>5342.9000000000005</v>
      </c>
      <c r="L665" t="s">
        <v>29</v>
      </c>
      <c r="M665" t="s">
        <v>30</v>
      </c>
      <c r="N665" s="18"/>
    </row>
    <row r="666" spans="1:14" x14ac:dyDescent="0.25">
      <c r="A666" t="s">
        <v>2122</v>
      </c>
      <c r="B666" t="s">
        <v>37</v>
      </c>
      <c r="C666" t="s">
        <v>52</v>
      </c>
      <c r="D666" t="s">
        <v>46</v>
      </c>
      <c r="E666" t="s">
        <v>33</v>
      </c>
      <c r="F666">
        <v>60</v>
      </c>
      <c r="G666" t="s">
        <v>118</v>
      </c>
      <c r="H666" s="18">
        <v>42108</v>
      </c>
      <c r="I666">
        <v>155788</v>
      </c>
      <c r="J666">
        <v>0.17</v>
      </c>
      <c r="K666">
        <v>26483.960000000003</v>
      </c>
      <c r="L666" t="s">
        <v>29</v>
      </c>
      <c r="M666" t="s">
        <v>30</v>
      </c>
      <c r="N666" s="18"/>
    </row>
    <row r="667" spans="1:14" x14ac:dyDescent="0.25">
      <c r="A667" t="s">
        <v>2123</v>
      </c>
      <c r="B667" t="s">
        <v>69</v>
      </c>
      <c r="C667" t="s">
        <v>52</v>
      </c>
      <c r="D667" t="s">
        <v>39</v>
      </c>
      <c r="E667" t="s">
        <v>28</v>
      </c>
      <c r="F667">
        <v>45</v>
      </c>
      <c r="G667" t="s">
        <v>119</v>
      </c>
      <c r="H667" s="18">
        <v>43581</v>
      </c>
      <c r="I667">
        <v>74891</v>
      </c>
      <c r="J667">
        <v>0</v>
      </c>
      <c r="K667">
        <v>0</v>
      </c>
      <c r="L667" t="s">
        <v>59</v>
      </c>
      <c r="M667" t="s">
        <v>61</v>
      </c>
      <c r="N667" s="18"/>
    </row>
    <row r="668" spans="1:14" x14ac:dyDescent="0.25">
      <c r="A668" t="s">
        <v>2124</v>
      </c>
      <c r="B668" t="s">
        <v>53</v>
      </c>
      <c r="C668" t="s">
        <v>54</v>
      </c>
      <c r="D668" t="s">
        <v>46</v>
      </c>
      <c r="E668" t="s">
        <v>33</v>
      </c>
      <c r="F668">
        <v>28</v>
      </c>
      <c r="G668" t="s">
        <v>120</v>
      </c>
      <c r="H668" s="18">
        <v>44548</v>
      </c>
      <c r="I668">
        <v>95670</v>
      </c>
      <c r="J668">
        <v>0</v>
      </c>
      <c r="K668">
        <v>0</v>
      </c>
      <c r="L668" t="s">
        <v>29</v>
      </c>
      <c r="M668" t="s">
        <v>43</v>
      </c>
      <c r="N668" s="18"/>
    </row>
    <row r="669" spans="1:14" x14ac:dyDescent="0.25">
      <c r="A669" t="s">
        <v>2125</v>
      </c>
      <c r="B669" t="s">
        <v>44</v>
      </c>
      <c r="C669" t="s">
        <v>45</v>
      </c>
      <c r="D669" t="s">
        <v>27</v>
      </c>
      <c r="E669" t="s">
        <v>28</v>
      </c>
      <c r="F669">
        <v>65</v>
      </c>
      <c r="G669" t="s">
        <v>122</v>
      </c>
      <c r="H669" s="18">
        <v>36798</v>
      </c>
      <c r="I669">
        <v>67837</v>
      </c>
      <c r="J669">
        <v>0</v>
      </c>
      <c r="K669">
        <v>0</v>
      </c>
      <c r="L669" t="s">
        <v>29</v>
      </c>
      <c r="M669" t="s">
        <v>51</v>
      </c>
      <c r="N669" s="18"/>
    </row>
    <row r="670" spans="1:14" x14ac:dyDescent="0.25">
      <c r="A670" t="s">
        <v>2126</v>
      </c>
      <c r="B670" t="s">
        <v>66</v>
      </c>
      <c r="C670" t="s">
        <v>45</v>
      </c>
      <c r="D670" t="s">
        <v>27</v>
      </c>
      <c r="E670" t="s">
        <v>33</v>
      </c>
      <c r="F670">
        <v>41</v>
      </c>
      <c r="G670" t="s">
        <v>121</v>
      </c>
      <c r="H670" s="18">
        <v>40333</v>
      </c>
      <c r="I670">
        <v>72425</v>
      </c>
      <c r="J670">
        <v>0</v>
      </c>
      <c r="K670">
        <v>0</v>
      </c>
      <c r="L670" t="s">
        <v>34</v>
      </c>
      <c r="M670" t="s">
        <v>64</v>
      </c>
      <c r="N670" s="18"/>
    </row>
    <row r="671" spans="1:14" x14ac:dyDescent="0.25">
      <c r="A671" t="s">
        <v>2127</v>
      </c>
      <c r="B671" t="s">
        <v>42</v>
      </c>
      <c r="C671" t="s">
        <v>45</v>
      </c>
      <c r="D671" t="s">
        <v>46</v>
      </c>
      <c r="E671" t="s">
        <v>28</v>
      </c>
      <c r="F671">
        <v>52</v>
      </c>
      <c r="G671" t="s">
        <v>119</v>
      </c>
      <c r="H671" s="18">
        <v>34623</v>
      </c>
      <c r="I671">
        <v>93103</v>
      </c>
      <c r="J671">
        <v>0</v>
      </c>
      <c r="K671">
        <v>0</v>
      </c>
      <c r="L671" t="s">
        <v>29</v>
      </c>
      <c r="M671" t="s">
        <v>43</v>
      </c>
      <c r="N671" s="18"/>
    </row>
    <row r="672" spans="1:14" x14ac:dyDescent="0.25">
      <c r="A672" t="s">
        <v>2128</v>
      </c>
      <c r="B672" t="s">
        <v>53</v>
      </c>
      <c r="C672" t="s">
        <v>54</v>
      </c>
      <c r="D672" t="s">
        <v>46</v>
      </c>
      <c r="E672" t="s">
        <v>28</v>
      </c>
      <c r="F672">
        <v>56</v>
      </c>
      <c r="G672" t="s">
        <v>118</v>
      </c>
      <c r="H672" s="18">
        <v>42291</v>
      </c>
      <c r="I672">
        <v>76272</v>
      </c>
      <c r="J672">
        <v>0</v>
      </c>
      <c r="K672">
        <v>0</v>
      </c>
      <c r="L672" t="s">
        <v>29</v>
      </c>
      <c r="M672" t="s">
        <v>49</v>
      </c>
      <c r="N672" s="18">
        <v>44491</v>
      </c>
    </row>
    <row r="673" spans="1:14" x14ac:dyDescent="0.25">
      <c r="A673" t="s">
        <v>2129</v>
      </c>
      <c r="B673" t="s">
        <v>66</v>
      </c>
      <c r="C673" t="s">
        <v>38</v>
      </c>
      <c r="D673" t="s">
        <v>32</v>
      </c>
      <c r="E673" t="s">
        <v>28</v>
      </c>
      <c r="F673">
        <v>48</v>
      </c>
      <c r="G673" t="s">
        <v>119</v>
      </c>
      <c r="H673" s="18">
        <v>37796</v>
      </c>
      <c r="I673">
        <v>55760</v>
      </c>
      <c r="J673">
        <v>0</v>
      </c>
      <c r="K673">
        <v>0</v>
      </c>
      <c r="L673" t="s">
        <v>29</v>
      </c>
      <c r="M673" t="s">
        <v>51</v>
      </c>
      <c r="N673" s="18"/>
    </row>
    <row r="674" spans="1:14" x14ac:dyDescent="0.25">
      <c r="A674" t="s">
        <v>2130</v>
      </c>
      <c r="B674" t="s">
        <v>56</v>
      </c>
      <c r="C674" t="s">
        <v>50</v>
      </c>
      <c r="D674" t="s">
        <v>46</v>
      </c>
      <c r="E674" t="s">
        <v>28</v>
      </c>
      <c r="F674">
        <v>36</v>
      </c>
      <c r="G674" t="s">
        <v>121</v>
      </c>
      <c r="H674" s="18">
        <v>43843</v>
      </c>
      <c r="I674">
        <v>253294</v>
      </c>
      <c r="J674">
        <v>0.4</v>
      </c>
      <c r="K674">
        <v>101317.6</v>
      </c>
      <c r="L674" t="s">
        <v>29</v>
      </c>
      <c r="M674" t="s">
        <v>49</v>
      </c>
      <c r="N674" s="18"/>
    </row>
    <row r="675" spans="1:14" x14ac:dyDescent="0.25">
      <c r="A675" t="s">
        <v>2131</v>
      </c>
      <c r="B675" t="s">
        <v>66</v>
      </c>
      <c r="C675" t="s">
        <v>38</v>
      </c>
      <c r="D675" t="s">
        <v>46</v>
      </c>
      <c r="E675" t="s">
        <v>33</v>
      </c>
      <c r="F675">
        <v>60</v>
      </c>
      <c r="G675" t="s">
        <v>118</v>
      </c>
      <c r="H675" s="18">
        <v>39310</v>
      </c>
      <c r="I675">
        <v>58671</v>
      </c>
      <c r="J675">
        <v>0</v>
      </c>
      <c r="K675">
        <v>0</v>
      </c>
      <c r="L675" t="s">
        <v>29</v>
      </c>
      <c r="M675" t="s">
        <v>58</v>
      </c>
      <c r="N675" s="18"/>
    </row>
    <row r="676" spans="1:14" x14ac:dyDescent="0.25">
      <c r="A676" t="s">
        <v>2132</v>
      </c>
      <c r="B676" t="s">
        <v>44</v>
      </c>
      <c r="C676" t="s">
        <v>45</v>
      </c>
      <c r="D676" t="s">
        <v>27</v>
      </c>
      <c r="E676" t="s">
        <v>28</v>
      </c>
      <c r="F676">
        <v>40</v>
      </c>
      <c r="G676" t="s">
        <v>121</v>
      </c>
      <c r="H676" s="18">
        <v>43175</v>
      </c>
      <c r="I676">
        <v>55457</v>
      </c>
      <c r="J676">
        <v>0</v>
      </c>
      <c r="K676">
        <v>0</v>
      </c>
      <c r="L676" t="s">
        <v>29</v>
      </c>
      <c r="M676" t="s">
        <v>58</v>
      </c>
      <c r="N676" s="18"/>
    </row>
    <row r="677" spans="1:14" x14ac:dyDescent="0.25">
      <c r="A677" t="s">
        <v>2133</v>
      </c>
      <c r="B677" t="s">
        <v>44</v>
      </c>
      <c r="C677" t="s">
        <v>45</v>
      </c>
      <c r="D677" t="s">
        <v>32</v>
      </c>
      <c r="E677" t="s">
        <v>28</v>
      </c>
      <c r="F677">
        <v>63</v>
      </c>
      <c r="G677" t="s">
        <v>118</v>
      </c>
      <c r="H677" s="18">
        <v>43004</v>
      </c>
      <c r="I677">
        <v>72340</v>
      </c>
      <c r="J677">
        <v>0</v>
      </c>
      <c r="K677">
        <v>0</v>
      </c>
      <c r="L677" t="s">
        <v>29</v>
      </c>
      <c r="M677" t="s">
        <v>43</v>
      </c>
      <c r="N677" s="18">
        <v>43558</v>
      </c>
    </row>
    <row r="678" spans="1:14" x14ac:dyDescent="0.25">
      <c r="A678" t="s">
        <v>2134</v>
      </c>
      <c r="B678" t="s">
        <v>47</v>
      </c>
      <c r="C678" t="s">
        <v>57</v>
      </c>
      <c r="D678" t="s">
        <v>46</v>
      </c>
      <c r="E678" t="s">
        <v>28</v>
      </c>
      <c r="F678">
        <v>29</v>
      </c>
      <c r="G678" t="s">
        <v>120</v>
      </c>
      <c r="H678" s="18">
        <v>42676</v>
      </c>
      <c r="I678">
        <v>122054</v>
      </c>
      <c r="J678">
        <v>0.06</v>
      </c>
      <c r="K678">
        <v>7323.24</v>
      </c>
      <c r="L678" t="s">
        <v>29</v>
      </c>
      <c r="M678" t="s">
        <v>43</v>
      </c>
      <c r="N678" s="18"/>
    </row>
    <row r="679" spans="1:14" x14ac:dyDescent="0.25">
      <c r="A679" t="s">
        <v>2135</v>
      </c>
      <c r="B679" t="s">
        <v>37</v>
      </c>
      <c r="C679" t="s">
        <v>26</v>
      </c>
      <c r="D679" t="s">
        <v>32</v>
      </c>
      <c r="E679" t="s">
        <v>28</v>
      </c>
      <c r="F679">
        <v>27</v>
      </c>
      <c r="G679" t="s">
        <v>120</v>
      </c>
      <c r="H679" s="18">
        <v>43103</v>
      </c>
      <c r="I679">
        <v>167100</v>
      </c>
      <c r="J679">
        <v>0.2</v>
      </c>
      <c r="K679">
        <v>33420</v>
      </c>
      <c r="L679" t="s">
        <v>34</v>
      </c>
      <c r="M679" t="s">
        <v>68</v>
      </c>
      <c r="N679" s="18"/>
    </row>
    <row r="680" spans="1:14" x14ac:dyDescent="0.25">
      <c r="A680" t="s">
        <v>2136</v>
      </c>
      <c r="B680" t="s">
        <v>31</v>
      </c>
      <c r="C680" t="s">
        <v>26</v>
      </c>
      <c r="D680" t="s">
        <v>46</v>
      </c>
      <c r="E680" t="s">
        <v>28</v>
      </c>
      <c r="F680">
        <v>53</v>
      </c>
      <c r="G680" t="s">
        <v>119</v>
      </c>
      <c r="H680" s="18">
        <v>35543</v>
      </c>
      <c r="I680">
        <v>78153</v>
      </c>
      <c r="J680">
        <v>0</v>
      </c>
      <c r="K680">
        <v>0</v>
      </c>
      <c r="L680" t="s">
        <v>29</v>
      </c>
      <c r="M680" t="s">
        <v>49</v>
      </c>
      <c r="N680" s="18"/>
    </row>
    <row r="681" spans="1:14" x14ac:dyDescent="0.25">
      <c r="A681" t="s">
        <v>2137</v>
      </c>
      <c r="B681" t="s">
        <v>47</v>
      </c>
      <c r="C681" t="s">
        <v>38</v>
      </c>
      <c r="D681" t="s">
        <v>32</v>
      </c>
      <c r="E681" t="s">
        <v>28</v>
      </c>
      <c r="F681">
        <v>37</v>
      </c>
      <c r="G681" t="s">
        <v>121</v>
      </c>
      <c r="H681" s="18">
        <v>43935</v>
      </c>
      <c r="I681">
        <v>103524</v>
      </c>
      <c r="J681">
        <v>0.09</v>
      </c>
      <c r="K681">
        <v>9317.16</v>
      </c>
      <c r="L681" t="s">
        <v>29</v>
      </c>
      <c r="M681" t="s">
        <v>43</v>
      </c>
      <c r="N681" s="18"/>
    </row>
    <row r="682" spans="1:14" x14ac:dyDescent="0.25">
      <c r="A682" t="s">
        <v>2138</v>
      </c>
      <c r="B682" t="s">
        <v>47</v>
      </c>
      <c r="C682" t="s">
        <v>26</v>
      </c>
      <c r="D682" t="s">
        <v>46</v>
      </c>
      <c r="E682" t="s">
        <v>33</v>
      </c>
      <c r="F682">
        <v>30</v>
      </c>
      <c r="G682" t="s">
        <v>120</v>
      </c>
      <c r="H682" s="18">
        <v>42952</v>
      </c>
      <c r="I682">
        <v>119906</v>
      </c>
      <c r="J682">
        <v>0.05</v>
      </c>
      <c r="K682">
        <v>5995.3</v>
      </c>
      <c r="L682" t="s">
        <v>29</v>
      </c>
      <c r="M682" t="s">
        <v>58</v>
      </c>
      <c r="N682" s="18"/>
    </row>
    <row r="683" spans="1:14" x14ac:dyDescent="0.25">
      <c r="A683" t="s">
        <v>2139</v>
      </c>
      <c r="B683" t="s">
        <v>48</v>
      </c>
      <c r="C683" t="s">
        <v>57</v>
      </c>
      <c r="D683" t="s">
        <v>39</v>
      </c>
      <c r="E683" t="s">
        <v>28</v>
      </c>
      <c r="F683">
        <v>28</v>
      </c>
      <c r="G683" t="s">
        <v>120</v>
      </c>
      <c r="H683" s="18">
        <v>43847</v>
      </c>
      <c r="I683">
        <v>45061</v>
      </c>
      <c r="J683">
        <v>0</v>
      </c>
      <c r="K683">
        <v>0</v>
      </c>
      <c r="L683" t="s">
        <v>29</v>
      </c>
      <c r="M683" t="s">
        <v>49</v>
      </c>
      <c r="N683" s="18"/>
    </row>
    <row r="684" spans="1:14" x14ac:dyDescent="0.25">
      <c r="A684" t="s">
        <v>2140</v>
      </c>
      <c r="B684" t="s">
        <v>85</v>
      </c>
      <c r="C684" t="s">
        <v>26</v>
      </c>
      <c r="D684" t="s">
        <v>46</v>
      </c>
      <c r="E684" t="s">
        <v>33</v>
      </c>
      <c r="F684">
        <v>51</v>
      </c>
      <c r="G684" t="s">
        <v>119</v>
      </c>
      <c r="H684" s="18">
        <v>37638</v>
      </c>
      <c r="I684">
        <v>91399</v>
      </c>
      <c r="J684">
        <v>0</v>
      </c>
      <c r="K684">
        <v>0</v>
      </c>
      <c r="L684" t="s">
        <v>29</v>
      </c>
      <c r="M684" t="s">
        <v>30</v>
      </c>
      <c r="N684" s="18"/>
    </row>
    <row r="685" spans="1:14" x14ac:dyDescent="0.25">
      <c r="A685" t="s">
        <v>2141</v>
      </c>
      <c r="B685" t="s">
        <v>67</v>
      </c>
      <c r="C685" t="s">
        <v>26</v>
      </c>
      <c r="D685" t="s">
        <v>27</v>
      </c>
      <c r="E685" t="s">
        <v>33</v>
      </c>
      <c r="F685">
        <v>28</v>
      </c>
      <c r="G685" t="s">
        <v>120</v>
      </c>
      <c r="H685" s="18">
        <v>43006</v>
      </c>
      <c r="I685">
        <v>97336</v>
      </c>
      <c r="J685">
        <v>0</v>
      </c>
      <c r="K685">
        <v>0</v>
      </c>
      <c r="L685" t="s">
        <v>29</v>
      </c>
      <c r="M685" t="s">
        <v>51</v>
      </c>
      <c r="N685" s="18"/>
    </row>
    <row r="686" spans="1:14" x14ac:dyDescent="0.25">
      <c r="A686" t="s">
        <v>2142</v>
      </c>
      <c r="B686" t="s">
        <v>25</v>
      </c>
      <c r="C686" t="s">
        <v>50</v>
      </c>
      <c r="D686" t="s">
        <v>46</v>
      </c>
      <c r="E686" t="s">
        <v>28</v>
      </c>
      <c r="F686">
        <v>31</v>
      </c>
      <c r="G686" t="s">
        <v>120</v>
      </c>
      <c r="H686" s="18">
        <v>42755</v>
      </c>
      <c r="I686">
        <v>124629</v>
      </c>
      <c r="J686">
        <v>0.1</v>
      </c>
      <c r="K686">
        <v>12462.900000000001</v>
      </c>
      <c r="L686" t="s">
        <v>29</v>
      </c>
      <c r="M686" t="s">
        <v>58</v>
      </c>
      <c r="N686" s="18"/>
    </row>
    <row r="687" spans="1:14" x14ac:dyDescent="0.25">
      <c r="A687" t="s">
        <v>2143</v>
      </c>
      <c r="B687" t="s">
        <v>56</v>
      </c>
      <c r="C687" t="s">
        <v>52</v>
      </c>
      <c r="D687" t="s">
        <v>39</v>
      </c>
      <c r="E687" t="s">
        <v>28</v>
      </c>
      <c r="F687">
        <v>28</v>
      </c>
      <c r="G687" t="s">
        <v>120</v>
      </c>
      <c r="H687" s="18">
        <v>44402</v>
      </c>
      <c r="I687">
        <v>231850</v>
      </c>
      <c r="J687">
        <v>0.39</v>
      </c>
      <c r="K687">
        <v>90421.5</v>
      </c>
      <c r="L687" t="s">
        <v>29</v>
      </c>
      <c r="M687" t="s">
        <v>49</v>
      </c>
      <c r="N687" s="18"/>
    </row>
    <row r="688" spans="1:14" x14ac:dyDescent="0.25">
      <c r="A688" t="s">
        <v>2144</v>
      </c>
      <c r="B688" t="s">
        <v>47</v>
      </c>
      <c r="C688" t="s">
        <v>50</v>
      </c>
      <c r="D688" t="s">
        <v>27</v>
      </c>
      <c r="E688" t="s">
        <v>33</v>
      </c>
      <c r="F688">
        <v>34</v>
      </c>
      <c r="G688" t="s">
        <v>120</v>
      </c>
      <c r="H688" s="18">
        <v>43255</v>
      </c>
      <c r="I688">
        <v>128329</v>
      </c>
      <c r="J688">
        <v>0.08</v>
      </c>
      <c r="K688">
        <v>10266.32</v>
      </c>
      <c r="L688" t="s">
        <v>29</v>
      </c>
      <c r="M688" t="s">
        <v>43</v>
      </c>
      <c r="N688" s="18"/>
    </row>
    <row r="689" spans="1:14" x14ac:dyDescent="0.25">
      <c r="A689" t="s">
        <v>2145</v>
      </c>
      <c r="B689" t="s">
        <v>56</v>
      </c>
      <c r="C689" t="s">
        <v>57</v>
      </c>
      <c r="D689" t="s">
        <v>39</v>
      </c>
      <c r="E689" t="s">
        <v>33</v>
      </c>
      <c r="F689">
        <v>44</v>
      </c>
      <c r="G689" t="s">
        <v>121</v>
      </c>
      <c r="H689" s="18">
        <v>44283</v>
      </c>
      <c r="I689">
        <v>186033</v>
      </c>
      <c r="J689">
        <v>0.34</v>
      </c>
      <c r="K689">
        <v>63251.22</v>
      </c>
      <c r="L689" t="s">
        <v>59</v>
      </c>
      <c r="M689" t="s">
        <v>76</v>
      </c>
      <c r="N689" s="18"/>
    </row>
    <row r="690" spans="1:14" x14ac:dyDescent="0.25">
      <c r="A690" t="s">
        <v>2146</v>
      </c>
      <c r="B690" t="s">
        <v>25</v>
      </c>
      <c r="C690" t="s">
        <v>57</v>
      </c>
      <c r="D690" t="s">
        <v>32</v>
      </c>
      <c r="E690" t="s">
        <v>33</v>
      </c>
      <c r="F690">
        <v>60</v>
      </c>
      <c r="G690" t="s">
        <v>118</v>
      </c>
      <c r="H690" s="18">
        <v>44403</v>
      </c>
      <c r="I690">
        <v>121480</v>
      </c>
      <c r="J690">
        <v>0.14000000000000001</v>
      </c>
      <c r="K690">
        <v>17007.2</v>
      </c>
      <c r="L690" t="s">
        <v>29</v>
      </c>
      <c r="M690" t="s">
        <v>43</v>
      </c>
      <c r="N690" s="18"/>
    </row>
    <row r="691" spans="1:14" x14ac:dyDescent="0.25">
      <c r="A691" t="s">
        <v>2147</v>
      </c>
      <c r="B691" t="s">
        <v>37</v>
      </c>
      <c r="C691" t="s">
        <v>52</v>
      </c>
      <c r="D691" t="s">
        <v>39</v>
      </c>
      <c r="E691" t="s">
        <v>28</v>
      </c>
      <c r="F691">
        <v>41</v>
      </c>
      <c r="G691" t="s">
        <v>121</v>
      </c>
      <c r="H691" s="18">
        <v>40319</v>
      </c>
      <c r="I691">
        <v>153275</v>
      </c>
      <c r="J691">
        <v>0.24</v>
      </c>
      <c r="K691">
        <v>36786</v>
      </c>
      <c r="L691" t="s">
        <v>29</v>
      </c>
      <c r="M691" t="s">
        <v>58</v>
      </c>
      <c r="N691" s="18"/>
    </row>
    <row r="692" spans="1:14" x14ac:dyDescent="0.25">
      <c r="A692" t="s">
        <v>2148</v>
      </c>
      <c r="B692" t="s">
        <v>42</v>
      </c>
      <c r="C692" t="s">
        <v>45</v>
      </c>
      <c r="D692" t="s">
        <v>27</v>
      </c>
      <c r="E692" t="s">
        <v>28</v>
      </c>
      <c r="F692">
        <v>62</v>
      </c>
      <c r="G692" t="s">
        <v>118</v>
      </c>
      <c r="H692" s="18">
        <v>43969</v>
      </c>
      <c r="I692">
        <v>97830</v>
      </c>
      <c r="J692">
        <v>0</v>
      </c>
      <c r="K692">
        <v>0</v>
      </c>
      <c r="L692" t="s">
        <v>29</v>
      </c>
      <c r="M692" t="s">
        <v>51</v>
      </c>
      <c r="N692" s="18"/>
    </row>
    <row r="693" spans="1:14" x14ac:dyDescent="0.25">
      <c r="A693" t="s">
        <v>2149</v>
      </c>
      <c r="B693" t="s">
        <v>56</v>
      </c>
      <c r="C693" t="s">
        <v>57</v>
      </c>
      <c r="D693" t="s">
        <v>46</v>
      </c>
      <c r="E693" t="s">
        <v>28</v>
      </c>
      <c r="F693">
        <v>47</v>
      </c>
      <c r="G693" t="s">
        <v>119</v>
      </c>
      <c r="H693" s="18">
        <v>36232</v>
      </c>
      <c r="I693">
        <v>239394</v>
      </c>
      <c r="J693">
        <v>0.32</v>
      </c>
      <c r="K693">
        <v>76606.080000000002</v>
      </c>
      <c r="L693" t="s">
        <v>29</v>
      </c>
      <c r="M693" t="s">
        <v>51</v>
      </c>
      <c r="N693" s="18"/>
    </row>
    <row r="694" spans="1:14" x14ac:dyDescent="0.25">
      <c r="A694" t="s">
        <v>2150</v>
      </c>
      <c r="B694" t="s">
        <v>48</v>
      </c>
      <c r="C694" t="s">
        <v>38</v>
      </c>
      <c r="D694" t="s">
        <v>39</v>
      </c>
      <c r="E694" t="s">
        <v>28</v>
      </c>
      <c r="F694">
        <v>62</v>
      </c>
      <c r="G694" t="s">
        <v>118</v>
      </c>
      <c r="H694" s="18">
        <v>37519</v>
      </c>
      <c r="I694">
        <v>49738</v>
      </c>
      <c r="J694">
        <v>0</v>
      </c>
      <c r="K694">
        <v>0</v>
      </c>
      <c r="L694" t="s">
        <v>34</v>
      </c>
      <c r="M694" t="s">
        <v>64</v>
      </c>
      <c r="N694" s="18"/>
    </row>
    <row r="695" spans="1:14" x14ac:dyDescent="0.25">
      <c r="A695" t="s">
        <v>2151</v>
      </c>
      <c r="B695" t="s">
        <v>48</v>
      </c>
      <c r="C695" t="s">
        <v>50</v>
      </c>
      <c r="D695" t="s">
        <v>32</v>
      </c>
      <c r="E695" t="s">
        <v>28</v>
      </c>
      <c r="F695">
        <v>33</v>
      </c>
      <c r="G695" t="s">
        <v>120</v>
      </c>
      <c r="H695" s="18">
        <v>43247</v>
      </c>
      <c r="I695">
        <v>45049</v>
      </c>
      <c r="J695">
        <v>0</v>
      </c>
      <c r="K695">
        <v>0</v>
      </c>
      <c r="L695" t="s">
        <v>29</v>
      </c>
      <c r="M695" t="s">
        <v>30</v>
      </c>
      <c r="N695" s="18"/>
    </row>
    <row r="696" spans="1:14" x14ac:dyDescent="0.25">
      <c r="A696" t="s">
        <v>2152</v>
      </c>
      <c r="B696" t="s">
        <v>37</v>
      </c>
      <c r="C696" t="s">
        <v>38</v>
      </c>
      <c r="D696" t="s">
        <v>27</v>
      </c>
      <c r="E696" t="s">
        <v>28</v>
      </c>
      <c r="F696">
        <v>27</v>
      </c>
      <c r="G696" t="s">
        <v>120</v>
      </c>
      <c r="H696" s="18">
        <v>43977</v>
      </c>
      <c r="I696">
        <v>153628</v>
      </c>
      <c r="J696">
        <v>0.28999999999999998</v>
      </c>
      <c r="K696">
        <v>44552.119999999995</v>
      </c>
      <c r="L696" t="s">
        <v>34</v>
      </c>
      <c r="M696" t="s">
        <v>35</v>
      </c>
      <c r="N696" s="18">
        <v>44177</v>
      </c>
    </row>
    <row r="697" spans="1:14" x14ac:dyDescent="0.25">
      <c r="A697" t="s">
        <v>2153</v>
      </c>
      <c r="B697" t="s">
        <v>25</v>
      </c>
      <c r="C697" t="s">
        <v>45</v>
      </c>
      <c r="D697" t="s">
        <v>32</v>
      </c>
      <c r="E697" t="s">
        <v>33</v>
      </c>
      <c r="F697">
        <v>25</v>
      </c>
      <c r="G697" t="s">
        <v>120</v>
      </c>
      <c r="H697" s="18">
        <v>44362</v>
      </c>
      <c r="I697">
        <v>142731</v>
      </c>
      <c r="J697">
        <v>0.11</v>
      </c>
      <c r="K697">
        <v>15700.41</v>
      </c>
      <c r="L697" t="s">
        <v>34</v>
      </c>
      <c r="M697" t="s">
        <v>55</v>
      </c>
      <c r="N697" s="18">
        <v>44715</v>
      </c>
    </row>
    <row r="698" spans="1:14" x14ac:dyDescent="0.25">
      <c r="A698" t="s">
        <v>2154</v>
      </c>
      <c r="B698" t="s">
        <v>25</v>
      </c>
      <c r="C698" t="s">
        <v>57</v>
      </c>
      <c r="D698" t="s">
        <v>39</v>
      </c>
      <c r="E698" t="s">
        <v>28</v>
      </c>
      <c r="F698">
        <v>29</v>
      </c>
      <c r="G698" t="s">
        <v>120</v>
      </c>
      <c r="H698" s="18">
        <v>43966</v>
      </c>
      <c r="I698">
        <v>137106</v>
      </c>
      <c r="J698">
        <v>0.12</v>
      </c>
      <c r="K698">
        <v>16452.72</v>
      </c>
      <c r="L698" t="s">
        <v>59</v>
      </c>
      <c r="M698" t="s">
        <v>76</v>
      </c>
      <c r="N698" s="18"/>
    </row>
    <row r="699" spans="1:14" x14ac:dyDescent="0.25">
      <c r="A699" t="s">
        <v>2155</v>
      </c>
      <c r="B699" t="s">
        <v>56</v>
      </c>
      <c r="C699" t="s">
        <v>38</v>
      </c>
      <c r="D699" t="s">
        <v>46</v>
      </c>
      <c r="E699" t="s">
        <v>28</v>
      </c>
      <c r="F699">
        <v>54</v>
      </c>
      <c r="G699" t="s">
        <v>119</v>
      </c>
      <c r="H699" s="18">
        <v>39330</v>
      </c>
      <c r="I699">
        <v>183239</v>
      </c>
      <c r="J699">
        <v>0.32</v>
      </c>
      <c r="K699">
        <v>58636.480000000003</v>
      </c>
      <c r="L699" t="s">
        <v>29</v>
      </c>
      <c r="M699" t="s">
        <v>30</v>
      </c>
      <c r="N699" s="18"/>
    </row>
    <row r="700" spans="1:14" x14ac:dyDescent="0.25">
      <c r="A700" t="s">
        <v>2156</v>
      </c>
      <c r="B700" t="s">
        <v>48</v>
      </c>
      <c r="C700" t="s">
        <v>50</v>
      </c>
      <c r="D700" t="s">
        <v>32</v>
      </c>
      <c r="E700" t="s">
        <v>28</v>
      </c>
      <c r="F700">
        <v>28</v>
      </c>
      <c r="G700" t="s">
        <v>120</v>
      </c>
      <c r="H700" s="18">
        <v>43610</v>
      </c>
      <c r="I700">
        <v>45819</v>
      </c>
      <c r="J700">
        <v>0</v>
      </c>
      <c r="K700">
        <v>0</v>
      </c>
      <c r="L700" t="s">
        <v>29</v>
      </c>
      <c r="M700" t="s">
        <v>49</v>
      </c>
      <c r="N700" s="18"/>
    </row>
    <row r="701" spans="1:14" x14ac:dyDescent="0.25">
      <c r="A701" t="s">
        <v>2157</v>
      </c>
      <c r="B701" t="s">
        <v>48</v>
      </c>
      <c r="C701" t="s">
        <v>50</v>
      </c>
      <c r="D701" t="s">
        <v>27</v>
      </c>
      <c r="E701" t="s">
        <v>28</v>
      </c>
      <c r="F701">
        <v>54</v>
      </c>
      <c r="G701" t="s">
        <v>119</v>
      </c>
      <c r="H701" s="18">
        <v>39080</v>
      </c>
      <c r="I701">
        <v>55518</v>
      </c>
      <c r="J701">
        <v>0</v>
      </c>
      <c r="K701">
        <v>0</v>
      </c>
      <c r="L701" t="s">
        <v>29</v>
      </c>
      <c r="M701" t="s">
        <v>58</v>
      </c>
      <c r="N701" s="18"/>
    </row>
    <row r="702" spans="1:14" x14ac:dyDescent="0.25">
      <c r="A702" t="s">
        <v>2158</v>
      </c>
      <c r="B702" t="s">
        <v>47</v>
      </c>
      <c r="C702" t="s">
        <v>57</v>
      </c>
      <c r="D702" t="s">
        <v>32</v>
      </c>
      <c r="E702" t="s">
        <v>28</v>
      </c>
      <c r="F702">
        <v>50</v>
      </c>
      <c r="G702" t="s">
        <v>119</v>
      </c>
      <c r="H702" s="18">
        <v>40979</v>
      </c>
      <c r="I702">
        <v>108134</v>
      </c>
      <c r="J702">
        <v>0.1</v>
      </c>
      <c r="K702">
        <v>10813.400000000001</v>
      </c>
      <c r="L702" t="s">
        <v>34</v>
      </c>
      <c r="M702" t="s">
        <v>55</v>
      </c>
      <c r="N702" s="18"/>
    </row>
    <row r="703" spans="1:14" x14ac:dyDescent="0.25">
      <c r="A703" t="s">
        <v>2159</v>
      </c>
      <c r="B703" t="s">
        <v>47</v>
      </c>
      <c r="C703" t="s">
        <v>57</v>
      </c>
      <c r="D703" t="s">
        <v>27</v>
      </c>
      <c r="E703" t="s">
        <v>28</v>
      </c>
      <c r="F703">
        <v>55</v>
      </c>
      <c r="G703" t="s">
        <v>118</v>
      </c>
      <c r="H703" s="18">
        <v>33958</v>
      </c>
      <c r="I703">
        <v>113950</v>
      </c>
      <c r="J703">
        <v>0.09</v>
      </c>
      <c r="K703">
        <v>10255.5</v>
      </c>
      <c r="L703" t="s">
        <v>29</v>
      </c>
      <c r="M703" t="s">
        <v>49</v>
      </c>
      <c r="N703" s="18"/>
    </row>
    <row r="704" spans="1:14" x14ac:dyDescent="0.25">
      <c r="A704" t="s">
        <v>2160</v>
      </c>
      <c r="B704" t="s">
        <v>56</v>
      </c>
      <c r="C704" t="s">
        <v>57</v>
      </c>
      <c r="D704" t="s">
        <v>39</v>
      </c>
      <c r="E704" t="s">
        <v>28</v>
      </c>
      <c r="F704">
        <v>52</v>
      </c>
      <c r="G704" t="s">
        <v>119</v>
      </c>
      <c r="H704" s="18">
        <v>35886</v>
      </c>
      <c r="I704">
        <v>182035</v>
      </c>
      <c r="J704">
        <v>0.3</v>
      </c>
      <c r="K704">
        <v>54610.5</v>
      </c>
      <c r="L704" t="s">
        <v>29</v>
      </c>
      <c r="M704" t="s">
        <v>40</v>
      </c>
      <c r="N704" s="18"/>
    </row>
    <row r="705" spans="1:14" x14ac:dyDescent="0.25">
      <c r="A705" t="s">
        <v>2161</v>
      </c>
      <c r="B705" t="s">
        <v>37</v>
      </c>
      <c r="C705" t="s">
        <v>50</v>
      </c>
      <c r="D705" t="s">
        <v>39</v>
      </c>
      <c r="E705" t="s">
        <v>33</v>
      </c>
      <c r="F705">
        <v>35</v>
      </c>
      <c r="G705" t="s">
        <v>121</v>
      </c>
      <c r="H705" s="18">
        <v>42963</v>
      </c>
      <c r="I705">
        <v>181356</v>
      </c>
      <c r="J705">
        <v>0.23</v>
      </c>
      <c r="K705">
        <v>41711.880000000005</v>
      </c>
      <c r="L705" t="s">
        <v>34</v>
      </c>
      <c r="M705" t="s">
        <v>64</v>
      </c>
      <c r="N705" s="18"/>
    </row>
    <row r="706" spans="1:14" x14ac:dyDescent="0.25">
      <c r="A706" t="s">
        <v>2162</v>
      </c>
      <c r="B706" t="s">
        <v>44</v>
      </c>
      <c r="C706" t="s">
        <v>45</v>
      </c>
      <c r="D706" t="s">
        <v>46</v>
      </c>
      <c r="E706" t="s">
        <v>28</v>
      </c>
      <c r="F706">
        <v>26</v>
      </c>
      <c r="G706" t="s">
        <v>120</v>
      </c>
      <c r="H706" s="18">
        <v>43698</v>
      </c>
      <c r="I706">
        <v>66084</v>
      </c>
      <c r="J706">
        <v>0</v>
      </c>
      <c r="K706">
        <v>0</v>
      </c>
      <c r="L706" t="s">
        <v>29</v>
      </c>
      <c r="M706" t="s">
        <v>30</v>
      </c>
      <c r="N706" s="18"/>
    </row>
    <row r="707" spans="1:14" x14ac:dyDescent="0.25">
      <c r="A707" t="s">
        <v>2163</v>
      </c>
      <c r="B707" t="s">
        <v>84</v>
      </c>
      <c r="C707" t="s">
        <v>26</v>
      </c>
      <c r="D707" t="s">
        <v>39</v>
      </c>
      <c r="E707" t="s">
        <v>28</v>
      </c>
      <c r="F707">
        <v>43</v>
      </c>
      <c r="G707" t="s">
        <v>121</v>
      </c>
      <c r="H707" s="18">
        <v>40290</v>
      </c>
      <c r="I707">
        <v>76912</v>
      </c>
      <c r="J707">
        <v>0</v>
      </c>
      <c r="K707">
        <v>0</v>
      </c>
      <c r="L707" t="s">
        <v>59</v>
      </c>
      <c r="M707" t="s">
        <v>76</v>
      </c>
      <c r="N707" s="18"/>
    </row>
    <row r="708" spans="1:14" x14ac:dyDescent="0.25">
      <c r="A708" t="s">
        <v>2164</v>
      </c>
      <c r="B708" t="s">
        <v>77</v>
      </c>
      <c r="C708" t="s">
        <v>54</v>
      </c>
      <c r="D708" t="s">
        <v>27</v>
      </c>
      <c r="E708" t="s">
        <v>28</v>
      </c>
      <c r="F708">
        <v>63</v>
      </c>
      <c r="G708" t="s">
        <v>118</v>
      </c>
      <c r="H708" s="18">
        <v>43227</v>
      </c>
      <c r="I708">
        <v>67987</v>
      </c>
      <c r="J708">
        <v>0</v>
      </c>
      <c r="K708">
        <v>0</v>
      </c>
      <c r="L708" t="s">
        <v>29</v>
      </c>
      <c r="M708" t="s">
        <v>49</v>
      </c>
      <c r="N708" s="18"/>
    </row>
    <row r="709" spans="1:14" x14ac:dyDescent="0.25">
      <c r="A709" t="s">
        <v>2165</v>
      </c>
      <c r="B709" t="s">
        <v>66</v>
      </c>
      <c r="C709" t="s">
        <v>57</v>
      </c>
      <c r="D709" t="s">
        <v>32</v>
      </c>
      <c r="E709" t="s">
        <v>33</v>
      </c>
      <c r="F709">
        <v>65</v>
      </c>
      <c r="G709" t="s">
        <v>122</v>
      </c>
      <c r="H709" s="18">
        <v>38584</v>
      </c>
      <c r="I709">
        <v>59833</v>
      </c>
      <c r="J709">
        <v>0</v>
      </c>
      <c r="K709">
        <v>0</v>
      </c>
      <c r="L709" t="s">
        <v>29</v>
      </c>
      <c r="M709" t="s">
        <v>58</v>
      </c>
      <c r="N709" s="18"/>
    </row>
    <row r="710" spans="1:14" x14ac:dyDescent="0.25">
      <c r="A710" t="s">
        <v>2166</v>
      </c>
      <c r="B710" t="s">
        <v>25</v>
      </c>
      <c r="C710" t="s">
        <v>57</v>
      </c>
      <c r="D710" t="s">
        <v>39</v>
      </c>
      <c r="E710" t="s">
        <v>33</v>
      </c>
      <c r="F710">
        <v>45</v>
      </c>
      <c r="G710" t="s">
        <v>119</v>
      </c>
      <c r="H710" s="18">
        <v>38453</v>
      </c>
      <c r="I710">
        <v>128468</v>
      </c>
      <c r="J710">
        <v>0.11</v>
      </c>
      <c r="K710">
        <v>14131.48</v>
      </c>
      <c r="L710" t="s">
        <v>29</v>
      </c>
      <c r="M710" t="s">
        <v>40</v>
      </c>
      <c r="N710" s="18"/>
    </row>
    <row r="711" spans="1:14" x14ac:dyDescent="0.25">
      <c r="A711" t="s">
        <v>2167</v>
      </c>
      <c r="B711" t="s">
        <v>47</v>
      </c>
      <c r="C711" t="s">
        <v>45</v>
      </c>
      <c r="D711" t="s">
        <v>46</v>
      </c>
      <c r="E711" t="s">
        <v>33</v>
      </c>
      <c r="F711">
        <v>42</v>
      </c>
      <c r="G711" t="s">
        <v>121</v>
      </c>
      <c r="H711" s="18">
        <v>40692</v>
      </c>
      <c r="I711">
        <v>102440</v>
      </c>
      <c r="J711">
        <v>0.06</v>
      </c>
      <c r="K711">
        <v>6146.4</v>
      </c>
      <c r="L711" t="s">
        <v>29</v>
      </c>
      <c r="M711" t="s">
        <v>40</v>
      </c>
      <c r="N711" s="18"/>
    </row>
    <row r="712" spans="1:14" x14ac:dyDescent="0.25">
      <c r="A712" t="s">
        <v>2168</v>
      </c>
      <c r="B712" t="s">
        <v>56</v>
      </c>
      <c r="C712" t="s">
        <v>26</v>
      </c>
      <c r="D712" t="s">
        <v>39</v>
      </c>
      <c r="E712" t="s">
        <v>33</v>
      </c>
      <c r="F712">
        <v>59</v>
      </c>
      <c r="G712" t="s">
        <v>118</v>
      </c>
      <c r="H712" s="18">
        <v>40542</v>
      </c>
      <c r="I712">
        <v>246619</v>
      </c>
      <c r="J712">
        <v>0.36</v>
      </c>
      <c r="K712">
        <v>88782.84</v>
      </c>
      <c r="L712" t="s">
        <v>29</v>
      </c>
      <c r="M712" t="s">
        <v>49</v>
      </c>
      <c r="N712" s="18"/>
    </row>
    <row r="713" spans="1:14" x14ac:dyDescent="0.25">
      <c r="A713" t="s">
        <v>2169</v>
      </c>
      <c r="B713" t="s">
        <v>47</v>
      </c>
      <c r="C713" t="s">
        <v>52</v>
      </c>
      <c r="D713" t="s">
        <v>46</v>
      </c>
      <c r="E713" t="s">
        <v>28</v>
      </c>
      <c r="F713">
        <v>42</v>
      </c>
      <c r="G713" t="s">
        <v>121</v>
      </c>
      <c r="H713" s="18">
        <v>43058</v>
      </c>
      <c r="I713">
        <v>101143</v>
      </c>
      <c r="J713">
        <v>0.06</v>
      </c>
      <c r="K713">
        <v>6068.58</v>
      </c>
      <c r="L713" t="s">
        <v>29</v>
      </c>
      <c r="M713" t="s">
        <v>49</v>
      </c>
      <c r="N713" s="18"/>
    </row>
    <row r="714" spans="1:14" x14ac:dyDescent="0.25">
      <c r="A714" t="s">
        <v>2170</v>
      </c>
      <c r="B714" t="s">
        <v>74</v>
      </c>
      <c r="C714" t="s">
        <v>52</v>
      </c>
      <c r="D714" t="s">
        <v>32</v>
      </c>
      <c r="E714" t="s">
        <v>28</v>
      </c>
      <c r="F714">
        <v>45</v>
      </c>
      <c r="G714" t="s">
        <v>119</v>
      </c>
      <c r="H714" s="18">
        <v>38639</v>
      </c>
      <c r="I714">
        <v>51404</v>
      </c>
      <c r="J714">
        <v>0</v>
      </c>
      <c r="K714">
        <v>0</v>
      </c>
      <c r="L714" t="s">
        <v>59</v>
      </c>
      <c r="M714" t="s">
        <v>60</v>
      </c>
      <c r="N714" s="18">
        <v>40153</v>
      </c>
    </row>
    <row r="715" spans="1:14" x14ac:dyDescent="0.25">
      <c r="A715" t="s">
        <v>2171</v>
      </c>
      <c r="B715" t="s">
        <v>71</v>
      </c>
      <c r="C715" t="s">
        <v>54</v>
      </c>
      <c r="D715" t="s">
        <v>39</v>
      </c>
      <c r="E715" t="s">
        <v>33</v>
      </c>
      <c r="F715">
        <v>45</v>
      </c>
      <c r="G715" t="s">
        <v>119</v>
      </c>
      <c r="H715" s="18">
        <v>42329</v>
      </c>
      <c r="I715">
        <v>87292</v>
      </c>
      <c r="J715">
        <v>0</v>
      </c>
      <c r="K715">
        <v>0</v>
      </c>
      <c r="L715" t="s">
        <v>29</v>
      </c>
      <c r="M715" t="s">
        <v>58</v>
      </c>
      <c r="N715" s="18"/>
    </row>
    <row r="716" spans="1:14" x14ac:dyDescent="0.25">
      <c r="A716" t="s">
        <v>2172</v>
      </c>
      <c r="B716" t="s">
        <v>37</v>
      </c>
      <c r="C716" t="s">
        <v>57</v>
      </c>
      <c r="D716" t="s">
        <v>39</v>
      </c>
      <c r="E716" t="s">
        <v>28</v>
      </c>
      <c r="F716">
        <v>28</v>
      </c>
      <c r="G716" t="s">
        <v>120</v>
      </c>
      <c r="H716" s="18">
        <v>43810</v>
      </c>
      <c r="I716">
        <v>182321</v>
      </c>
      <c r="J716">
        <v>0.28000000000000003</v>
      </c>
      <c r="K716">
        <v>51049.880000000005</v>
      </c>
      <c r="L716" t="s">
        <v>34</v>
      </c>
      <c r="M716" t="s">
        <v>64</v>
      </c>
      <c r="N716" s="18"/>
    </row>
    <row r="717" spans="1:14" x14ac:dyDescent="0.25">
      <c r="A717" t="s">
        <v>2173</v>
      </c>
      <c r="B717" t="s">
        <v>83</v>
      </c>
      <c r="C717" t="s">
        <v>26</v>
      </c>
      <c r="D717" t="s">
        <v>46</v>
      </c>
      <c r="E717" t="s">
        <v>33</v>
      </c>
      <c r="F717">
        <v>51</v>
      </c>
      <c r="G717" t="s">
        <v>119</v>
      </c>
      <c r="H717" s="18">
        <v>41697</v>
      </c>
      <c r="I717">
        <v>53929</v>
      </c>
      <c r="J717">
        <v>0</v>
      </c>
      <c r="K717">
        <v>0</v>
      </c>
      <c r="L717" t="s">
        <v>29</v>
      </c>
      <c r="M717" t="s">
        <v>49</v>
      </c>
      <c r="N717" s="18">
        <v>43091</v>
      </c>
    </row>
    <row r="718" spans="1:14" x14ac:dyDescent="0.25">
      <c r="A718" t="s">
        <v>2174</v>
      </c>
      <c r="B718" t="s">
        <v>56</v>
      </c>
      <c r="C718" t="s">
        <v>50</v>
      </c>
      <c r="D718" t="s">
        <v>32</v>
      </c>
      <c r="E718" t="s">
        <v>28</v>
      </c>
      <c r="F718">
        <v>38</v>
      </c>
      <c r="G718" t="s">
        <v>121</v>
      </c>
      <c r="H718" s="18">
        <v>41256</v>
      </c>
      <c r="I718">
        <v>191571</v>
      </c>
      <c r="J718">
        <v>0.32</v>
      </c>
      <c r="K718">
        <v>61302.720000000001</v>
      </c>
      <c r="L718" t="s">
        <v>29</v>
      </c>
      <c r="M718" t="s">
        <v>51</v>
      </c>
      <c r="N718" s="18"/>
    </row>
    <row r="719" spans="1:14" x14ac:dyDescent="0.25">
      <c r="A719" t="s">
        <v>2175</v>
      </c>
      <c r="B719" t="s">
        <v>25</v>
      </c>
      <c r="C719" t="s">
        <v>50</v>
      </c>
      <c r="D719" t="s">
        <v>46</v>
      </c>
      <c r="E719" t="s">
        <v>28</v>
      </c>
      <c r="F719">
        <v>62</v>
      </c>
      <c r="G719" t="s">
        <v>118</v>
      </c>
      <c r="H719" s="18">
        <v>39843</v>
      </c>
      <c r="I719">
        <v>150555</v>
      </c>
      <c r="J719">
        <v>0.13</v>
      </c>
      <c r="K719">
        <v>19572.150000000001</v>
      </c>
      <c r="L719" t="s">
        <v>29</v>
      </c>
      <c r="M719" t="s">
        <v>43</v>
      </c>
      <c r="N719" s="18"/>
    </row>
    <row r="720" spans="1:14" x14ac:dyDescent="0.25">
      <c r="A720" t="s">
        <v>2176</v>
      </c>
      <c r="B720" t="s">
        <v>47</v>
      </c>
      <c r="C720" t="s">
        <v>38</v>
      </c>
      <c r="D720" t="s">
        <v>46</v>
      </c>
      <c r="E720" t="s">
        <v>33</v>
      </c>
      <c r="F720">
        <v>52</v>
      </c>
      <c r="G720" t="s">
        <v>119</v>
      </c>
      <c r="H720" s="18">
        <v>40091</v>
      </c>
      <c r="I720">
        <v>122890</v>
      </c>
      <c r="J720">
        <v>7.0000000000000007E-2</v>
      </c>
      <c r="K720">
        <v>8602.3000000000011</v>
      </c>
      <c r="L720" t="s">
        <v>34</v>
      </c>
      <c r="M720" t="s">
        <v>55</v>
      </c>
      <c r="N720" s="18"/>
    </row>
    <row r="721" spans="1:14" x14ac:dyDescent="0.25">
      <c r="A721" t="s">
        <v>2177</v>
      </c>
      <c r="B721" t="s">
        <v>56</v>
      </c>
      <c r="C721" t="s">
        <v>38</v>
      </c>
      <c r="D721" t="s">
        <v>27</v>
      </c>
      <c r="E721" t="s">
        <v>33</v>
      </c>
      <c r="F721">
        <v>52</v>
      </c>
      <c r="G721" t="s">
        <v>119</v>
      </c>
      <c r="H721" s="18">
        <v>35576</v>
      </c>
      <c r="I721">
        <v>216999</v>
      </c>
      <c r="J721">
        <v>0.37</v>
      </c>
      <c r="K721">
        <v>80289.63</v>
      </c>
      <c r="L721" t="s">
        <v>29</v>
      </c>
      <c r="M721" t="s">
        <v>49</v>
      </c>
      <c r="N721" s="18"/>
    </row>
    <row r="722" spans="1:14" x14ac:dyDescent="0.25">
      <c r="A722" t="s">
        <v>2178</v>
      </c>
      <c r="B722" t="s">
        <v>47</v>
      </c>
      <c r="C722" t="s">
        <v>52</v>
      </c>
      <c r="D722" t="s">
        <v>46</v>
      </c>
      <c r="E722" t="s">
        <v>33</v>
      </c>
      <c r="F722">
        <v>48</v>
      </c>
      <c r="G722" t="s">
        <v>119</v>
      </c>
      <c r="H722" s="18">
        <v>42201</v>
      </c>
      <c r="I722">
        <v>110565</v>
      </c>
      <c r="J722">
        <v>0.09</v>
      </c>
      <c r="K722">
        <v>9950.85</v>
      </c>
      <c r="L722" t="s">
        <v>34</v>
      </c>
      <c r="M722" t="s">
        <v>64</v>
      </c>
      <c r="N722" s="18"/>
    </row>
    <row r="723" spans="1:14" x14ac:dyDescent="0.25">
      <c r="A723" t="s">
        <v>2179</v>
      </c>
      <c r="B723" t="s">
        <v>65</v>
      </c>
      <c r="C723" t="s">
        <v>26</v>
      </c>
      <c r="D723" t="s">
        <v>39</v>
      </c>
      <c r="E723" t="s">
        <v>33</v>
      </c>
      <c r="F723">
        <v>38</v>
      </c>
      <c r="G723" t="s">
        <v>121</v>
      </c>
      <c r="H723" s="18">
        <v>42113</v>
      </c>
      <c r="I723">
        <v>48762</v>
      </c>
      <c r="J723">
        <v>0</v>
      </c>
      <c r="K723">
        <v>0</v>
      </c>
      <c r="L723" t="s">
        <v>29</v>
      </c>
      <c r="M723" t="s">
        <v>30</v>
      </c>
      <c r="N723" s="18"/>
    </row>
    <row r="724" spans="1:14" x14ac:dyDescent="0.25">
      <c r="A724" t="s">
        <v>2180</v>
      </c>
      <c r="B724" t="s">
        <v>80</v>
      </c>
      <c r="C724" t="s">
        <v>54</v>
      </c>
      <c r="D724" t="s">
        <v>39</v>
      </c>
      <c r="E724" t="s">
        <v>28</v>
      </c>
      <c r="F724">
        <v>51</v>
      </c>
      <c r="G724" t="s">
        <v>119</v>
      </c>
      <c r="H724" s="18">
        <v>42777</v>
      </c>
      <c r="I724">
        <v>87036</v>
      </c>
      <c r="J724">
        <v>0</v>
      </c>
      <c r="K724">
        <v>0</v>
      </c>
      <c r="L724" t="s">
        <v>34</v>
      </c>
      <c r="M724" t="s">
        <v>35</v>
      </c>
      <c r="N724" s="18"/>
    </row>
    <row r="725" spans="1:14" x14ac:dyDescent="0.25">
      <c r="A725" t="s">
        <v>2181</v>
      </c>
      <c r="B725" t="s">
        <v>37</v>
      </c>
      <c r="C725" t="s">
        <v>57</v>
      </c>
      <c r="D725" t="s">
        <v>39</v>
      </c>
      <c r="E725" t="s">
        <v>33</v>
      </c>
      <c r="F725">
        <v>32</v>
      </c>
      <c r="G725" t="s">
        <v>120</v>
      </c>
      <c r="H725" s="18">
        <v>42702</v>
      </c>
      <c r="I725">
        <v>177443</v>
      </c>
      <c r="J725">
        <v>0.16</v>
      </c>
      <c r="K725">
        <v>28390.880000000001</v>
      </c>
      <c r="L725" t="s">
        <v>29</v>
      </c>
      <c r="M725" t="s">
        <v>30</v>
      </c>
      <c r="N725" s="18"/>
    </row>
    <row r="726" spans="1:14" x14ac:dyDescent="0.25">
      <c r="A726" t="s">
        <v>2182</v>
      </c>
      <c r="B726" t="s">
        <v>67</v>
      </c>
      <c r="C726" t="s">
        <v>26</v>
      </c>
      <c r="D726" t="s">
        <v>27</v>
      </c>
      <c r="E726" t="s">
        <v>28</v>
      </c>
      <c r="F726">
        <v>36</v>
      </c>
      <c r="G726" t="s">
        <v>121</v>
      </c>
      <c r="H726" s="18">
        <v>42489</v>
      </c>
      <c r="I726">
        <v>75862</v>
      </c>
      <c r="J726">
        <v>0</v>
      </c>
      <c r="K726">
        <v>0</v>
      </c>
      <c r="L726" t="s">
        <v>29</v>
      </c>
      <c r="M726" t="s">
        <v>51</v>
      </c>
      <c r="N726" s="18"/>
    </row>
    <row r="727" spans="1:14" x14ac:dyDescent="0.25">
      <c r="A727" t="s">
        <v>2183</v>
      </c>
      <c r="B727" t="s">
        <v>69</v>
      </c>
      <c r="C727" t="s">
        <v>52</v>
      </c>
      <c r="D727" t="s">
        <v>27</v>
      </c>
      <c r="E727" t="s">
        <v>28</v>
      </c>
      <c r="F727">
        <v>45</v>
      </c>
      <c r="G727" t="s">
        <v>119</v>
      </c>
      <c r="H727" s="18">
        <v>43581</v>
      </c>
      <c r="I727">
        <v>90870</v>
      </c>
      <c r="J727">
        <v>0</v>
      </c>
      <c r="K727">
        <v>0</v>
      </c>
      <c r="L727" t="s">
        <v>29</v>
      </c>
      <c r="M727" t="s">
        <v>40</v>
      </c>
      <c r="N727" s="18"/>
    </row>
    <row r="728" spans="1:14" x14ac:dyDescent="0.25">
      <c r="A728" t="s">
        <v>2184</v>
      </c>
      <c r="B728" t="s">
        <v>63</v>
      </c>
      <c r="C728" t="s">
        <v>54</v>
      </c>
      <c r="D728" t="s">
        <v>46</v>
      </c>
      <c r="E728" t="s">
        <v>28</v>
      </c>
      <c r="F728">
        <v>32</v>
      </c>
      <c r="G728" t="s">
        <v>120</v>
      </c>
      <c r="H728" s="18">
        <v>41977</v>
      </c>
      <c r="I728">
        <v>99202</v>
      </c>
      <c r="J728">
        <v>0.11</v>
      </c>
      <c r="K728">
        <v>10912.22</v>
      </c>
      <c r="L728" t="s">
        <v>29</v>
      </c>
      <c r="M728" t="s">
        <v>43</v>
      </c>
      <c r="N728" s="18"/>
    </row>
    <row r="729" spans="1:14" x14ac:dyDescent="0.25">
      <c r="A729" t="s">
        <v>2185</v>
      </c>
      <c r="B729" t="s">
        <v>42</v>
      </c>
      <c r="C729" t="s">
        <v>57</v>
      </c>
      <c r="D729" t="s">
        <v>46</v>
      </c>
      <c r="E729" t="s">
        <v>33</v>
      </c>
      <c r="F729">
        <v>45</v>
      </c>
      <c r="G729" t="s">
        <v>119</v>
      </c>
      <c r="H729" s="18">
        <v>39347</v>
      </c>
      <c r="I729">
        <v>92293</v>
      </c>
      <c r="J729">
        <v>0</v>
      </c>
      <c r="K729">
        <v>0</v>
      </c>
      <c r="L729" t="s">
        <v>34</v>
      </c>
      <c r="M729" t="s">
        <v>68</v>
      </c>
      <c r="N729" s="18"/>
    </row>
    <row r="730" spans="1:14" x14ac:dyDescent="0.25">
      <c r="A730" t="s">
        <v>2186</v>
      </c>
      <c r="B730" t="s">
        <v>84</v>
      </c>
      <c r="C730" t="s">
        <v>26</v>
      </c>
      <c r="D730" t="s">
        <v>46</v>
      </c>
      <c r="E730" t="s">
        <v>33</v>
      </c>
      <c r="F730">
        <v>54</v>
      </c>
      <c r="G730" t="s">
        <v>119</v>
      </c>
      <c r="H730" s="18">
        <v>33785</v>
      </c>
      <c r="I730">
        <v>63196</v>
      </c>
      <c r="J730">
        <v>0</v>
      </c>
      <c r="K730">
        <v>0</v>
      </c>
      <c r="L730" t="s">
        <v>29</v>
      </c>
      <c r="M730" t="s">
        <v>40</v>
      </c>
      <c r="N730" s="18">
        <v>41938</v>
      </c>
    </row>
    <row r="731" spans="1:14" x14ac:dyDescent="0.25">
      <c r="A731" t="s">
        <v>2187</v>
      </c>
      <c r="B731" t="s">
        <v>80</v>
      </c>
      <c r="C731" t="s">
        <v>54</v>
      </c>
      <c r="D731" t="s">
        <v>39</v>
      </c>
      <c r="E731" t="s">
        <v>28</v>
      </c>
      <c r="F731">
        <v>48</v>
      </c>
      <c r="G731" t="s">
        <v>119</v>
      </c>
      <c r="H731" s="18">
        <v>41032</v>
      </c>
      <c r="I731">
        <v>65340</v>
      </c>
      <c r="J731">
        <v>0</v>
      </c>
      <c r="K731">
        <v>0</v>
      </c>
      <c r="L731" t="s">
        <v>34</v>
      </c>
      <c r="M731" t="s">
        <v>55</v>
      </c>
      <c r="N731" s="18">
        <v>43229</v>
      </c>
    </row>
    <row r="732" spans="1:14" x14ac:dyDescent="0.25">
      <c r="A732" t="s">
        <v>2188</v>
      </c>
      <c r="B732" t="s">
        <v>56</v>
      </c>
      <c r="C732" t="s">
        <v>57</v>
      </c>
      <c r="D732" t="s">
        <v>46</v>
      </c>
      <c r="E732" t="s">
        <v>33</v>
      </c>
      <c r="F732">
        <v>45</v>
      </c>
      <c r="G732" t="s">
        <v>119</v>
      </c>
      <c r="H732" s="18">
        <v>42271</v>
      </c>
      <c r="I732">
        <v>202680</v>
      </c>
      <c r="J732">
        <v>0.32</v>
      </c>
      <c r="K732">
        <v>64857.599999999999</v>
      </c>
      <c r="L732" t="s">
        <v>29</v>
      </c>
      <c r="M732" t="s">
        <v>43</v>
      </c>
      <c r="N732" s="18">
        <v>44790</v>
      </c>
    </row>
    <row r="733" spans="1:14" x14ac:dyDescent="0.25">
      <c r="A733" t="s">
        <v>2189</v>
      </c>
      <c r="B733" t="s">
        <v>41</v>
      </c>
      <c r="C733" t="s">
        <v>26</v>
      </c>
      <c r="D733" t="s">
        <v>32</v>
      </c>
      <c r="E733" t="s">
        <v>28</v>
      </c>
      <c r="F733">
        <v>46</v>
      </c>
      <c r="G733" t="s">
        <v>119</v>
      </c>
      <c r="H733" s="18">
        <v>42849</v>
      </c>
      <c r="I733">
        <v>77461</v>
      </c>
      <c r="J733">
        <v>0.09</v>
      </c>
      <c r="K733">
        <v>6971.49</v>
      </c>
      <c r="L733" t="s">
        <v>59</v>
      </c>
      <c r="M733" t="s">
        <v>76</v>
      </c>
      <c r="N733" s="18"/>
    </row>
    <row r="734" spans="1:14" x14ac:dyDescent="0.25">
      <c r="A734" t="s">
        <v>2190</v>
      </c>
      <c r="B734" t="s">
        <v>73</v>
      </c>
      <c r="C734" t="s">
        <v>54</v>
      </c>
      <c r="D734" t="s">
        <v>27</v>
      </c>
      <c r="E734" t="s">
        <v>28</v>
      </c>
      <c r="F734">
        <v>40</v>
      </c>
      <c r="G734" t="s">
        <v>121</v>
      </c>
      <c r="H734" s="18">
        <v>42622</v>
      </c>
      <c r="I734">
        <v>109680</v>
      </c>
      <c r="J734">
        <v>0</v>
      </c>
      <c r="K734">
        <v>0</v>
      </c>
      <c r="L734" t="s">
        <v>34</v>
      </c>
      <c r="M734" t="s">
        <v>68</v>
      </c>
      <c r="N734" s="18"/>
    </row>
    <row r="735" spans="1:14" x14ac:dyDescent="0.25">
      <c r="A735" t="s">
        <v>2191</v>
      </c>
      <c r="B735" t="s">
        <v>37</v>
      </c>
      <c r="C735" t="s">
        <v>45</v>
      </c>
      <c r="D735" t="s">
        <v>32</v>
      </c>
      <c r="E735" t="s">
        <v>28</v>
      </c>
      <c r="F735">
        <v>61</v>
      </c>
      <c r="G735" t="s">
        <v>118</v>
      </c>
      <c r="H735" s="18">
        <v>35661</v>
      </c>
      <c r="I735">
        <v>159567</v>
      </c>
      <c r="J735">
        <v>0.28000000000000003</v>
      </c>
      <c r="K735">
        <v>44678.76</v>
      </c>
      <c r="L735" t="s">
        <v>29</v>
      </c>
      <c r="M735" t="s">
        <v>43</v>
      </c>
      <c r="N735" s="18"/>
    </row>
    <row r="736" spans="1:14" x14ac:dyDescent="0.25">
      <c r="A736" t="s">
        <v>2192</v>
      </c>
      <c r="B736" t="s">
        <v>80</v>
      </c>
      <c r="C736" t="s">
        <v>54</v>
      </c>
      <c r="D736" t="s">
        <v>39</v>
      </c>
      <c r="E736" t="s">
        <v>33</v>
      </c>
      <c r="F736">
        <v>54</v>
      </c>
      <c r="G736" t="s">
        <v>119</v>
      </c>
      <c r="H736" s="18">
        <v>41237</v>
      </c>
      <c r="I736">
        <v>94407</v>
      </c>
      <c r="J736">
        <v>0</v>
      </c>
      <c r="K736">
        <v>0</v>
      </c>
      <c r="L736" t="s">
        <v>59</v>
      </c>
      <c r="M736" t="s">
        <v>76</v>
      </c>
      <c r="N736" s="18"/>
    </row>
    <row r="737" spans="1:14" x14ac:dyDescent="0.25">
      <c r="A737" t="s">
        <v>2193</v>
      </c>
      <c r="B737" t="s">
        <v>56</v>
      </c>
      <c r="C737" t="s">
        <v>52</v>
      </c>
      <c r="D737" t="s">
        <v>46</v>
      </c>
      <c r="E737" t="s">
        <v>33</v>
      </c>
      <c r="F737">
        <v>62</v>
      </c>
      <c r="G737" t="s">
        <v>118</v>
      </c>
      <c r="H737" s="18">
        <v>37484</v>
      </c>
      <c r="I737">
        <v>234594</v>
      </c>
      <c r="J737">
        <v>0.33</v>
      </c>
      <c r="K737">
        <v>77416.02</v>
      </c>
      <c r="L737" t="s">
        <v>29</v>
      </c>
      <c r="M737" t="s">
        <v>30</v>
      </c>
      <c r="N737" s="18"/>
    </row>
    <row r="738" spans="1:14" x14ac:dyDescent="0.25">
      <c r="A738" t="s">
        <v>2194</v>
      </c>
      <c r="B738" t="s">
        <v>83</v>
      </c>
      <c r="C738" t="s">
        <v>26</v>
      </c>
      <c r="D738" t="s">
        <v>39</v>
      </c>
      <c r="E738" t="s">
        <v>33</v>
      </c>
      <c r="F738">
        <v>48</v>
      </c>
      <c r="G738" t="s">
        <v>119</v>
      </c>
      <c r="H738" s="18">
        <v>37298</v>
      </c>
      <c r="I738">
        <v>43080</v>
      </c>
      <c r="J738">
        <v>0</v>
      </c>
      <c r="K738">
        <v>0</v>
      </c>
      <c r="L738" t="s">
        <v>29</v>
      </c>
      <c r="M738" t="s">
        <v>51</v>
      </c>
      <c r="N738" s="18"/>
    </row>
    <row r="739" spans="1:14" x14ac:dyDescent="0.25">
      <c r="A739" t="s">
        <v>2195</v>
      </c>
      <c r="B739" t="s">
        <v>47</v>
      </c>
      <c r="C739" t="s">
        <v>57</v>
      </c>
      <c r="D739" t="s">
        <v>32</v>
      </c>
      <c r="E739" t="s">
        <v>28</v>
      </c>
      <c r="F739">
        <v>29</v>
      </c>
      <c r="G739" t="s">
        <v>120</v>
      </c>
      <c r="H739" s="18">
        <v>44325</v>
      </c>
      <c r="I739">
        <v>129541</v>
      </c>
      <c r="J739">
        <v>0.08</v>
      </c>
      <c r="K739">
        <v>10363.280000000001</v>
      </c>
      <c r="L739" t="s">
        <v>29</v>
      </c>
      <c r="M739" t="s">
        <v>43</v>
      </c>
      <c r="N739" s="18">
        <v>44340</v>
      </c>
    </row>
    <row r="740" spans="1:14" x14ac:dyDescent="0.25">
      <c r="A740" t="s">
        <v>2196</v>
      </c>
      <c r="B740" t="s">
        <v>37</v>
      </c>
      <c r="C740" t="s">
        <v>45</v>
      </c>
      <c r="D740" t="s">
        <v>27</v>
      </c>
      <c r="E740" t="s">
        <v>33</v>
      </c>
      <c r="F740">
        <v>39</v>
      </c>
      <c r="G740" t="s">
        <v>121</v>
      </c>
      <c r="H740" s="18">
        <v>41635</v>
      </c>
      <c r="I740">
        <v>165756</v>
      </c>
      <c r="J740">
        <v>0.28000000000000003</v>
      </c>
      <c r="K740">
        <v>46411.680000000008</v>
      </c>
      <c r="L740" t="s">
        <v>29</v>
      </c>
      <c r="M740" t="s">
        <v>58</v>
      </c>
      <c r="N740" s="18">
        <v>43991</v>
      </c>
    </row>
    <row r="741" spans="1:14" x14ac:dyDescent="0.25">
      <c r="A741" t="s">
        <v>2197</v>
      </c>
      <c r="B741" t="s">
        <v>25</v>
      </c>
      <c r="C741" t="s">
        <v>38</v>
      </c>
      <c r="D741" t="s">
        <v>39</v>
      </c>
      <c r="E741" t="s">
        <v>33</v>
      </c>
      <c r="F741">
        <v>44</v>
      </c>
      <c r="G741" t="s">
        <v>121</v>
      </c>
      <c r="H741" s="18">
        <v>40274</v>
      </c>
      <c r="I741">
        <v>142878</v>
      </c>
      <c r="J741">
        <v>0.12</v>
      </c>
      <c r="K741">
        <v>17145.36</v>
      </c>
      <c r="L741" t="s">
        <v>29</v>
      </c>
      <c r="M741" t="s">
        <v>58</v>
      </c>
      <c r="N741" s="18"/>
    </row>
    <row r="742" spans="1:14" x14ac:dyDescent="0.25">
      <c r="A742" t="s">
        <v>2198</v>
      </c>
      <c r="B742" t="s">
        <v>37</v>
      </c>
      <c r="C742" t="s">
        <v>54</v>
      </c>
      <c r="D742" t="s">
        <v>32</v>
      </c>
      <c r="E742" t="s">
        <v>33</v>
      </c>
      <c r="F742">
        <v>52</v>
      </c>
      <c r="G742" t="s">
        <v>119</v>
      </c>
      <c r="H742" s="18">
        <v>39018</v>
      </c>
      <c r="I742">
        <v>187992</v>
      </c>
      <c r="J742">
        <v>0.28000000000000003</v>
      </c>
      <c r="K742">
        <v>52637.760000000002</v>
      </c>
      <c r="L742" t="s">
        <v>29</v>
      </c>
      <c r="M742" t="s">
        <v>49</v>
      </c>
      <c r="N742" s="18"/>
    </row>
    <row r="743" spans="1:14" x14ac:dyDescent="0.25">
      <c r="A743" t="s">
        <v>2199</v>
      </c>
      <c r="B743" t="s">
        <v>56</v>
      </c>
      <c r="C743" t="s">
        <v>52</v>
      </c>
      <c r="D743" t="s">
        <v>39</v>
      </c>
      <c r="E743" t="s">
        <v>28</v>
      </c>
      <c r="F743">
        <v>45</v>
      </c>
      <c r="G743" t="s">
        <v>119</v>
      </c>
      <c r="H743" s="18">
        <v>43521</v>
      </c>
      <c r="I743">
        <v>249801</v>
      </c>
      <c r="J743">
        <v>0.39</v>
      </c>
      <c r="K743">
        <v>97422.39</v>
      </c>
      <c r="L743" t="s">
        <v>59</v>
      </c>
      <c r="M743" t="s">
        <v>76</v>
      </c>
      <c r="N743" s="18"/>
    </row>
    <row r="744" spans="1:14" x14ac:dyDescent="0.25">
      <c r="A744" t="s">
        <v>2200</v>
      </c>
      <c r="B744" t="s">
        <v>87</v>
      </c>
      <c r="C744" t="s">
        <v>26</v>
      </c>
      <c r="D744" t="s">
        <v>27</v>
      </c>
      <c r="E744" t="s">
        <v>33</v>
      </c>
      <c r="F744">
        <v>48</v>
      </c>
      <c r="G744" t="s">
        <v>119</v>
      </c>
      <c r="H744" s="18">
        <v>38987</v>
      </c>
      <c r="I744">
        <v>76505</v>
      </c>
      <c r="J744">
        <v>0</v>
      </c>
      <c r="K744">
        <v>0</v>
      </c>
      <c r="L744" t="s">
        <v>29</v>
      </c>
      <c r="M744" t="s">
        <v>30</v>
      </c>
      <c r="N744" s="18">
        <v>39180</v>
      </c>
    </row>
    <row r="745" spans="1:14" x14ac:dyDescent="0.25">
      <c r="A745" t="s">
        <v>2201</v>
      </c>
      <c r="B745" t="s">
        <v>86</v>
      </c>
      <c r="C745" t="s">
        <v>26</v>
      </c>
      <c r="D745" t="s">
        <v>46</v>
      </c>
      <c r="E745" t="s">
        <v>33</v>
      </c>
      <c r="F745">
        <v>39</v>
      </c>
      <c r="G745" t="s">
        <v>121</v>
      </c>
      <c r="H745" s="18">
        <v>42664</v>
      </c>
      <c r="I745">
        <v>84297</v>
      </c>
      <c r="J745">
        <v>0</v>
      </c>
      <c r="K745">
        <v>0</v>
      </c>
      <c r="L745" t="s">
        <v>59</v>
      </c>
      <c r="M745" t="s">
        <v>60</v>
      </c>
      <c r="N745" s="18"/>
    </row>
    <row r="746" spans="1:14" x14ac:dyDescent="0.25">
      <c r="A746" t="s">
        <v>2202</v>
      </c>
      <c r="B746" t="s">
        <v>42</v>
      </c>
      <c r="C746" t="s">
        <v>45</v>
      </c>
      <c r="D746" t="s">
        <v>39</v>
      </c>
      <c r="E746" t="s">
        <v>28</v>
      </c>
      <c r="F746">
        <v>53</v>
      </c>
      <c r="G746" t="s">
        <v>119</v>
      </c>
      <c r="H746" s="18">
        <v>42744</v>
      </c>
      <c r="I746">
        <v>75769</v>
      </c>
      <c r="J746">
        <v>0</v>
      </c>
      <c r="K746">
        <v>0</v>
      </c>
      <c r="L746" t="s">
        <v>59</v>
      </c>
      <c r="M746" t="s">
        <v>60</v>
      </c>
      <c r="N746" s="18">
        <v>44029</v>
      </c>
    </row>
    <row r="747" spans="1:14" x14ac:dyDescent="0.25">
      <c r="A747" t="s">
        <v>2203</v>
      </c>
      <c r="B747" t="s">
        <v>56</v>
      </c>
      <c r="C747" t="s">
        <v>50</v>
      </c>
      <c r="D747" t="s">
        <v>39</v>
      </c>
      <c r="E747" t="s">
        <v>33</v>
      </c>
      <c r="F747">
        <v>41</v>
      </c>
      <c r="G747" t="s">
        <v>121</v>
      </c>
      <c r="H747" s="18">
        <v>41503</v>
      </c>
      <c r="I747">
        <v>235619</v>
      </c>
      <c r="J747">
        <v>0.3</v>
      </c>
      <c r="K747">
        <v>70685.7</v>
      </c>
      <c r="L747" t="s">
        <v>29</v>
      </c>
      <c r="M747" t="s">
        <v>30</v>
      </c>
      <c r="N747" s="18"/>
    </row>
    <row r="748" spans="1:14" x14ac:dyDescent="0.25">
      <c r="A748" t="s">
        <v>2204</v>
      </c>
      <c r="B748" t="s">
        <v>37</v>
      </c>
      <c r="C748" t="s">
        <v>54</v>
      </c>
      <c r="D748" t="s">
        <v>39</v>
      </c>
      <c r="E748" t="s">
        <v>33</v>
      </c>
      <c r="F748">
        <v>40</v>
      </c>
      <c r="G748" t="s">
        <v>121</v>
      </c>
      <c r="H748" s="18">
        <v>43868</v>
      </c>
      <c r="I748">
        <v>187187</v>
      </c>
      <c r="J748">
        <v>0.18</v>
      </c>
      <c r="K748">
        <v>33693.659999999996</v>
      </c>
      <c r="L748" t="s">
        <v>59</v>
      </c>
      <c r="M748" t="s">
        <v>60</v>
      </c>
      <c r="N748" s="18"/>
    </row>
    <row r="749" spans="1:14" x14ac:dyDescent="0.25">
      <c r="A749" t="s">
        <v>2205</v>
      </c>
      <c r="B749" t="s">
        <v>79</v>
      </c>
      <c r="C749" t="s">
        <v>26</v>
      </c>
      <c r="D749" t="s">
        <v>27</v>
      </c>
      <c r="E749" t="s">
        <v>33</v>
      </c>
      <c r="F749">
        <v>48</v>
      </c>
      <c r="G749" t="s">
        <v>119</v>
      </c>
      <c r="H749" s="18">
        <v>38560</v>
      </c>
      <c r="I749">
        <v>68987</v>
      </c>
      <c r="J749">
        <v>0</v>
      </c>
      <c r="K749">
        <v>0</v>
      </c>
      <c r="L749" t="s">
        <v>29</v>
      </c>
      <c r="M749" t="s">
        <v>40</v>
      </c>
      <c r="N749" s="18">
        <v>38829</v>
      </c>
    </row>
    <row r="750" spans="1:14" x14ac:dyDescent="0.25">
      <c r="A750" t="s">
        <v>2206</v>
      </c>
      <c r="B750" t="s">
        <v>37</v>
      </c>
      <c r="C750" t="s">
        <v>54</v>
      </c>
      <c r="D750" t="s">
        <v>39</v>
      </c>
      <c r="E750" t="s">
        <v>33</v>
      </c>
      <c r="F750">
        <v>41</v>
      </c>
      <c r="G750" t="s">
        <v>121</v>
      </c>
      <c r="H750" s="18">
        <v>39156</v>
      </c>
      <c r="I750">
        <v>155926</v>
      </c>
      <c r="J750">
        <v>0.24</v>
      </c>
      <c r="K750">
        <v>37422.239999999998</v>
      </c>
      <c r="L750" t="s">
        <v>29</v>
      </c>
      <c r="M750" t="s">
        <v>58</v>
      </c>
      <c r="N750" s="18">
        <v>39598</v>
      </c>
    </row>
    <row r="751" spans="1:14" x14ac:dyDescent="0.25">
      <c r="A751" t="s">
        <v>2207</v>
      </c>
      <c r="B751" t="s">
        <v>42</v>
      </c>
      <c r="C751" t="s">
        <v>50</v>
      </c>
      <c r="D751" t="s">
        <v>39</v>
      </c>
      <c r="E751" t="s">
        <v>33</v>
      </c>
      <c r="F751">
        <v>54</v>
      </c>
      <c r="G751" t="s">
        <v>119</v>
      </c>
      <c r="H751" s="18">
        <v>42494</v>
      </c>
      <c r="I751">
        <v>93668</v>
      </c>
      <c r="J751">
        <v>0</v>
      </c>
      <c r="K751">
        <v>0</v>
      </c>
      <c r="L751" t="s">
        <v>29</v>
      </c>
      <c r="M751" t="s">
        <v>40</v>
      </c>
      <c r="N751" s="18"/>
    </row>
    <row r="752" spans="1:14" x14ac:dyDescent="0.25">
      <c r="A752" t="s">
        <v>2208</v>
      </c>
      <c r="B752" t="s">
        <v>70</v>
      </c>
      <c r="C752" t="s">
        <v>52</v>
      </c>
      <c r="D752" t="s">
        <v>27</v>
      </c>
      <c r="E752" t="s">
        <v>33</v>
      </c>
      <c r="F752">
        <v>38</v>
      </c>
      <c r="G752" t="s">
        <v>121</v>
      </c>
      <c r="H752" s="18">
        <v>43798</v>
      </c>
      <c r="I752">
        <v>69647</v>
      </c>
      <c r="J752">
        <v>0</v>
      </c>
      <c r="K752">
        <v>0</v>
      </c>
      <c r="L752" t="s">
        <v>29</v>
      </c>
      <c r="M752" t="s">
        <v>49</v>
      </c>
      <c r="N752" s="18">
        <v>44671</v>
      </c>
    </row>
    <row r="753" spans="1:14" x14ac:dyDescent="0.25">
      <c r="A753" t="s">
        <v>2209</v>
      </c>
      <c r="B753" t="s">
        <v>82</v>
      </c>
      <c r="C753" t="s">
        <v>26</v>
      </c>
      <c r="D753" t="s">
        <v>46</v>
      </c>
      <c r="E753" t="s">
        <v>33</v>
      </c>
      <c r="F753">
        <v>57</v>
      </c>
      <c r="G753" t="s">
        <v>118</v>
      </c>
      <c r="H753" s="18">
        <v>37798</v>
      </c>
      <c r="I753">
        <v>63318</v>
      </c>
      <c r="J753">
        <v>0</v>
      </c>
      <c r="K753">
        <v>0</v>
      </c>
      <c r="L753" t="s">
        <v>29</v>
      </c>
      <c r="M753" t="s">
        <v>58</v>
      </c>
      <c r="N753" s="18"/>
    </row>
    <row r="754" spans="1:14" x14ac:dyDescent="0.25">
      <c r="A754" t="s">
        <v>2210</v>
      </c>
      <c r="B754" t="s">
        <v>42</v>
      </c>
      <c r="C754" t="s">
        <v>57</v>
      </c>
      <c r="D754" t="s">
        <v>32</v>
      </c>
      <c r="E754" t="s">
        <v>33</v>
      </c>
      <c r="F754">
        <v>63</v>
      </c>
      <c r="G754" t="s">
        <v>118</v>
      </c>
      <c r="H754" s="18">
        <v>42778</v>
      </c>
      <c r="I754">
        <v>77629</v>
      </c>
      <c r="J754">
        <v>0</v>
      </c>
      <c r="K754">
        <v>0</v>
      </c>
      <c r="L754" t="s">
        <v>34</v>
      </c>
      <c r="M754" t="s">
        <v>64</v>
      </c>
      <c r="N754" s="18"/>
    </row>
    <row r="755" spans="1:14" x14ac:dyDescent="0.25">
      <c r="A755" t="s">
        <v>2211</v>
      </c>
      <c r="B755" t="s">
        <v>25</v>
      </c>
      <c r="C755" t="s">
        <v>52</v>
      </c>
      <c r="D755" t="s">
        <v>32</v>
      </c>
      <c r="E755" t="s">
        <v>33</v>
      </c>
      <c r="F755">
        <v>62</v>
      </c>
      <c r="G755" t="s">
        <v>118</v>
      </c>
      <c r="H755" s="18">
        <v>43061</v>
      </c>
      <c r="I755">
        <v>138808</v>
      </c>
      <c r="J755">
        <v>0.15</v>
      </c>
      <c r="K755">
        <v>20821.2</v>
      </c>
      <c r="L755" t="s">
        <v>34</v>
      </c>
      <c r="M755" t="s">
        <v>35</v>
      </c>
      <c r="N755" s="18"/>
    </row>
    <row r="756" spans="1:14" x14ac:dyDescent="0.25">
      <c r="A756" t="s">
        <v>2212</v>
      </c>
      <c r="B756" t="s">
        <v>67</v>
      </c>
      <c r="C756" t="s">
        <v>26</v>
      </c>
      <c r="D756" t="s">
        <v>27</v>
      </c>
      <c r="E756" t="s">
        <v>28</v>
      </c>
      <c r="F756">
        <v>49</v>
      </c>
      <c r="G756" t="s">
        <v>119</v>
      </c>
      <c r="H756" s="18">
        <v>41703</v>
      </c>
      <c r="I756">
        <v>88777</v>
      </c>
      <c r="J756">
        <v>0</v>
      </c>
      <c r="K756">
        <v>0</v>
      </c>
      <c r="L756" t="s">
        <v>29</v>
      </c>
      <c r="M756" t="s">
        <v>40</v>
      </c>
      <c r="N756" s="18"/>
    </row>
    <row r="757" spans="1:14" x14ac:dyDescent="0.25">
      <c r="A757" t="s">
        <v>2213</v>
      </c>
      <c r="B757" t="s">
        <v>37</v>
      </c>
      <c r="C757" t="s">
        <v>50</v>
      </c>
      <c r="D757" t="s">
        <v>46</v>
      </c>
      <c r="E757" t="s">
        <v>28</v>
      </c>
      <c r="F757">
        <v>60</v>
      </c>
      <c r="G757" t="s">
        <v>118</v>
      </c>
      <c r="H757" s="18">
        <v>38121</v>
      </c>
      <c r="I757">
        <v>186378</v>
      </c>
      <c r="J757">
        <v>0.26</v>
      </c>
      <c r="K757">
        <v>48458.28</v>
      </c>
      <c r="L757" t="s">
        <v>34</v>
      </c>
      <c r="M757" t="s">
        <v>35</v>
      </c>
      <c r="N757" s="18"/>
    </row>
    <row r="758" spans="1:14" x14ac:dyDescent="0.25">
      <c r="A758" t="s">
        <v>2214</v>
      </c>
      <c r="B758" t="s">
        <v>62</v>
      </c>
      <c r="C758" t="s">
        <v>54</v>
      </c>
      <c r="D758" t="s">
        <v>27</v>
      </c>
      <c r="E758" t="s">
        <v>28</v>
      </c>
      <c r="F758">
        <v>45</v>
      </c>
      <c r="G758" t="s">
        <v>119</v>
      </c>
      <c r="H758" s="18">
        <v>42117</v>
      </c>
      <c r="I758">
        <v>60017</v>
      </c>
      <c r="J758">
        <v>0</v>
      </c>
      <c r="K758">
        <v>0</v>
      </c>
      <c r="L758" t="s">
        <v>29</v>
      </c>
      <c r="M758" t="s">
        <v>40</v>
      </c>
      <c r="N758" s="18"/>
    </row>
    <row r="759" spans="1:14" x14ac:dyDescent="0.25">
      <c r="A759" t="s">
        <v>2215</v>
      </c>
      <c r="B759" t="s">
        <v>25</v>
      </c>
      <c r="C759" t="s">
        <v>45</v>
      </c>
      <c r="D759" t="s">
        <v>39</v>
      </c>
      <c r="E759" t="s">
        <v>28</v>
      </c>
      <c r="F759">
        <v>45</v>
      </c>
      <c r="G759" t="s">
        <v>119</v>
      </c>
      <c r="H759" s="18">
        <v>43305</v>
      </c>
      <c r="I759">
        <v>148991</v>
      </c>
      <c r="J759">
        <v>0.12</v>
      </c>
      <c r="K759">
        <v>17878.919999999998</v>
      </c>
      <c r="L759" t="s">
        <v>59</v>
      </c>
      <c r="M759" t="s">
        <v>76</v>
      </c>
      <c r="N759" s="18"/>
    </row>
    <row r="760" spans="1:14" x14ac:dyDescent="0.25">
      <c r="A760" t="s">
        <v>2216</v>
      </c>
      <c r="B760" t="s">
        <v>71</v>
      </c>
      <c r="C760" t="s">
        <v>54</v>
      </c>
      <c r="D760" t="s">
        <v>39</v>
      </c>
      <c r="E760" t="s">
        <v>28</v>
      </c>
      <c r="F760">
        <v>52</v>
      </c>
      <c r="G760" t="s">
        <v>119</v>
      </c>
      <c r="H760" s="18">
        <v>39532</v>
      </c>
      <c r="I760">
        <v>97398</v>
      </c>
      <c r="J760">
        <v>0</v>
      </c>
      <c r="K760">
        <v>0</v>
      </c>
      <c r="L760" t="s">
        <v>59</v>
      </c>
      <c r="M760" t="s">
        <v>60</v>
      </c>
      <c r="N760" s="18"/>
    </row>
    <row r="761" spans="1:14" x14ac:dyDescent="0.25">
      <c r="A761" t="s">
        <v>2217</v>
      </c>
      <c r="B761" t="s">
        <v>69</v>
      </c>
      <c r="C761" t="s">
        <v>52</v>
      </c>
      <c r="D761" t="s">
        <v>32</v>
      </c>
      <c r="E761" t="s">
        <v>28</v>
      </c>
      <c r="F761">
        <v>63</v>
      </c>
      <c r="G761" t="s">
        <v>118</v>
      </c>
      <c r="H761" s="18">
        <v>39204</v>
      </c>
      <c r="I761">
        <v>72805</v>
      </c>
      <c r="J761">
        <v>0</v>
      </c>
      <c r="K761">
        <v>0</v>
      </c>
      <c r="L761" t="s">
        <v>34</v>
      </c>
      <c r="M761" t="s">
        <v>55</v>
      </c>
      <c r="N761" s="18"/>
    </row>
    <row r="762" spans="1:14" x14ac:dyDescent="0.25">
      <c r="A762" t="s">
        <v>2218</v>
      </c>
      <c r="B762" t="s">
        <v>81</v>
      </c>
      <c r="C762" t="s">
        <v>45</v>
      </c>
      <c r="D762" t="s">
        <v>27</v>
      </c>
      <c r="E762" t="s">
        <v>28</v>
      </c>
      <c r="F762">
        <v>46</v>
      </c>
      <c r="G762" t="s">
        <v>119</v>
      </c>
      <c r="H762" s="18">
        <v>44213</v>
      </c>
      <c r="I762">
        <v>72131</v>
      </c>
      <c r="J762">
        <v>0</v>
      </c>
      <c r="K762">
        <v>0</v>
      </c>
      <c r="L762" t="s">
        <v>34</v>
      </c>
      <c r="M762" t="s">
        <v>55</v>
      </c>
      <c r="N762" s="18"/>
    </row>
    <row r="763" spans="1:14" x14ac:dyDescent="0.25">
      <c r="A763" t="s">
        <v>2219</v>
      </c>
      <c r="B763" t="s">
        <v>47</v>
      </c>
      <c r="C763" t="s">
        <v>52</v>
      </c>
      <c r="D763" t="s">
        <v>32</v>
      </c>
      <c r="E763" t="s">
        <v>33</v>
      </c>
      <c r="F763">
        <v>64</v>
      </c>
      <c r="G763" t="s">
        <v>118</v>
      </c>
      <c r="H763" s="18">
        <v>33964</v>
      </c>
      <c r="I763">
        <v>104668</v>
      </c>
      <c r="J763">
        <v>0.08</v>
      </c>
      <c r="K763">
        <v>8373.44</v>
      </c>
      <c r="L763" t="s">
        <v>29</v>
      </c>
      <c r="M763" t="s">
        <v>58</v>
      </c>
      <c r="N763" s="18"/>
    </row>
    <row r="764" spans="1:14" x14ac:dyDescent="0.25">
      <c r="A764" t="s">
        <v>2220</v>
      </c>
      <c r="B764" t="s">
        <v>42</v>
      </c>
      <c r="C764" t="s">
        <v>45</v>
      </c>
      <c r="D764" t="s">
        <v>32</v>
      </c>
      <c r="E764" t="s">
        <v>28</v>
      </c>
      <c r="F764">
        <v>53</v>
      </c>
      <c r="G764" t="s">
        <v>119</v>
      </c>
      <c r="H764" s="18">
        <v>42952</v>
      </c>
      <c r="I764">
        <v>89769</v>
      </c>
      <c r="J764">
        <v>0</v>
      </c>
      <c r="K764">
        <v>0</v>
      </c>
      <c r="L764" t="s">
        <v>29</v>
      </c>
      <c r="M764" t="s">
        <v>30</v>
      </c>
      <c r="N764" s="18"/>
    </row>
    <row r="765" spans="1:14" x14ac:dyDescent="0.25">
      <c r="A765" t="s">
        <v>2221</v>
      </c>
      <c r="B765" t="s">
        <v>47</v>
      </c>
      <c r="C765" t="s">
        <v>45</v>
      </c>
      <c r="D765" t="s">
        <v>46</v>
      </c>
      <c r="E765" t="s">
        <v>28</v>
      </c>
      <c r="F765">
        <v>27</v>
      </c>
      <c r="G765" t="s">
        <v>120</v>
      </c>
      <c r="H765" s="18">
        <v>43358</v>
      </c>
      <c r="I765">
        <v>127616</v>
      </c>
      <c r="J765">
        <v>7.0000000000000007E-2</v>
      </c>
      <c r="K765">
        <v>8933.1200000000008</v>
      </c>
      <c r="L765" t="s">
        <v>29</v>
      </c>
      <c r="M765" t="s">
        <v>58</v>
      </c>
      <c r="N765" s="18"/>
    </row>
    <row r="766" spans="1:14" x14ac:dyDescent="0.25">
      <c r="A766" t="s">
        <v>2222</v>
      </c>
      <c r="B766" t="s">
        <v>47</v>
      </c>
      <c r="C766" t="s">
        <v>52</v>
      </c>
      <c r="D766" t="s">
        <v>46</v>
      </c>
      <c r="E766" t="s">
        <v>33</v>
      </c>
      <c r="F766">
        <v>45</v>
      </c>
      <c r="G766" t="s">
        <v>119</v>
      </c>
      <c r="H766" s="18">
        <v>41099</v>
      </c>
      <c r="I766">
        <v>109883</v>
      </c>
      <c r="J766">
        <v>7.0000000000000007E-2</v>
      </c>
      <c r="K766">
        <v>7691.81</v>
      </c>
      <c r="L766" t="s">
        <v>29</v>
      </c>
      <c r="M766" t="s">
        <v>58</v>
      </c>
      <c r="N766" s="18"/>
    </row>
    <row r="767" spans="1:14" x14ac:dyDescent="0.25">
      <c r="A767" t="s">
        <v>2223</v>
      </c>
      <c r="B767" t="s">
        <v>74</v>
      </c>
      <c r="C767" t="s">
        <v>52</v>
      </c>
      <c r="D767" t="s">
        <v>32</v>
      </c>
      <c r="E767" t="s">
        <v>28</v>
      </c>
      <c r="F767">
        <v>25</v>
      </c>
      <c r="G767" t="s">
        <v>120</v>
      </c>
      <c r="H767" s="18">
        <v>44270</v>
      </c>
      <c r="I767">
        <v>47974</v>
      </c>
      <c r="J767">
        <v>0</v>
      </c>
      <c r="K767">
        <v>0</v>
      </c>
      <c r="L767" t="s">
        <v>34</v>
      </c>
      <c r="M767" t="s">
        <v>35</v>
      </c>
      <c r="N767" s="18"/>
    </row>
    <row r="768" spans="1:14" x14ac:dyDescent="0.25">
      <c r="A768" t="s">
        <v>2224</v>
      </c>
      <c r="B768" t="s">
        <v>25</v>
      </c>
      <c r="C768" t="s">
        <v>26</v>
      </c>
      <c r="D768" t="s">
        <v>39</v>
      </c>
      <c r="E768" t="s">
        <v>28</v>
      </c>
      <c r="F768">
        <v>43</v>
      </c>
      <c r="G768" t="s">
        <v>121</v>
      </c>
      <c r="H768" s="18">
        <v>42090</v>
      </c>
      <c r="I768">
        <v>120321</v>
      </c>
      <c r="J768">
        <v>0.12</v>
      </c>
      <c r="K768">
        <v>14438.519999999999</v>
      </c>
      <c r="L768" t="s">
        <v>29</v>
      </c>
      <c r="M768" t="s">
        <v>51</v>
      </c>
      <c r="N768" s="18"/>
    </row>
    <row r="769" spans="1:14" x14ac:dyDescent="0.25">
      <c r="A769" t="s">
        <v>2225</v>
      </c>
      <c r="B769" t="s">
        <v>65</v>
      </c>
      <c r="C769" t="s">
        <v>26</v>
      </c>
      <c r="D769" t="s">
        <v>32</v>
      </c>
      <c r="E769" t="s">
        <v>28</v>
      </c>
      <c r="F769">
        <v>61</v>
      </c>
      <c r="G769" t="s">
        <v>118</v>
      </c>
      <c r="H769" s="18">
        <v>41861</v>
      </c>
      <c r="I769">
        <v>57446</v>
      </c>
      <c r="J769">
        <v>0</v>
      </c>
      <c r="K769">
        <v>0</v>
      </c>
      <c r="L769" t="s">
        <v>29</v>
      </c>
      <c r="M769" t="s">
        <v>43</v>
      </c>
      <c r="N769" s="18"/>
    </row>
    <row r="770" spans="1:14" x14ac:dyDescent="0.25">
      <c r="A770" t="s">
        <v>2226</v>
      </c>
      <c r="B770" t="s">
        <v>37</v>
      </c>
      <c r="C770" t="s">
        <v>50</v>
      </c>
      <c r="D770" t="s">
        <v>27</v>
      </c>
      <c r="E770" t="s">
        <v>28</v>
      </c>
      <c r="F770">
        <v>42</v>
      </c>
      <c r="G770" t="s">
        <v>121</v>
      </c>
      <c r="H770" s="18">
        <v>39968</v>
      </c>
      <c r="I770">
        <v>174099</v>
      </c>
      <c r="J770">
        <v>0.26</v>
      </c>
      <c r="K770">
        <v>45265.74</v>
      </c>
      <c r="L770" t="s">
        <v>29</v>
      </c>
      <c r="M770" t="s">
        <v>51</v>
      </c>
      <c r="N770" s="18"/>
    </row>
    <row r="771" spans="1:14" x14ac:dyDescent="0.25">
      <c r="A771" t="s">
        <v>2227</v>
      </c>
      <c r="B771" t="s">
        <v>25</v>
      </c>
      <c r="C771" t="s">
        <v>38</v>
      </c>
      <c r="D771" t="s">
        <v>32</v>
      </c>
      <c r="E771" t="s">
        <v>33</v>
      </c>
      <c r="F771">
        <v>63</v>
      </c>
      <c r="G771" t="s">
        <v>118</v>
      </c>
      <c r="H771" s="18">
        <v>37295</v>
      </c>
      <c r="I771">
        <v>128703</v>
      </c>
      <c r="J771">
        <v>0.13</v>
      </c>
      <c r="K771">
        <v>16731.39</v>
      </c>
      <c r="L771" t="s">
        <v>29</v>
      </c>
      <c r="M771" t="s">
        <v>51</v>
      </c>
      <c r="N771" s="18"/>
    </row>
    <row r="772" spans="1:14" x14ac:dyDescent="0.25">
      <c r="A772" t="s">
        <v>2228</v>
      </c>
      <c r="B772" t="s">
        <v>71</v>
      </c>
      <c r="C772" t="s">
        <v>54</v>
      </c>
      <c r="D772" t="s">
        <v>46</v>
      </c>
      <c r="E772" t="s">
        <v>28</v>
      </c>
      <c r="F772">
        <v>32</v>
      </c>
      <c r="G772" t="s">
        <v>120</v>
      </c>
      <c r="H772" s="18">
        <v>42317</v>
      </c>
      <c r="I772">
        <v>65247</v>
      </c>
      <c r="J772">
        <v>0</v>
      </c>
      <c r="K772">
        <v>0</v>
      </c>
      <c r="L772" t="s">
        <v>29</v>
      </c>
      <c r="M772" t="s">
        <v>43</v>
      </c>
      <c r="N772" s="18"/>
    </row>
    <row r="773" spans="1:14" x14ac:dyDescent="0.25">
      <c r="A773" t="s">
        <v>2229</v>
      </c>
      <c r="B773" t="s">
        <v>62</v>
      </c>
      <c r="C773" t="s">
        <v>54</v>
      </c>
      <c r="D773" t="s">
        <v>27</v>
      </c>
      <c r="E773" t="s">
        <v>33</v>
      </c>
      <c r="F773">
        <v>27</v>
      </c>
      <c r="G773" t="s">
        <v>120</v>
      </c>
      <c r="H773" s="18">
        <v>43371</v>
      </c>
      <c r="I773">
        <v>64247</v>
      </c>
      <c r="J773">
        <v>0</v>
      </c>
      <c r="K773">
        <v>0</v>
      </c>
      <c r="L773" t="s">
        <v>59</v>
      </c>
      <c r="M773" t="s">
        <v>61</v>
      </c>
      <c r="N773" s="18"/>
    </row>
    <row r="774" spans="1:14" x14ac:dyDescent="0.25">
      <c r="A774" t="s">
        <v>2230</v>
      </c>
      <c r="B774" t="s">
        <v>47</v>
      </c>
      <c r="C774" t="s">
        <v>52</v>
      </c>
      <c r="D774" t="s">
        <v>27</v>
      </c>
      <c r="E774" t="s">
        <v>28</v>
      </c>
      <c r="F774">
        <v>33</v>
      </c>
      <c r="G774" t="s">
        <v>120</v>
      </c>
      <c r="H774" s="18">
        <v>41071</v>
      </c>
      <c r="I774">
        <v>118253</v>
      </c>
      <c r="J774">
        <v>0.08</v>
      </c>
      <c r="K774">
        <v>9460.24</v>
      </c>
      <c r="L774" t="s">
        <v>29</v>
      </c>
      <c r="M774" t="s">
        <v>51</v>
      </c>
      <c r="N774" s="18"/>
    </row>
    <row r="775" spans="1:14" x14ac:dyDescent="0.25">
      <c r="A775" t="s">
        <v>2231</v>
      </c>
      <c r="B775" t="s">
        <v>73</v>
      </c>
      <c r="C775" t="s">
        <v>54</v>
      </c>
      <c r="D775" t="s">
        <v>32</v>
      </c>
      <c r="E775" t="s">
        <v>28</v>
      </c>
      <c r="F775">
        <v>45</v>
      </c>
      <c r="G775" t="s">
        <v>119</v>
      </c>
      <c r="H775" s="18">
        <v>38057</v>
      </c>
      <c r="I775">
        <v>109422</v>
      </c>
      <c r="J775">
        <v>0</v>
      </c>
      <c r="K775">
        <v>0</v>
      </c>
      <c r="L775" t="s">
        <v>34</v>
      </c>
      <c r="M775" t="s">
        <v>35</v>
      </c>
      <c r="N775" s="18"/>
    </row>
    <row r="776" spans="1:14" x14ac:dyDescent="0.25">
      <c r="A776" t="s">
        <v>2232</v>
      </c>
      <c r="B776" t="s">
        <v>47</v>
      </c>
      <c r="C776" t="s">
        <v>52</v>
      </c>
      <c r="D776" t="s">
        <v>46</v>
      </c>
      <c r="E776" t="s">
        <v>33</v>
      </c>
      <c r="F776">
        <v>41</v>
      </c>
      <c r="G776" t="s">
        <v>121</v>
      </c>
      <c r="H776" s="18">
        <v>43502</v>
      </c>
      <c r="I776">
        <v>126950</v>
      </c>
      <c r="J776">
        <v>0.1</v>
      </c>
      <c r="K776">
        <v>12695</v>
      </c>
      <c r="L776" t="s">
        <v>29</v>
      </c>
      <c r="M776" t="s">
        <v>40</v>
      </c>
      <c r="N776" s="18"/>
    </row>
    <row r="777" spans="1:14" x14ac:dyDescent="0.25">
      <c r="A777" t="s">
        <v>2233</v>
      </c>
      <c r="B777" t="s">
        <v>67</v>
      </c>
      <c r="C777" t="s">
        <v>26</v>
      </c>
      <c r="D777" t="s">
        <v>32</v>
      </c>
      <c r="E777" t="s">
        <v>28</v>
      </c>
      <c r="F777">
        <v>36</v>
      </c>
      <c r="G777" t="s">
        <v>121</v>
      </c>
      <c r="H777" s="18">
        <v>41964</v>
      </c>
      <c r="I777">
        <v>97500</v>
      </c>
      <c r="J777">
        <v>0</v>
      </c>
      <c r="K777">
        <v>0</v>
      </c>
      <c r="L777" t="s">
        <v>29</v>
      </c>
      <c r="M777" t="s">
        <v>49</v>
      </c>
      <c r="N777" s="18"/>
    </row>
    <row r="778" spans="1:14" x14ac:dyDescent="0.25">
      <c r="A778" t="s">
        <v>2234</v>
      </c>
      <c r="B778" t="s">
        <v>65</v>
      </c>
      <c r="C778" t="s">
        <v>26</v>
      </c>
      <c r="D778" t="s">
        <v>32</v>
      </c>
      <c r="E778" t="s">
        <v>33</v>
      </c>
      <c r="F778">
        <v>25</v>
      </c>
      <c r="G778" t="s">
        <v>120</v>
      </c>
      <c r="H778" s="18">
        <v>44213</v>
      </c>
      <c r="I778">
        <v>41844</v>
      </c>
      <c r="J778">
        <v>0</v>
      </c>
      <c r="K778">
        <v>0</v>
      </c>
      <c r="L778" t="s">
        <v>34</v>
      </c>
      <c r="M778" t="s">
        <v>35</v>
      </c>
      <c r="N778" s="18"/>
    </row>
    <row r="779" spans="1:14" x14ac:dyDescent="0.25">
      <c r="A779" t="s">
        <v>2235</v>
      </c>
      <c r="B779" t="s">
        <v>66</v>
      </c>
      <c r="C779" t="s">
        <v>50</v>
      </c>
      <c r="D779" t="s">
        <v>27</v>
      </c>
      <c r="E779" t="s">
        <v>33</v>
      </c>
      <c r="F779">
        <v>43</v>
      </c>
      <c r="G779" t="s">
        <v>121</v>
      </c>
      <c r="H779" s="18">
        <v>41680</v>
      </c>
      <c r="I779">
        <v>58875</v>
      </c>
      <c r="J779">
        <v>0</v>
      </c>
      <c r="K779">
        <v>0</v>
      </c>
      <c r="L779" t="s">
        <v>34</v>
      </c>
      <c r="M779" t="s">
        <v>68</v>
      </c>
      <c r="N779" s="18"/>
    </row>
    <row r="780" spans="1:14" x14ac:dyDescent="0.25">
      <c r="A780" t="s">
        <v>2236</v>
      </c>
      <c r="B780" t="s">
        <v>44</v>
      </c>
      <c r="C780" t="s">
        <v>45</v>
      </c>
      <c r="D780" t="s">
        <v>32</v>
      </c>
      <c r="E780" t="s">
        <v>28</v>
      </c>
      <c r="F780">
        <v>37</v>
      </c>
      <c r="G780" t="s">
        <v>121</v>
      </c>
      <c r="H780" s="18">
        <v>42318</v>
      </c>
      <c r="I780">
        <v>64204</v>
      </c>
      <c r="J780">
        <v>0</v>
      </c>
      <c r="K780">
        <v>0</v>
      </c>
      <c r="L780" t="s">
        <v>29</v>
      </c>
      <c r="M780" t="s">
        <v>58</v>
      </c>
      <c r="N780" s="18">
        <v>44306</v>
      </c>
    </row>
    <row r="781" spans="1:14" x14ac:dyDescent="0.25">
      <c r="A781" t="s">
        <v>2237</v>
      </c>
      <c r="B781" t="s">
        <v>66</v>
      </c>
      <c r="C781" t="s">
        <v>45</v>
      </c>
      <c r="D781" t="s">
        <v>46</v>
      </c>
      <c r="E781" t="s">
        <v>28</v>
      </c>
      <c r="F781">
        <v>42</v>
      </c>
      <c r="G781" t="s">
        <v>121</v>
      </c>
      <c r="H781" s="18">
        <v>40307</v>
      </c>
      <c r="I781">
        <v>67743</v>
      </c>
      <c r="J781">
        <v>0</v>
      </c>
      <c r="K781">
        <v>0</v>
      </c>
      <c r="L781" t="s">
        <v>34</v>
      </c>
      <c r="M781" t="s">
        <v>64</v>
      </c>
      <c r="N781" s="18">
        <v>41998</v>
      </c>
    </row>
    <row r="782" spans="1:14" x14ac:dyDescent="0.25">
      <c r="A782" t="s">
        <v>2238</v>
      </c>
      <c r="B782" t="s">
        <v>81</v>
      </c>
      <c r="C782" t="s">
        <v>45</v>
      </c>
      <c r="D782" t="s">
        <v>39</v>
      </c>
      <c r="E782" t="s">
        <v>28</v>
      </c>
      <c r="F782">
        <v>60</v>
      </c>
      <c r="G782" t="s">
        <v>118</v>
      </c>
      <c r="H782" s="18">
        <v>35641</v>
      </c>
      <c r="I782">
        <v>71677</v>
      </c>
      <c r="J782">
        <v>0</v>
      </c>
      <c r="K782">
        <v>0</v>
      </c>
      <c r="L782" t="s">
        <v>29</v>
      </c>
      <c r="M782" t="s">
        <v>58</v>
      </c>
      <c r="N782" s="18"/>
    </row>
    <row r="783" spans="1:14" x14ac:dyDescent="0.25">
      <c r="A783" t="s">
        <v>2239</v>
      </c>
      <c r="B783" t="s">
        <v>65</v>
      </c>
      <c r="C783" t="s">
        <v>26</v>
      </c>
      <c r="D783" t="s">
        <v>39</v>
      </c>
      <c r="E783" t="s">
        <v>33</v>
      </c>
      <c r="F783">
        <v>61</v>
      </c>
      <c r="G783" t="s">
        <v>118</v>
      </c>
      <c r="H783" s="18">
        <v>36793</v>
      </c>
      <c r="I783">
        <v>40063</v>
      </c>
      <c r="J783">
        <v>0</v>
      </c>
      <c r="K783">
        <v>0</v>
      </c>
      <c r="L783" t="s">
        <v>29</v>
      </c>
      <c r="M783" t="s">
        <v>49</v>
      </c>
      <c r="N783" s="18"/>
    </row>
    <row r="784" spans="1:14" x14ac:dyDescent="0.25">
      <c r="A784" t="s">
        <v>2240</v>
      </c>
      <c r="B784" t="s">
        <v>65</v>
      </c>
      <c r="C784" t="s">
        <v>26</v>
      </c>
      <c r="D784" t="s">
        <v>32</v>
      </c>
      <c r="E784" t="s">
        <v>28</v>
      </c>
      <c r="F784">
        <v>55</v>
      </c>
      <c r="G784" t="s">
        <v>118</v>
      </c>
      <c r="H784" s="18">
        <v>38107</v>
      </c>
      <c r="I784">
        <v>40124</v>
      </c>
      <c r="J784">
        <v>0</v>
      </c>
      <c r="K784">
        <v>0</v>
      </c>
      <c r="L784" t="s">
        <v>29</v>
      </c>
      <c r="M784" t="s">
        <v>51</v>
      </c>
      <c r="N784" s="18"/>
    </row>
    <row r="785" spans="1:14" x14ac:dyDescent="0.25">
      <c r="A785" t="s">
        <v>2241</v>
      </c>
      <c r="B785" t="s">
        <v>72</v>
      </c>
      <c r="C785" t="s">
        <v>54</v>
      </c>
      <c r="D785" t="s">
        <v>32</v>
      </c>
      <c r="E785" t="s">
        <v>33</v>
      </c>
      <c r="F785">
        <v>57</v>
      </c>
      <c r="G785" t="s">
        <v>118</v>
      </c>
      <c r="H785" s="18">
        <v>43157</v>
      </c>
      <c r="I785">
        <v>103183</v>
      </c>
      <c r="J785">
        <v>0</v>
      </c>
      <c r="K785">
        <v>0</v>
      </c>
      <c r="L785" t="s">
        <v>29</v>
      </c>
      <c r="M785" t="s">
        <v>51</v>
      </c>
      <c r="N785" s="18">
        <v>44386</v>
      </c>
    </row>
    <row r="786" spans="1:14" x14ac:dyDescent="0.25">
      <c r="A786" t="s">
        <v>2242</v>
      </c>
      <c r="B786" t="s">
        <v>82</v>
      </c>
      <c r="C786" t="s">
        <v>26</v>
      </c>
      <c r="D786" t="s">
        <v>46</v>
      </c>
      <c r="E786" t="s">
        <v>33</v>
      </c>
      <c r="F786">
        <v>54</v>
      </c>
      <c r="G786" t="s">
        <v>119</v>
      </c>
      <c r="H786" s="18">
        <v>35961</v>
      </c>
      <c r="I786">
        <v>95239</v>
      </c>
      <c r="J786">
        <v>0</v>
      </c>
      <c r="K786">
        <v>0</v>
      </c>
      <c r="L786" t="s">
        <v>29</v>
      </c>
      <c r="M786" t="s">
        <v>43</v>
      </c>
      <c r="N786" s="18"/>
    </row>
    <row r="787" spans="1:14" x14ac:dyDescent="0.25">
      <c r="A787" t="s">
        <v>2243</v>
      </c>
      <c r="B787" t="s">
        <v>80</v>
      </c>
      <c r="C787" t="s">
        <v>54</v>
      </c>
      <c r="D787" t="s">
        <v>32</v>
      </c>
      <c r="E787" t="s">
        <v>28</v>
      </c>
      <c r="F787">
        <v>29</v>
      </c>
      <c r="G787" t="s">
        <v>120</v>
      </c>
      <c r="H787" s="18">
        <v>43778</v>
      </c>
      <c r="I787">
        <v>75012</v>
      </c>
      <c r="J787">
        <v>0</v>
      </c>
      <c r="K787">
        <v>0</v>
      </c>
      <c r="L787" t="s">
        <v>29</v>
      </c>
      <c r="M787" t="s">
        <v>40</v>
      </c>
      <c r="N787" s="18"/>
    </row>
    <row r="788" spans="1:14" x14ac:dyDescent="0.25">
      <c r="A788" t="s">
        <v>2244</v>
      </c>
      <c r="B788" t="s">
        <v>78</v>
      </c>
      <c r="C788" t="s">
        <v>26</v>
      </c>
      <c r="D788" t="s">
        <v>32</v>
      </c>
      <c r="E788" t="s">
        <v>28</v>
      </c>
      <c r="F788">
        <v>33</v>
      </c>
      <c r="G788" t="s">
        <v>120</v>
      </c>
      <c r="H788" s="18">
        <v>41819</v>
      </c>
      <c r="I788">
        <v>96366</v>
      </c>
      <c r="J788">
        <v>0</v>
      </c>
      <c r="K788">
        <v>0</v>
      </c>
      <c r="L788" t="s">
        <v>34</v>
      </c>
      <c r="M788" t="s">
        <v>68</v>
      </c>
      <c r="N788" s="18"/>
    </row>
    <row r="789" spans="1:14" x14ac:dyDescent="0.25">
      <c r="A789" t="s">
        <v>2245</v>
      </c>
      <c r="B789" t="s">
        <v>48</v>
      </c>
      <c r="C789" t="s">
        <v>57</v>
      </c>
      <c r="D789" t="s">
        <v>46</v>
      </c>
      <c r="E789" t="s">
        <v>28</v>
      </c>
      <c r="F789">
        <v>39</v>
      </c>
      <c r="G789" t="s">
        <v>121</v>
      </c>
      <c r="H789" s="18">
        <v>41849</v>
      </c>
      <c r="I789">
        <v>40897</v>
      </c>
      <c r="J789">
        <v>0</v>
      </c>
      <c r="K789">
        <v>0</v>
      </c>
      <c r="L789" t="s">
        <v>29</v>
      </c>
      <c r="M789" t="s">
        <v>30</v>
      </c>
      <c r="N789" s="18"/>
    </row>
    <row r="790" spans="1:14" x14ac:dyDescent="0.25">
      <c r="A790" t="s">
        <v>2246</v>
      </c>
      <c r="B790" t="s">
        <v>47</v>
      </c>
      <c r="C790" t="s">
        <v>38</v>
      </c>
      <c r="D790" t="s">
        <v>27</v>
      </c>
      <c r="E790" t="s">
        <v>28</v>
      </c>
      <c r="F790">
        <v>37</v>
      </c>
      <c r="G790" t="s">
        <v>121</v>
      </c>
      <c r="H790" s="18">
        <v>42605</v>
      </c>
      <c r="I790">
        <v>124928</v>
      </c>
      <c r="J790">
        <v>0.06</v>
      </c>
      <c r="K790">
        <v>7495.6799999999994</v>
      </c>
      <c r="L790" t="s">
        <v>34</v>
      </c>
      <c r="M790" t="s">
        <v>35</v>
      </c>
      <c r="N790" s="18"/>
    </row>
    <row r="791" spans="1:14" x14ac:dyDescent="0.25">
      <c r="A791" t="s">
        <v>2247</v>
      </c>
      <c r="B791" t="s">
        <v>47</v>
      </c>
      <c r="C791" t="s">
        <v>38</v>
      </c>
      <c r="D791" t="s">
        <v>39</v>
      </c>
      <c r="E791" t="s">
        <v>28</v>
      </c>
      <c r="F791">
        <v>51</v>
      </c>
      <c r="G791" t="s">
        <v>119</v>
      </c>
      <c r="H791" s="18">
        <v>41439</v>
      </c>
      <c r="I791">
        <v>108221</v>
      </c>
      <c r="J791">
        <v>0.05</v>
      </c>
      <c r="K791">
        <v>5411.05</v>
      </c>
      <c r="L791" t="s">
        <v>59</v>
      </c>
      <c r="M791" t="s">
        <v>60</v>
      </c>
      <c r="N791" s="18"/>
    </row>
    <row r="792" spans="1:14" x14ac:dyDescent="0.25">
      <c r="A792" t="s">
        <v>2248</v>
      </c>
      <c r="B792" t="s">
        <v>69</v>
      </c>
      <c r="C792" t="s">
        <v>52</v>
      </c>
      <c r="D792" t="s">
        <v>46</v>
      </c>
      <c r="E792" t="s">
        <v>33</v>
      </c>
      <c r="F792">
        <v>46</v>
      </c>
      <c r="G792" t="s">
        <v>119</v>
      </c>
      <c r="H792" s="18">
        <v>39133</v>
      </c>
      <c r="I792">
        <v>75579</v>
      </c>
      <c r="J792">
        <v>0</v>
      </c>
      <c r="K792">
        <v>0</v>
      </c>
      <c r="L792" t="s">
        <v>29</v>
      </c>
      <c r="M792" t="s">
        <v>30</v>
      </c>
      <c r="N792" s="18"/>
    </row>
    <row r="793" spans="1:14" x14ac:dyDescent="0.25">
      <c r="A793" t="s">
        <v>2249</v>
      </c>
      <c r="B793" t="s">
        <v>25</v>
      </c>
      <c r="C793" t="s">
        <v>52</v>
      </c>
      <c r="D793" t="s">
        <v>32</v>
      </c>
      <c r="E793" t="s">
        <v>33</v>
      </c>
      <c r="F793">
        <v>41</v>
      </c>
      <c r="G793" t="s">
        <v>121</v>
      </c>
      <c r="H793" s="18">
        <v>42365</v>
      </c>
      <c r="I793">
        <v>129903</v>
      </c>
      <c r="J793">
        <v>0.13</v>
      </c>
      <c r="K793">
        <v>16887.39</v>
      </c>
      <c r="L793" t="s">
        <v>59</v>
      </c>
      <c r="M793" t="s">
        <v>76</v>
      </c>
      <c r="N793" s="18"/>
    </row>
    <row r="794" spans="1:14" x14ac:dyDescent="0.25">
      <c r="A794" t="s">
        <v>2250</v>
      </c>
      <c r="B794" t="s">
        <v>37</v>
      </c>
      <c r="C794" t="s">
        <v>38</v>
      </c>
      <c r="D794" t="s">
        <v>27</v>
      </c>
      <c r="E794" t="s">
        <v>28</v>
      </c>
      <c r="F794">
        <v>25</v>
      </c>
      <c r="G794" t="s">
        <v>120</v>
      </c>
      <c r="H794" s="18">
        <v>44303</v>
      </c>
      <c r="I794">
        <v>186870</v>
      </c>
      <c r="J794">
        <v>0.2</v>
      </c>
      <c r="K794">
        <v>37374</v>
      </c>
      <c r="L794" t="s">
        <v>34</v>
      </c>
      <c r="M794" t="s">
        <v>55</v>
      </c>
      <c r="N794" s="18"/>
    </row>
    <row r="795" spans="1:14" x14ac:dyDescent="0.25">
      <c r="A795" t="s">
        <v>2251</v>
      </c>
      <c r="B795" t="s">
        <v>66</v>
      </c>
      <c r="C795" t="s">
        <v>45</v>
      </c>
      <c r="D795" t="s">
        <v>27</v>
      </c>
      <c r="E795" t="s">
        <v>33</v>
      </c>
      <c r="F795">
        <v>37</v>
      </c>
      <c r="G795" t="s">
        <v>121</v>
      </c>
      <c r="H795" s="18">
        <v>40291</v>
      </c>
      <c r="I795">
        <v>57531</v>
      </c>
      <c r="J795">
        <v>0</v>
      </c>
      <c r="K795">
        <v>0</v>
      </c>
      <c r="L795" t="s">
        <v>29</v>
      </c>
      <c r="M795" t="s">
        <v>40</v>
      </c>
      <c r="N795" s="18"/>
    </row>
    <row r="796" spans="1:14" x14ac:dyDescent="0.25">
      <c r="A796" t="s">
        <v>2252</v>
      </c>
      <c r="B796" t="s">
        <v>48</v>
      </c>
      <c r="C796" t="s">
        <v>38</v>
      </c>
      <c r="D796" t="s">
        <v>27</v>
      </c>
      <c r="E796" t="s">
        <v>33</v>
      </c>
      <c r="F796">
        <v>46</v>
      </c>
      <c r="G796" t="s">
        <v>119</v>
      </c>
      <c r="H796" s="18">
        <v>40657</v>
      </c>
      <c r="I796">
        <v>55894</v>
      </c>
      <c r="J796">
        <v>0</v>
      </c>
      <c r="K796">
        <v>0</v>
      </c>
      <c r="L796" t="s">
        <v>29</v>
      </c>
      <c r="M796" t="s">
        <v>30</v>
      </c>
      <c r="N796" s="18"/>
    </row>
    <row r="797" spans="1:14" x14ac:dyDescent="0.25">
      <c r="A797" t="s">
        <v>2253</v>
      </c>
      <c r="B797" t="s">
        <v>71</v>
      </c>
      <c r="C797" t="s">
        <v>54</v>
      </c>
      <c r="D797" t="s">
        <v>32</v>
      </c>
      <c r="E797" t="s">
        <v>28</v>
      </c>
      <c r="F797">
        <v>42</v>
      </c>
      <c r="G797" t="s">
        <v>121</v>
      </c>
      <c r="H797" s="18">
        <v>41026</v>
      </c>
      <c r="I797">
        <v>72903</v>
      </c>
      <c r="J797">
        <v>0</v>
      </c>
      <c r="K797">
        <v>0</v>
      </c>
      <c r="L797" t="s">
        <v>29</v>
      </c>
      <c r="M797" t="s">
        <v>43</v>
      </c>
      <c r="N797" s="18"/>
    </row>
    <row r="798" spans="1:14" x14ac:dyDescent="0.25">
      <c r="A798" t="s">
        <v>2254</v>
      </c>
      <c r="B798" t="s">
        <v>48</v>
      </c>
      <c r="C798" t="s">
        <v>38</v>
      </c>
      <c r="D798" t="s">
        <v>46</v>
      </c>
      <c r="E798" t="s">
        <v>33</v>
      </c>
      <c r="F798">
        <v>37</v>
      </c>
      <c r="G798" t="s">
        <v>121</v>
      </c>
      <c r="H798" s="18">
        <v>42317</v>
      </c>
      <c r="I798">
        <v>45369</v>
      </c>
      <c r="J798">
        <v>0</v>
      </c>
      <c r="K798">
        <v>0</v>
      </c>
      <c r="L798" t="s">
        <v>34</v>
      </c>
      <c r="M798" t="s">
        <v>64</v>
      </c>
      <c r="N798" s="18"/>
    </row>
    <row r="799" spans="1:14" x14ac:dyDescent="0.25">
      <c r="A799" t="s">
        <v>2255</v>
      </c>
      <c r="B799" t="s">
        <v>47</v>
      </c>
      <c r="C799" t="s">
        <v>38</v>
      </c>
      <c r="D799" t="s">
        <v>39</v>
      </c>
      <c r="E799" t="s">
        <v>33</v>
      </c>
      <c r="F799">
        <v>60</v>
      </c>
      <c r="G799" t="s">
        <v>118</v>
      </c>
      <c r="H799" s="18">
        <v>40344</v>
      </c>
      <c r="I799">
        <v>106578</v>
      </c>
      <c r="J799">
        <v>0.09</v>
      </c>
      <c r="K799">
        <v>9592.02</v>
      </c>
      <c r="L799" t="s">
        <v>29</v>
      </c>
      <c r="M799" t="s">
        <v>49</v>
      </c>
      <c r="N799" s="18"/>
    </row>
    <row r="800" spans="1:14" x14ac:dyDescent="0.25">
      <c r="A800" t="s">
        <v>2256</v>
      </c>
      <c r="B800" t="s">
        <v>69</v>
      </c>
      <c r="C800" t="s">
        <v>52</v>
      </c>
      <c r="D800" t="s">
        <v>27</v>
      </c>
      <c r="E800" t="s">
        <v>28</v>
      </c>
      <c r="F800">
        <v>52</v>
      </c>
      <c r="G800" t="s">
        <v>119</v>
      </c>
      <c r="H800" s="18">
        <v>36416</v>
      </c>
      <c r="I800">
        <v>92994</v>
      </c>
      <c r="J800">
        <v>0</v>
      </c>
      <c r="K800">
        <v>0</v>
      </c>
      <c r="L800" t="s">
        <v>29</v>
      </c>
      <c r="M800" t="s">
        <v>40</v>
      </c>
      <c r="N800" s="18"/>
    </row>
    <row r="801" spans="1:14" x14ac:dyDescent="0.25">
      <c r="A801" t="s">
        <v>2257</v>
      </c>
      <c r="B801" t="s">
        <v>42</v>
      </c>
      <c r="C801" t="s">
        <v>45</v>
      </c>
      <c r="D801" t="s">
        <v>39</v>
      </c>
      <c r="E801" t="s">
        <v>33</v>
      </c>
      <c r="F801">
        <v>59</v>
      </c>
      <c r="G801" t="s">
        <v>118</v>
      </c>
      <c r="H801" s="18">
        <v>35502</v>
      </c>
      <c r="I801">
        <v>83685</v>
      </c>
      <c r="J801">
        <v>0</v>
      </c>
      <c r="K801">
        <v>0</v>
      </c>
      <c r="L801" t="s">
        <v>34</v>
      </c>
      <c r="M801" t="s">
        <v>64</v>
      </c>
      <c r="N801" s="18"/>
    </row>
    <row r="802" spans="1:14" x14ac:dyDescent="0.25">
      <c r="A802" t="s">
        <v>2258</v>
      </c>
      <c r="B802" t="s">
        <v>75</v>
      </c>
      <c r="C802" t="s">
        <v>26</v>
      </c>
      <c r="D802" t="s">
        <v>27</v>
      </c>
      <c r="E802" t="s">
        <v>33</v>
      </c>
      <c r="F802">
        <v>48</v>
      </c>
      <c r="G802" t="s">
        <v>119</v>
      </c>
      <c r="H802" s="18">
        <v>40435</v>
      </c>
      <c r="I802">
        <v>99335</v>
      </c>
      <c r="J802">
        <v>0</v>
      </c>
      <c r="K802">
        <v>0</v>
      </c>
      <c r="L802" t="s">
        <v>29</v>
      </c>
      <c r="M802" t="s">
        <v>43</v>
      </c>
      <c r="N802" s="18"/>
    </row>
    <row r="803" spans="1:14" x14ac:dyDescent="0.25">
      <c r="A803" t="s">
        <v>2259</v>
      </c>
      <c r="B803" t="s">
        <v>25</v>
      </c>
      <c r="C803" t="s">
        <v>52</v>
      </c>
      <c r="D803" t="s">
        <v>32</v>
      </c>
      <c r="E803" t="s">
        <v>33</v>
      </c>
      <c r="F803">
        <v>42</v>
      </c>
      <c r="G803" t="s">
        <v>121</v>
      </c>
      <c r="H803" s="18">
        <v>41382</v>
      </c>
      <c r="I803">
        <v>131179</v>
      </c>
      <c r="J803">
        <v>0.15</v>
      </c>
      <c r="K803">
        <v>19676.849999999999</v>
      </c>
      <c r="L803" t="s">
        <v>29</v>
      </c>
      <c r="M803" t="s">
        <v>58</v>
      </c>
      <c r="N803" s="18"/>
    </row>
    <row r="804" spans="1:14" x14ac:dyDescent="0.25">
      <c r="A804" t="s">
        <v>2260</v>
      </c>
      <c r="B804" t="s">
        <v>41</v>
      </c>
      <c r="C804" t="s">
        <v>26</v>
      </c>
      <c r="D804" t="s">
        <v>39</v>
      </c>
      <c r="E804" t="s">
        <v>33</v>
      </c>
      <c r="F804">
        <v>35</v>
      </c>
      <c r="G804" t="s">
        <v>121</v>
      </c>
      <c r="H804" s="18">
        <v>42493</v>
      </c>
      <c r="I804">
        <v>73899</v>
      </c>
      <c r="J804">
        <v>0.05</v>
      </c>
      <c r="K804">
        <v>3694.9500000000003</v>
      </c>
      <c r="L804" t="s">
        <v>34</v>
      </c>
      <c r="M804" t="s">
        <v>68</v>
      </c>
      <c r="N804" s="18"/>
    </row>
    <row r="805" spans="1:14" x14ac:dyDescent="0.25">
      <c r="A805" t="s">
        <v>2261</v>
      </c>
      <c r="B805" t="s">
        <v>56</v>
      </c>
      <c r="C805" t="s">
        <v>50</v>
      </c>
      <c r="D805" t="s">
        <v>32</v>
      </c>
      <c r="E805" t="s">
        <v>33</v>
      </c>
      <c r="F805">
        <v>64</v>
      </c>
      <c r="G805" t="s">
        <v>118</v>
      </c>
      <c r="H805" s="18">
        <v>41362</v>
      </c>
      <c r="I805">
        <v>252325</v>
      </c>
      <c r="J805">
        <v>0.4</v>
      </c>
      <c r="K805">
        <v>100930</v>
      </c>
      <c r="L805" t="s">
        <v>29</v>
      </c>
      <c r="M805" t="s">
        <v>58</v>
      </c>
      <c r="N805" s="18"/>
    </row>
    <row r="806" spans="1:14" x14ac:dyDescent="0.25">
      <c r="A806" t="s">
        <v>2262</v>
      </c>
      <c r="B806" t="s">
        <v>66</v>
      </c>
      <c r="C806" t="s">
        <v>38</v>
      </c>
      <c r="D806" t="s">
        <v>27</v>
      </c>
      <c r="E806" t="s">
        <v>28</v>
      </c>
      <c r="F806">
        <v>30</v>
      </c>
      <c r="G806" t="s">
        <v>120</v>
      </c>
      <c r="H806" s="18">
        <v>42068</v>
      </c>
      <c r="I806">
        <v>52697</v>
      </c>
      <c r="J806">
        <v>0</v>
      </c>
      <c r="K806">
        <v>0</v>
      </c>
      <c r="L806" t="s">
        <v>29</v>
      </c>
      <c r="M806" t="s">
        <v>30</v>
      </c>
      <c r="N806" s="18"/>
    </row>
    <row r="807" spans="1:14" x14ac:dyDescent="0.25">
      <c r="A807" t="s">
        <v>2263</v>
      </c>
      <c r="B807" t="s">
        <v>73</v>
      </c>
      <c r="C807" t="s">
        <v>54</v>
      </c>
      <c r="D807" t="s">
        <v>39</v>
      </c>
      <c r="E807" t="s">
        <v>28</v>
      </c>
      <c r="F807">
        <v>29</v>
      </c>
      <c r="G807" t="s">
        <v>120</v>
      </c>
      <c r="H807" s="18">
        <v>44099</v>
      </c>
      <c r="I807">
        <v>123588</v>
      </c>
      <c r="J807">
        <v>0</v>
      </c>
      <c r="K807">
        <v>0</v>
      </c>
      <c r="L807" t="s">
        <v>59</v>
      </c>
      <c r="M807" t="s">
        <v>76</v>
      </c>
      <c r="N807" s="18"/>
    </row>
    <row r="808" spans="1:14" x14ac:dyDescent="0.25">
      <c r="A808" t="s">
        <v>2264</v>
      </c>
      <c r="B808" t="s">
        <v>56</v>
      </c>
      <c r="C808" t="s">
        <v>50</v>
      </c>
      <c r="D808" t="s">
        <v>46</v>
      </c>
      <c r="E808" t="s">
        <v>28</v>
      </c>
      <c r="F808">
        <v>47</v>
      </c>
      <c r="G808" t="s">
        <v>119</v>
      </c>
      <c r="H808" s="18">
        <v>44556</v>
      </c>
      <c r="I808">
        <v>243568</v>
      </c>
      <c r="J808">
        <v>0.33</v>
      </c>
      <c r="K808">
        <v>80377.440000000002</v>
      </c>
      <c r="L808" t="s">
        <v>29</v>
      </c>
      <c r="M808" t="s">
        <v>51</v>
      </c>
      <c r="N808" s="18"/>
    </row>
    <row r="809" spans="1:14" x14ac:dyDescent="0.25">
      <c r="A809" t="s">
        <v>2265</v>
      </c>
      <c r="B809" t="s">
        <v>37</v>
      </c>
      <c r="C809" t="s">
        <v>45</v>
      </c>
      <c r="D809" t="s">
        <v>27</v>
      </c>
      <c r="E809" t="s">
        <v>33</v>
      </c>
      <c r="F809">
        <v>49</v>
      </c>
      <c r="G809" t="s">
        <v>119</v>
      </c>
      <c r="H809" s="18">
        <v>37092</v>
      </c>
      <c r="I809">
        <v>199176</v>
      </c>
      <c r="J809">
        <v>0.24</v>
      </c>
      <c r="K809">
        <v>47802.239999999998</v>
      </c>
      <c r="L809" t="s">
        <v>29</v>
      </c>
      <c r="M809" t="s">
        <v>43</v>
      </c>
      <c r="N809" s="18"/>
    </row>
    <row r="810" spans="1:14" x14ac:dyDescent="0.25">
      <c r="A810" t="s">
        <v>2266</v>
      </c>
      <c r="B810" t="s">
        <v>31</v>
      </c>
      <c r="C810" t="s">
        <v>26</v>
      </c>
      <c r="D810" t="s">
        <v>39</v>
      </c>
      <c r="E810" t="s">
        <v>28</v>
      </c>
      <c r="F810">
        <v>56</v>
      </c>
      <c r="G810" t="s">
        <v>118</v>
      </c>
      <c r="H810" s="18">
        <v>35238</v>
      </c>
      <c r="I810">
        <v>82806</v>
      </c>
      <c r="J810">
        <v>0</v>
      </c>
      <c r="K810">
        <v>0</v>
      </c>
      <c r="L810" t="s">
        <v>29</v>
      </c>
      <c r="M810" t="s">
        <v>30</v>
      </c>
      <c r="N810" s="18"/>
    </row>
    <row r="811" spans="1:14" x14ac:dyDescent="0.25">
      <c r="A811" t="s">
        <v>2267</v>
      </c>
      <c r="B811" t="s">
        <v>37</v>
      </c>
      <c r="C811" t="s">
        <v>57</v>
      </c>
      <c r="D811" t="s">
        <v>39</v>
      </c>
      <c r="E811" t="s">
        <v>28</v>
      </c>
      <c r="F811">
        <v>53</v>
      </c>
      <c r="G811" t="s">
        <v>119</v>
      </c>
      <c r="H811" s="18">
        <v>35601</v>
      </c>
      <c r="I811">
        <v>164399</v>
      </c>
      <c r="J811">
        <v>0.25</v>
      </c>
      <c r="K811">
        <v>41099.75</v>
      </c>
      <c r="L811" t="s">
        <v>29</v>
      </c>
      <c r="M811" t="s">
        <v>30</v>
      </c>
      <c r="N811" s="18"/>
    </row>
    <row r="812" spans="1:14" x14ac:dyDescent="0.25">
      <c r="A812" t="s">
        <v>2268</v>
      </c>
      <c r="B812" t="s">
        <v>25</v>
      </c>
      <c r="C812" t="s">
        <v>52</v>
      </c>
      <c r="D812" t="s">
        <v>32</v>
      </c>
      <c r="E812" t="s">
        <v>28</v>
      </c>
      <c r="F812">
        <v>32</v>
      </c>
      <c r="G812" t="s">
        <v>120</v>
      </c>
      <c r="H812" s="18">
        <v>42839</v>
      </c>
      <c r="I812">
        <v>154956</v>
      </c>
      <c r="J812">
        <v>0.13</v>
      </c>
      <c r="K812">
        <v>20144.280000000002</v>
      </c>
      <c r="L812" t="s">
        <v>29</v>
      </c>
      <c r="M812" t="s">
        <v>43</v>
      </c>
      <c r="N812" s="18"/>
    </row>
    <row r="813" spans="1:14" x14ac:dyDescent="0.25">
      <c r="A813" t="s">
        <v>2269</v>
      </c>
      <c r="B813" t="s">
        <v>25</v>
      </c>
      <c r="C813" t="s">
        <v>57</v>
      </c>
      <c r="D813" t="s">
        <v>32</v>
      </c>
      <c r="E813" t="s">
        <v>33</v>
      </c>
      <c r="F813">
        <v>32</v>
      </c>
      <c r="G813" t="s">
        <v>120</v>
      </c>
      <c r="H813" s="18">
        <v>42764</v>
      </c>
      <c r="I813">
        <v>143970</v>
      </c>
      <c r="J813">
        <v>0.12</v>
      </c>
      <c r="K813">
        <v>17276.399999999998</v>
      </c>
      <c r="L813" t="s">
        <v>29</v>
      </c>
      <c r="M813" t="s">
        <v>30</v>
      </c>
      <c r="N813" s="18">
        <v>43078</v>
      </c>
    </row>
    <row r="814" spans="1:14" x14ac:dyDescent="0.25">
      <c r="A814" t="s">
        <v>2270</v>
      </c>
      <c r="B814" t="s">
        <v>37</v>
      </c>
      <c r="C814" t="s">
        <v>45</v>
      </c>
      <c r="D814" t="s">
        <v>46</v>
      </c>
      <c r="E814" t="s">
        <v>33</v>
      </c>
      <c r="F814">
        <v>52</v>
      </c>
      <c r="G814" t="s">
        <v>119</v>
      </c>
      <c r="H814" s="18">
        <v>44099</v>
      </c>
      <c r="I814">
        <v>163143</v>
      </c>
      <c r="J814">
        <v>0.28000000000000003</v>
      </c>
      <c r="K814">
        <v>45680.04</v>
      </c>
      <c r="L814" t="s">
        <v>59</v>
      </c>
      <c r="M814" t="s">
        <v>76</v>
      </c>
      <c r="N814" s="18"/>
    </row>
    <row r="815" spans="1:14" x14ac:dyDescent="0.25">
      <c r="A815" t="s">
        <v>2271</v>
      </c>
      <c r="B815" t="s">
        <v>42</v>
      </c>
      <c r="C815" t="s">
        <v>50</v>
      </c>
      <c r="D815" t="s">
        <v>39</v>
      </c>
      <c r="E815" t="s">
        <v>28</v>
      </c>
      <c r="F815">
        <v>38</v>
      </c>
      <c r="G815" t="s">
        <v>121</v>
      </c>
      <c r="H815" s="18">
        <v>44036</v>
      </c>
      <c r="I815">
        <v>89390</v>
      </c>
      <c r="J815">
        <v>0</v>
      </c>
      <c r="K815">
        <v>0</v>
      </c>
      <c r="L815" t="s">
        <v>29</v>
      </c>
      <c r="M815" t="s">
        <v>30</v>
      </c>
      <c r="N815" s="18"/>
    </row>
    <row r="816" spans="1:14" x14ac:dyDescent="0.25">
      <c r="A816" t="s">
        <v>2272</v>
      </c>
      <c r="B816" t="s">
        <v>78</v>
      </c>
      <c r="C816" t="s">
        <v>26</v>
      </c>
      <c r="D816" t="s">
        <v>32</v>
      </c>
      <c r="E816" t="s">
        <v>33</v>
      </c>
      <c r="F816">
        <v>41</v>
      </c>
      <c r="G816" t="s">
        <v>121</v>
      </c>
      <c r="H816" s="18">
        <v>43013</v>
      </c>
      <c r="I816">
        <v>67468</v>
      </c>
      <c r="J816">
        <v>0</v>
      </c>
      <c r="K816">
        <v>0</v>
      </c>
      <c r="L816" t="s">
        <v>29</v>
      </c>
      <c r="M816" t="s">
        <v>49</v>
      </c>
      <c r="N816" s="18"/>
    </row>
    <row r="817" spans="1:14" x14ac:dyDescent="0.25">
      <c r="A817" t="s">
        <v>2273</v>
      </c>
      <c r="B817" t="s">
        <v>63</v>
      </c>
      <c r="C817" t="s">
        <v>54</v>
      </c>
      <c r="D817" t="s">
        <v>32</v>
      </c>
      <c r="E817" t="s">
        <v>28</v>
      </c>
      <c r="F817">
        <v>49</v>
      </c>
      <c r="G817" t="s">
        <v>119</v>
      </c>
      <c r="H817" s="18">
        <v>42441</v>
      </c>
      <c r="I817">
        <v>100810</v>
      </c>
      <c r="J817">
        <v>0.12</v>
      </c>
      <c r="K817">
        <v>12097.199999999999</v>
      </c>
      <c r="L817" t="s">
        <v>59</v>
      </c>
      <c r="M817" t="s">
        <v>61</v>
      </c>
      <c r="N817" s="18"/>
    </row>
    <row r="818" spans="1:14" x14ac:dyDescent="0.25">
      <c r="A818" t="s">
        <v>2274</v>
      </c>
      <c r="B818" t="s">
        <v>42</v>
      </c>
      <c r="C818" t="s">
        <v>38</v>
      </c>
      <c r="D818" t="s">
        <v>32</v>
      </c>
      <c r="E818" t="s">
        <v>28</v>
      </c>
      <c r="F818">
        <v>35</v>
      </c>
      <c r="G818" t="s">
        <v>121</v>
      </c>
      <c r="H818" s="18">
        <v>43542</v>
      </c>
      <c r="I818">
        <v>74779</v>
      </c>
      <c r="J818">
        <v>0</v>
      </c>
      <c r="K818">
        <v>0</v>
      </c>
      <c r="L818" t="s">
        <v>29</v>
      </c>
      <c r="M818" t="s">
        <v>43</v>
      </c>
      <c r="N818" s="18"/>
    </row>
    <row r="819" spans="1:14" x14ac:dyDescent="0.25">
      <c r="A819" t="s">
        <v>2275</v>
      </c>
      <c r="B819" t="s">
        <v>79</v>
      </c>
      <c r="C819" t="s">
        <v>26</v>
      </c>
      <c r="D819" t="s">
        <v>46</v>
      </c>
      <c r="E819" t="s">
        <v>28</v>
      </c>
      <c r="F819">
        <v>29</v>
      </c>
      <c r="G819" t="s">
        <v>120</v>
      </c>
      <c r="H819" s="18">
        <v>43048</v>
      </c>
      <c r="I819">
        <v>63985</v>
      </c>
      <c r="J819">
        <v>0</v>
      </c>
      <c r="K819">
        <v>0</v>
      </c>
      <c r="L819" t="s">
        <v>29</v>
      </c>
      <c r="M819" t="s">
        <v>49</v>
      </c>
      <c r="N819" s="18"/>
    </row>
    <row r="820" spans="1:14" x14ac:dyDescent="0.25">
      <c r="A820" t="s">
        <v>2276</v>
      </c>
      <c r="B820" t="s">
        <v>84</v>
      </c>
      <c r="C820" t="s">
        <v>26</v>
      </c>
      <c r="D820" t="s">
        <v>32</v>
      </c>
      <c r="E820" t="s">
        <v>28</v>
      </c>
      <c r="F820">
        <v>64</v>
      </c>
      <c r="G820" t="s">
        <v>118</v>
      </c>
      <c r="H820" s="18">
        <v>38176</v>
      </c>
      <c r="I820">
        <v>77903</v>
      </c>
      <c r="J820">
        <v>0</v>
      </c>
      <c r="K820">
        <v>0</v>
      </c>
      <c r="L820" t="s">
        <v>29</v>
      </c>
      <c r="M820" t="s">
        <v>30</v>
      </c>
      <c r="N820" s="18"/>
    </row>
    <row r="821" spans="1:14" x14ac:dyDescent="0.25">
      <c r="A821" t="s">
        <v>2277</v>
      </c>
      <c r="B821" t="s">
        <v>37</v>
      </c>
      <c r="C821" t="s">
        <v>57</v>
      </c>
      <c r="D821" t="s">
        <v>46</v>
      </c>
      <c r="E821" t="s">
        <v>33</v>
      </c>
      <c r="F821">
        <v>33</v>
      </c>
      <c r="G821" t="s">
        <v>120</v>
      </c>
      <c r="H821" s="18">
        <v>42898</v>
      </c>
      <c r="I821">
        <v>164396</v>
      </c>
      <c r="J821">
        <v>0.28999999999999998</v>
      </c>
      <c r="K821">
        <v>47674.84</v>
      </c>
      <c r="L821" t="s">
        <v>29</v>
      </c>
      <c r="M821" t="s">
        <v>58</v>
      </c>
      <c r="N821" s="18"/>
    </row>
    <row r="822" spans="1:14" x14ac:dyDescent="0.25">
      <c r="A822" t="s">
        <v>2278</v>
      </c>
      <c r="B822" t="s">
        <v>85</v>
      </c>
      <c r="C822" t="s">
        <v>26</v>
      </c>
      <c r="D822" t="s">
        <v>46</v>
      </c>
      <c r="E822" t="s">
        <v>33</v>
      </c>
      <c r="F822">
        <v>29</v>
      </c>
      <c r="G822" t="s">
        <v>120</v>
      </c>
      <c r="H822" s="18">
        <v>44375</v>
      </c>
      <c r="I822">
        <v>71234</v>
      </c>
      <c r="J822">
        <v>0</v>
      </c>
      <c r="K822">
        <v>0</v>
      </c>
      <c r="L822" t="s">
        <v>29</v>
      </c>
      <c r="M822" t="s">
        <v>30</v>
      </c>
      <c r="N822" s="18"/>
    </row>
    <row r="823" spans="1:14" x14ac:dyDescent="0.25">
      <c r="A823" t="s">
        <v>2279</v>
      </c>
      <c r="B823" t="s">
        <v>47</v>
      </c>
      <c r="C823" t="s">
        <v>38</v>
      </c>
      <c r="D823" t="s">
        <v>46</v>
      </c>
      <c r="E823" t="s">
        <v>33</v>
      </c>
      <c r="F823">
        <v>63</v>
      </c>
      <c r="G823" t="s">
        <v>118</v>
      </c>
      <c r="H823" s="18">
        <v>38096</v>
      </c>
      <c r="I823">
        <v>122487</v>
      </c>
      <c r="J823">
        <v>0.08</v>
      </c>
      <c r="K823">
        <v>9798.9600000000009</v>
      </c>
      <c r="L823" t="s">
        <v>34</v>
      </c>
      <c r="M823" t="s">
        <v>55</v>
      </c>
      <c r="N823" s="18"/>
    </row>
    <row r="824" spans="1:14" x14ac:dyDescent="0.25">
      <c r="A824" t="s">
        <v>2280</v>
      </c>
      <c r="B824" t="s">
        <v>47</v>
      </c>
      <c r="C824" t="s">
        <v>52</v>
      </c>
      <c r="D824" t="s">
        <v>39</v>
      </c>
      <c r="E824" t="s">
        <v>28</v>
      </c>
      <c r="F824">
        <v>32</v>
      </c>
      <c r="G824" t="s">
        <v>120</v>
      </c>
      <c r="H824" s="18">
        <v>42738</v>
      </c>
      <c r="I824">
        <v>101870</v>
      </c>
      <c r="J824">
        <v>0.1</v>
      </c>
      <c r="K824">
        <v>10187</v>
      </c>
      <c r="L824" t="s">
        <v>29</v>
      </c>
      <c r="M824" t="s">
        <v>43</v>
      </c>
      <c r="N824" s="18"/>
    </row>
    <row r="825" spans="1:14" x14ac:dyDescent="0.25">
      <c r="A825" t="s">
        <v>2281</v>
      </c>
      <c r="B825" t="s">
        <v>83</v>
      </c>
      <c r="C825" t="s">
        <v>26</v>
      </c>
      <c r="D825" t="s">
        <v>27</v>
      </c>
      <c r="E825" t="s">
        <v>33</v>
      </c>
      <c r="F825">
        <v>64</v>
      </c>
      <c r="G825" t="s">
        <v>118</v>
      </c>
      <c r="H825" s="18">
        <v>44009</v>
      </c>
      <c r="I825">
        <v>40316</v>
      </c>
      <c r="J825">
        <v>0</v>
      </c>
      <c r="K825">
        <v>0</v>
      </c>
      <c r="L825" t="s">
        <v>59</v>
      </c>
      <c r="M825" t="s">
        <v>60</v>
      </c>
      <c r="N825" s="18"/>
    </row>
    <row r="826" spans="1:14" x14ac:dyDescent="0.25">
      <c r="A826" t="s">
        <v>2282</v>
      </c>
      <c r="B826" t="s">
        <v>47</v>
      </c>
      <c r="C826" t="s">
        <v>26</v>
      </c>
      <c r="D826" t="s">
        <v>27</v>
      </c>
      <c r="E826" t="s">
        <v>28</v>
      </c>
      <c r="F826">
        <v>55</v>
      </c>
      <c r="G826" t="s">
        <v>118</v>
      </c>
      <c r="H826" s="18">
        <v>38391</v>
      </c>
      <c r="I826">
        <v>115145</v>
      </c>
      <c r="J826">
        <v>0.05</v>
      </c>
      <c r="K826">
        <v>5757.25</v>
      </c>
      <c r="L826" t="s">
        <v>34</v>
      </c>
      <c r="M826" t="s">
        <v>35</v>
      </c>
      <c r="N826" s="18"/>
    </row>
    <row r="827" spans="1:14" x14ac:dyDescent="0.25">
      <c r="A827" t="s">
        <v>2283</v>
      </c>
      <c r="B827" t="s">
        <v>75</v>
      </c>
      <c r="C827" t="s">
        <v>26</v>
      </c>
      <c r="D827" t="s">
        <v>32</v>
      </c>
      <c r="E827" t="s">
        <v>28</v>
      </c>
      <c r="F827">
        <v>43</v>
      </c>
      <c r="G827" t="s">
        <v>121</v>
      </c>
      <c r="H827" s="18">
        <v>39885</v>
      </c>
      <c r="I827">
        <v>62335</v>
      </c>
      <c r="J827">
        <v>0</v>
      </c>
      <c r="K827">
        <v>0</v>
      </c>
      <c r="L827" t="s">
        <v>59</v>
      </c>
      <c r="M827" t="s">
        <v>60</v>
      </c>
      <c r="N827" s="18"/>
    </row>
    <row r="828" spans="1:14" x14ac:dyDescent="0.25">
      <c r="A828" t="s">
        <v>2284</v>
      </c>
      <c r="B828" t="s">
        <v>48</v>
      </c>
      <c r="C828" t="s">
        <v>38</v>
      </c>
      <c r="D828" t="s">
        <v>32</v>
      </c>
      <c r="E828" t="s">
        <v>33</v>
      </c>
      <c r="F828">
        <v>56</v>
      </c>
      <c r="G828" t="s">
        <v>118</v>
      </c>
      <c r="H828" s="18">
        <v>38847</v>
      </c>
      <c r="I828">
        <v>41561</v>
      </c>
      <c r="J828">
        <v>0</v>
      </c>
      <c r="K828">
        <v>0</v>
      </c>
      <c r="L828" t="s">
        <v>29</v>
      </c>
      <c r="M828" t="s">
        <v>51</v>
      </c>
      <c r="N828" s="18"/>
    </row>
    <row r="829" spans="1:14" x14ac:dyDescent="0.25">
      <c r="A829" t="s">
        <v>2285</v>
      </c>
      <c r="B829" t="s">
        <v>25</v>
      </c>
      <c r="C829" t="s">
        <v>38</v>
      </c>
      <c r="D829" t="s">
        <v>39</v>
      </c>
      <c r="E829" t="s">
        <v>28</v>
      </c>
      <c r="F829">
        <v>37</v>
      </c>
      <c r="G829" t="s">
        <v>121</v>
      </c>
      <c r="H829" s="18">
        <v>40657</v>
      </c>
      <c r="I829">
        <v>131183</v>
      </c>
      <c r="J829">
        <v>0.14000000000000001</v>
      </c>
      <c r="K829">
        <v>18365.620000000003</v>
      </c>
      <c r="L829" t="s">
        <v>34</v>
      </c>
      <c r="M829" t="s">
        <v>55</v>
      </c>
      <c r="N829" s="18">
        <v>42445</v>
      </c>
    </row>
    <row r="830" spans="1:14" x14ac:dyDescent="0.25">
      <c r="A830" t="s">
        <v>2286</v>
      </c>
      <c r="B830" t="s">
        <v>31</v>
      </c>
      <c r="C830" t="s">
        <v>26</v>
      </c>
      <c r="D830" t="s">
        <v>32</v>
      </c>
      <c r="E830" t="s">
        <v>28</v>
      </c>
      <c r="F830">
        <v>45</v>
      </c>
      <c r="G830" t="s">
        <v>119</v>
      </c>
      <c r="H830" s="18">
        <v>37445</v>
      </c>
      <c r="I830">
        <v>92655</v>
      </c>
      <c r="J830">
        <v>0</v>
      </c>
      <c r="K830">
        <v>0</v>
      </c>
      <c r="L830" t="s">
        <v>34</v>
      </c>
      <c r="M830" t="s">
        <v>68</v>
      </c>
      <c r="N830" s="18"/>
    </row>
    <row r="831" spans="1:14" x14ac:dyDescent="0.25">
      <c r="A831" t="s">
        <v>2287</v>
      </c>
      <c r="B831" t="s">
        <v>25</v>
      </c>
      <c r="C831" t="s">
        <v>45</v>
      </c>
      <c r="D831" t="s">
        <v>32</v>
      </c>
      <c r="E831" t="s">
        <v>28</v>
      </c>
      <c r="F831">
        <v>49</v>
      </c>
      <c r="G831" t="s">
        <v>119</v>
      </c>
      <c r="H831" s="18">
        <v>35157</v>
      </c>
      <c r="I831">
        <v>157057</v>
      </c>
      <c r="J831">
        <v>0.12</v>
      </c>
      <c r="K831">
        <v>18846.84</v>
      </c>
      <c r="L831" t="s">
        <v>29</v>
      </c>
      <c r="M831" t="s">
        <v>49</v>
      </c>
      <c r="N831" s="18"/>
    </row>
    <row r="832" spans="1:14" x14ac:dyDescent="0.25">
      <c r="A832" t="s">
        <v>2288</v>
      </c>
      <c r="B832" t="s">
        <v>67</v>
      </c>
      <c r="C832" t="s">
        <v>26</v>
      </c>
      <c r="D832" t="s">
        <v>39</v>
      </c>
      <c r="E832" t="s">
        <v>28</v>
      </c>
      <c r="F832">
        <v>61</v>
      </c>
      <c r="G832" t="s">
        <v>118</v>
      </c>
      <c r="H832" s="18">
        <v>38392</v>
      </c>
      <c r="I832">
        <v>64462</v>
      </c>
      <c r="J832">
        <v>0</v>
      </c>
      <c r="K832">
        <v>0</v>
      </c>
      <c r="L832" t="s">
        <v>29</v>
      </c>
      <c r="M832" t="s">
        <v>40</v>
      </c>
      <c r="N832" s="18"/>
    </row>
    <row r="833" spans="1:14" x14ac:dyDescent="0.25">
      <c r="A833" t="s">
        <v>2289</v>
      </c>
      <c r="B833" t="s">
        <v>62</v>
      </c>
      <c r="C833" t="s">
        <v>54</v>
      </c>
      <c r="D833" t="s">
        <v>46</v>
      </c>
      <c r="E833" t="s">
        <v>28</v>
      </c>
      <c r="F833">
        <v>41</v>
      </c>
      <c r="G833" t="s">
        <v>121</v>
      </c>
      <c r="H833" s="18">
        <v>38632</v>
      </c>
      <c r="I833">
        <v>79352</v>
      </c>
      <c r="J833">
        <v>0</v>
      </c>
      <c r="K833">
        <v>0</v>
      </c>
      <c r="L833" t="s">
        <v>29</v>
      </c>
      <c r="M833" t="s">
        <v>30</v>
      </c>
      <c r="N833" s="18"/>
    </row>
    <row r="834" spans="1:14" x14ac:dyDescent="0.25">
      <c r="A834" t="s">
        <v>2290</v>
      </c>
      <c r="B834" t="s">
        <v>25</v>
      </c>
      <c r="C834" t="s">
        <v>57</v>
      </c>
      <c r="D834" t="s">
        <v>39</v>
      </c>
      <c r="E834" t="s">
        <v>28</v>
      </c>
      <c r="F834">
        <v>55</v>
      </c>
      <c r="G834" t="s">
        <v>118</v>
      </c>
      <c r="H834" s="18">
        <v>36977</v>
      </c>
      <c r="I834">
        <v>157812</v>
      </c>
      <c r="J834">
        <v>0.11</v>
      </c>
      <c r="K834">
        <v>17359.32</v>
      </c>
      <c r="L834" t="s">
        <v>29</v>
      </c>
      <c r="M834" t="s">
        <v>49</v>
      </c>
      <c r="N834" s="18"/>
    </row>
    <row r="835" spans="1:14" x14ac:dyDescent="0.25">
      <c r="A835" t="s">
        <v>2291</v>
      </c>
      <c r="B835" t="s">
        <v>62</v>
      </c>
      <c r="C835" t="s">
        <v>54</v>
      </c>
      <c r="D835" t="s">
        <v>46</v>
      </c>
      <c r="E835" t="s">
        <v>33</v>
      </c>
      <c r="F835">
        <v>27</v>
      </c>
      <c r="G835" t="s">
        <v>120</v>
      </c>
      <c r="H835" s="18">
        <v>43354</v>
      </c>
      <c r="I835">
        <v>80745</v>
      </c>
      <c r="J835">
        <v>0</v>
      </c>
      <c r="K835">
        <v>0</v>
      </c>
      <c r="L835" t="s">
        <v>29</v>
      </c>
      <c r="M835" t="s">
        <v>40</v>
      </c>
      <c r="N835" s="18"/>
    </row>
    <row r="836" spans="1:14" x14ac:dyDescent="0.25">
      <c r="A836" t="s">
        <v>2292</v>
      </c>
      <c r="B836" t="s">
        <v>82</v>
      </c>
      <c r="C836" t="s">
        <v>26</v>
      </c>
      <c r="D836" t="s">
        <v>32</v>
      </c>
      <c r="E836" t="s">
        <v>28</v>
      </c>
      <c r="F836">
        <v>57</v>
      </c>
      <c r="G836" t="s">
        <v>118</v>
      </c>
      <c r="H836" s="18">
        <v>35113</v>
      </c>
      <c r="I836">
        <v>75354</v>
      </c>
      <c r="J836">
        <v>0</v>
      </c>
      <c r="K836">
        <v>0</v>
      </c>
      <c r="L836" t="s">
        <v>29</v>
      </c>
      <c r="M836" t="s">
        <v>51</v>
      </c>
      <c r="N836" s="18">
        <v>35413</v>
      </c>
    </row>
    <row r="837" spans="1:14" x14ac:dyDescent="0.25">
      <c r="A837" t="s">
        <v>2293</v>
      </c>
      <c r="B837" t="s">
        <v>63</v>
      </c>
      <c r="C837" t="s">
        <v>54</v>
      </c>
      <c r="D837" t="s">
        <v>27</v>
      </c>
      <c r="E837" t="s">
        <v>33</v>
      </c>
      <c r="F837">
        <v>56</v>
      </c>
      <c r="G837" t="s">
        <v>118</v>
      </c>
      <c r="H837" s="18">
        <v>43363</v>
      </c>
      <c r="I837">
        <v>78938</v>
      </c>
      <c r="J837">
        <v>0.14000000000000001</v>
      </c>
      <c r="K837">
        <v>11051.320000000002</v>
      </c>
      <c r="L837" t="s">
        <v>29</v>
      </c>
      <c r="M837" t="s">
        <v>43</v>
      </c>
      <c r="N837" s="18"/>
    </row>
    <row r="838" spans="1:14" x14ac:dyDescent="0.25">
      <c r="A838" t="s">
        <v>2294</v>
      </c>
      <c r="B838" t="s">
        <v>73</v>
      </c>
      <c r="C838" t="s">
        <v>54</v>
      </c>
      <c r="D838" t="s">
        <v>46</v>
      </c>
      <c r="E838" t="s">
        <v>33</v>
      </c>
      <c r="F838">
        <v>59</v>
      </c>
      <c r="G838" t="s">
        <v>118</v>
      </c>
      <c r="H838" s="18">
        <v>39701</v>
      </c>
      <c r="I838">
        <v>96313</v>
      </c>
      <c r="J838">
        <v>0</v>
      </c>
      <c r="K838">
        <v>0</v>
      </c>
      <c r="L838" t="s">
        <v>29</v>
      </c>
      <c r="M838" t="s">
        <v>51</v>
      </c>
      <c r="N838" s="18"/>
    </row>
    <row r="839" spans="1:14" x14ac:dyDescent="0.25">
      <c r="A839" t="s">
        <v>2295</v>
      </c>
      <c r="B839" t="s">
        <v>37</v>
      </c>
      <c r="C839" t="s">
        <v>54</v>
      </c>
      <c r="D839" t="s">
        <v>39</v>
      </c>
      <c r="E839" t="s">
        <v>33</v>
      </c>
      <c r="F839">
        <v>45</v>
      </c>
      <c r="G839" t="s">
        <v>119</v>
      </c>
      <c r="H839" s="18">
        <v>40511</v>
      </c>
      <c r="I839">
        <v>153767</v>
      </c>
      <c r="J839">
        <v>0.27</v>
      </c>
      <c r="K839">
        <v>41517.090000000004</v>
      </c>
      <c r="L839" t="s">
        <v>29</v>
      </c>
      <c r="M839" t="s">
        <v>43</v>
      </c>
      <c r="N839" s="18"/>
    </row>
    <row r="840" spans="1:14" x14ac:dyDescent="0.25">
      <c r="A840" t="s">
        <v>2296</v>
      </c>
      <c r="B840" t="s">
        <v>47</v>
      </c>
      <c r="C840" t="s">
        <v>57</v>
      </c>
      <c r="D840" t="s">
        <v>27</v>
      </c>
      <c r="E840" t="s">
        <v>28</v>
      </c>
      <c r="F840">
        <v>42</v>
      </c>
      <c r="G840" t="s">
        <v>121</v>
      </c>
      <c r="H840" s="18">
        <v>42266</v>
      </c>
      <c r="I840">
        <v>103423</v>
      </c>
      <c r="J840">
        <v>0.06</v>
      </c>
      <c r="K840">
        <v>6205.38</v>
      </c>
      <c r="L840" t="s">
        <v>29</v>
      </c>
      <c r="M840" t="s">
        <v>58</v>
      </c>
      <c r="N840" s="18"/>
    </row>
    <row r="841" spans="1:14" x14ac:dyDescent="0.25">
      <c r="A841" t="s">
        <v>2297</v>
      </c>
      <c r="B841" t="s">
        <v>53</v>
      </c>
      <c r="C841" t="s">
        <v>54</v>
      </c>
      <c r="D841" t="s">
        <v>46</v>
      </c>
      <c r="E841" t="s">
        <v>28</v>
      </c>
      <c r="F841">
        <v>25</v>
      </c>
      <c r="G841" t="s">
        <v>120</v>
      </c>
      <c r="H841" s="18">
        <v>44370</v>
      </c>
      <c r="I841">
        <v>86464</v>
      </c>
      <c r="J841">
        <v>0</v>
      </c>
      <c r="K841">
        <v>0</v>
      </c>
      <c r="L841" t="s">
        <v>34</v>
      </c>
      <c r="M841" t="s">
        <v>55</v>
      </c>
      <c r="N841" s="18"/>
    </row>
    <row r="842" spans="1:14" x14ac:dyDescent="0.25">
      <c r="A842" t="s">
        <v>2298</v>
      </c>
      <c r="B842" t="s">
        <v>53</v>
      </c>
      <c r="C842" t="s">
        <v>54</v>
      </c>
      <c r="D842" t="s">
        <v>46</v>
      </c>
      <c r="E842" t="s">
        <v>28</v>
      </c>
      <c r="F842">
        <v>29</v>
      </c>
      <c r="G842" t="s">
        <v>120</v>
      </c>
      <c r="H842" s="18">
        <v>43114</v>
      </c>
      <c r="I842">
        <v>80516</v>
      </c>
      <c r="J842">
        <v>0</v>
      </c>
      <c r="K842">
        <v>0</v>
      </c>
      <c r="L842" t="s">
        <v>59</v>
      </c>
      <c r="M842" t="s">
        <v>76</v>
      </c>
      <c r="N842" s="18"/>
    </row>
    <row r="843" spans="1:14" x14ac:dyDescent="0.25">
      <c r="A843" t="s">
        <v>2299</v>
      </c>
      <c r="B843" t="s">
        <v>47</v>
      </c>
      <c r="C843" t="s">
        <v>52</v>
      </c>
      <c r="D843" t="s">
        <v>39</v>
      </c>
      <c r="E843" t="s">
        <v>28</v>
      </c>
      <c r="F843">
        <v>33</v>
      </c>
      <c r="G843" t="s">
        <v>120</v>
      </c>
      <c r="H843" s="18">
        <v>41507</v>
      </c>
      <c r="I843">
        <v>105390</v>
      </c>
      <c r="J843">
        <v>0.06</v>
      </c>
      <c r="K843">
        <v>6323.4</v>
      </c>
      <c r="L843" t="s">
        <v>29</v>
      </c>
      <c r="M843" t="s">
        <v>58</v>
      </c>
      <c r="N843" s="18"/>
    </row>
    <row r="844" spans="1:14" x14ac:dyDescent="0.25">
      <c r="A844" t="s">
        <v>2300</v>
      </c>
      <c r="B844" t="s">
        <v>75</v>
      </c>
      <c r="C844" t="s">
        <v>26</v>
      </c>
      <c r="D844" t="s">
        <v>32</v>
      </c>
      <c r="E844" t="s">
        <v>28</v>
      </c>
      <c r="F844">
        <v>50</v>
      </c>
      <c r="G844" t="s">
        <v>119</v>
      </c>
      <c r="H844" s="18">
        <v>44445</v>
      </c>
      <c r="I844">
        <v>83418</v>
      </c>
      <c r="J844">
        <v>0</v>
      </c>
      <c r="K844">
        <v>0</v>
      </c>
      <c r="L844" t="s">
        <v>34</v>
      </c>
      <c r="M844" t="s">
        <v>55</v>
      </c>
      <c r="N844" s="18"/>
    </row>
    <row r="845" spans="1:14" x14ac:dyDescent="0.25">
      <c r="A845" t="s">
        <v>2301</v>
      </c>
      <c r="B845" t="s">
        <v>84</v>
      </c>
      <c r="C845" t="s">
        <v>26</v>
      </c>
      <c r="D845" t="s">
        <v>39</v>
      </c>
      <c r="E845" t="s">
        <v>28</v>
      </c>
      <c r="F845">
        <v>45</v>
      </c>
      <c r="G845" t="s">
        <v>119</v>
      </c>
      <c r="H845" s="18">
        <v>43042</v>
      </c>
      <c r="I845">
        <v>66660</v>
      </c>
      <c r="J845">
        <v>0</v>
      </c>
      <c r="K845">
        <v>0</v>
      </c>
      <c r="L845" t="s">
        <v>29</v>
      </c>
      <c r="M845" t="s">
        <v>51</v>
      </c>
      <c r="N845" s="18"/>
    </row>
    <row r="846" spans="1:14" x14ac:dyDescent="0.25">
      <c r="A846" t="s">
        <v>2302</v>
      </c>
      <c r="B846" t="s">
        <v>47</v>
      </c>
      <c r="C846" t="s">
        <v>52</v>
      </c>
      <c r="D846" t="s">
        <v>39</v>
      </c>
      <c r="E846" t="s">
        <v>33</v>
      </c>
      <c r="F846">
        <v>59</v>
      </c>
      <c r="G846" t="s">
        <v>118</v>
      </c>
      <c r="H846" s="18">
        <v>42165</v>
      </c>
      <c r="I846">
        <v>101985</v>
      </c>
      <c r="J846">
        <v>7.0000000000000007E-2</v>
      </c>
      <c r="K846">
        <v>7138.9500000000007</v>
      </c>
      <c r="L846" t="s">
        <v>29</v>
      </c>
      <c r="M846" t="s">
        <v>49</v>
      </c>
      <c r="N846" s="18"/>
    </row>
    <row r="847" spans="1:14" x14ac:dyDescent="0.25">
      <c r="A847" t="s">
        <v>2303</v>
      </c>
      <c r="B847" t="s">
        <v>56</v>
      </c>
      <c r="C847" t="s">
        <v>38</v>
      </c>
      <c r="D847" t="s">
        <v>46</v>
      </c>
      <c r="E847" t="s">
        <v>33</v>
      </c>
      <c r="F847">
        <v>29</v>
      </c>
      <c r="G847" t="s">
        <v>120</v>
      </c>
      <c r="H847" s="18">
        <v>43439</v>
      </c>
      <c r="I847">
        <v>199504</v>
      </c>
      <c r="J847">
        <v>0.3</v>
      </c>
      <c r="K847">
        <v>59851.199999999997</v>
      </c>
      <c r="L847" t="s">
        <v>29</v>
      </c>
      <c r="M847" t="s">
        <v>51</v>
      </c>
      <c r="N847" s="18"/>
    </row>
    <row r="848" spans="1:14" x14ac:dyDescent="0.25">
      <c r="A848" t="s">
        <v>2304</v>
      </c>
      <c r="B848" t="s">
        <v>25</v>
      </c>
      <c r="C848" t="s">
        <v>45</v>
      </c>
      <c r="D848" t="s">
        <v>46</v>
      </c>
      <c r="E848" t="s">
        <v>28</v>
      </c>
      <c r="F848">
        <v>52</v>
      </c>
      <c r="G848" t="s">
        <v>119</v>
      </c>
      <c r="H848" s="18">
        <v>38995</v>
      </c>
      <c r="I848">
        <v>147966</v>
      </c>
      <c r="J848">
        <v>0.11</v>
      </c>
      <c r="K848">
        <v>16276.26</v>
      </c>
      <c r="L848" t="s">
        <v>59</v>
      </c>
      <c r="M848" t="s">
        <v>61</v>
      </c>
      <c r="N848" s="18">
        <v>43608</v>
      </c>
    </row>
    <row r="849" spans="1:14" x14ac:dyDescent="0.25">
      <c r="A849" t="s">
        <v>2305</v>
      </c>
      <c r="B849" t="s">
        <v>74</v>
      </c>
      <c r="C849" t="s">
        <v>52</v>
      </c>
      <c r="D849" t="s">
        <v>39</v>
      </c>
      <c r="E849" t="s">
        <v>33</v>
      </c>
      <c r="F849">
        <v>58</v>
      </c>
      <c r="G849" t="s">
        <v>118</v>
      </c>
      <c r="H849" s="18">
        <v>41810</v>
      </c>
      <c r="I849">
        <v>41728</v>
      </c>
      <c r="J849">
        <v>0</v>
      </c>
      <c r="K849">
        <v>0</v>
      </c>
      <c r="L849" t="s">
        <v>34</v>
      </c>
      <c r="M849" t="s">
        <v>35</v>
      </c>
      <c r="N849" s="18"/>
    </row>
    <row r="850" spans="1:14" x14ac:dyDescent="0.25">
      <c r="A850" t="s">
        <v>2306</v>
      </c>
      <c r="B850" t="s">
        <v>42</v>
      </c>
      <c r="C850" t="s">
        <v>50</v>
      </c>
      <c r="D850" t="s">
        <v>39</v>
      </c>
      <c r="E850" t="s">
        <v>33</v>
      </c>
      <c r="F850">
        <v>62</v>
      </c>
      <c r="G850" t="s">
        <v>118</v>
      </c>
      <c r="H850" s="18">
        <v>40591</v>
      </c>
      <c r="I850">
        <v>94422</v>
      </c>
      <c r="J850">
        <v>0</v>
      </c>
      <c r="K850">
        <v>0</v>
      </c>
      <c r="L850" t="s">
        <v>29</v>
      </c>
      <c r="M850" t="s">
        <v>43</v>
      </c>
      <c r="N850" s="18"/>
    </row>
    <row r="851" spans="1:14" x14ac:dyDescent="0.25">
      <c r="A851" t="s">
        <v>2307</v>
      </c>
      <c r="B851" t="s">
        <v>37</v>
      </c>
      <c r="C851" t="s">
        <v>45</v>
      </c>
      <c r="D851" t="s">
        <v>46</v>
      </c>
      <c r="E851" t="s">
        <v>33</v>
      </c>
      <c r="F851">
        <v>31</v>
      </c>
      <c r="G851" t="s">
        <v>120</v>
      </c>
      <c r="H851" s="18">
        <v>42184</v>
      </c>
      <c r="I851">
        <v>191026</v>
      </c>
      <c r="J851">
        <v>0.16</v>
      </c>
      <c r="K851">
        <v>30564.16</v>
      </c>
      <c r="L851" t="s">
        <v>29</v>
      </c>
      <c r="M851" t="s">
        <v>58</v>
      </c>
      <c r="N851" s="18"/>
    </row>
    <row r="852" spans="1:14" x14ac:dyDescent="0.25">
      <c r="A852" t="s">
        <v>2308</v>
      </c>
      <c r="B852" t="s">
        <v>56</v>
      </c>
      <c r="C852" t="s">
        <v>26</v>
      </c>
      <c r="D852" t="s">
        <v>27</v>
      </c>
      <c r="E852" t="s">
        <v>33</v>
      </c>
      <c r="F852">
        <v>42</v>
      </c>
      <c r="G852" t="s">
        <v>121</v>
      </c>
      <c r="H852" s="18">
        <v>40511</v>
      </c>
      <c r="I852">
        <v>186725</v>
      </c>
      <c r="J852">
        <v>0.32</v>
      </c>
      <c r="K852">
        <v>59752</v>
      </c>
      <c r="L852" t="s">
        <v>59</v>
      </c>
      <c r="M852" t="s">
        <v>60</v>
      </c>
      <c r="N852" s="18"/>
    </row>
    <row r="853" spans="1:14" x14ac:dyDescent="0.25">
      <c r="A853" t="s">
        <v>2309</v>
      </c>
      <c r="B853" t="s">
        <v>74</v>
      </c>
      <c r="C853" t="s">
        <v>52</v>
      </c>
      <c r="D853" t="s">
        <v>27</v>
      </c>
      <c r="E853" t="s">
        <v>28</v>
      </c>
      <c r="F853">
        <v>56</v>
      </c>
      <c r="G853" t="s">
        <v>118</v>
      </c>
      <c r="H853" s="18">
        <v>40045</v>
      </c>
      <c r="I853">
        <v>52800</v>
      </c>
      <c r="J853">
        <v>0</v>
      </c>
      <c r="K853">
        <v>0</v>
      </c>
      <c r="L853" t="s">
        <v>29</v>
      </c>
      <c r="M853" t="s">
        <v>43</v>
      </c>
      <c r="N853" s="18"/>
    </row>
    <row r="854" spans="1:14" x14ac:dyDescent="0.25">
      <c r="A854" t="s">
        <v>2310</v>
      </c>
      <c r="B854" t="s">
        <v>73</v>
      </c>
      <c r="C854" t="s">
        <v>54</v>
      </c>
      <c r="D854" t="s">
        <v>39</v>
      </c>
      <c r="E854" t="s">
        <v>33</v>
      </c>
      <c r="F854">
        <v>54</v>
      </c>
      <c r="G854" t="s">
        <v>119</v>
      </c>
      <c r="H854" s="18">
        <v>40517</v>
      </c>
      <c r="I854">
        <v>113982</v>
      </c>
      <c r="J854">
        <v>0</v>
      </c>
      <c r="K854">
        <v>0</v>
      </c>
      <c r="L854" t="s">
        <v>29</v>
      </c>
      <c r="M854" t="s">
        <v>30</v>
      </c>
      <c r="N854" s="18"/>
    </row>
    <row r="855" spans="1:14" x14ac:dyDescent="0.25">
      <c r="A855" t="s">
        <v>2311</v>
      </c>
      <c r="B855" t="s">
        <v>44</v>
      </c>
      <c r="C855" t="s">
        <v>45</v>
      </c>
      <c r="D855" t="s">
        <v>27</v>
      </c>
      <c r="E855" t="s">
        <v>28</v>
      </c>
      <c r="F855">
        <v>54</v>
      </c>
      <c r="G855" t="s">
        <v>119</v>
      </c>
      <c r="H855" s="18">
        <v>44271</v>
      </c>
      <c r="I855">
        <v>56239</v>
      </c>
      <c r="J855">
        <v>0</v>
      </c>
      <c r="K855">
        <v>0</v>
      </c>
      <c r="L855" t="s">
        <v>34</v>
      </c>
      <c r="M855" t="s">
        <v>35</v>
      </c>
      <c r="N855" s="18"/>
    </row>
    <row r="856" spans="1:14" x14ac:dyDescent="0.25">
      <c r="A856" t="s">
        <v>2312</v>
      </c>
      <c r="B856" t="s">
        <v>48</v>
      </c>
      <c r="C856" t="s">
        <v>45</v>
      </c>
      <c r="D856" t="s">
        <v>32</v>
      </c>
      <c r="E856" t="s">
        <v>33</v>
      </c>
      <c r="F856">
        <v>26</v>
      </c>
      <c r="G856" t="s">
        <v>120</v>
      </c>
      <c r="H856" s="18">
        <v>44257</v>
      </c>
      <c r="I856">
        <v>44732</v>
      </c>
      <c r="J856">
        <v>0</v>
      </c>
      <c r="K856">
        <v>0</v>
      </c>
      <c r="L856" t="s">
        <v>59</v>
      </c>
      <c r="M856" t="s">
        <v>61</v>
      </c>
      <c r="N856" s="18"/>
    </row>
    <row r="857" spans="1:14" x14ac:dyDescent="0.25">
      <c r="A857" t="s">
        <v>2313</v>
      </c>
      <c r="B857" t="s">
        <v>37</v>
      </c>
      <c r="C857" t="s">
        <v>57</v>
      </c>
      <c r="D857" t="s">
        <v>46</v>
      </c>
      <c r="E857" t="s">
        <v>33</v>
      </c>
      <c r="F857">
        <v>49</v>
      </c>
      <c r="G857" t="s">
        <v>119</v>
      </c>
      <c r="H857" s="18">
        <v>41816</v>
      </c>
      <c r="I857">
        <v>153961</v>
      </c>
      <c r="J857">
        <v>0.25</v>
      </c>
      <c r="K857">
        <v>38490.25</v>
      </c>
      <c r="L857" t="s">
        <v>34</v>
      </c>
      <c r="M857" t="s">
        <v>55</v>
      </c>
      <c r="N857" s="18"/>
    </row>
    <row r="858" spans="1:14" x14ac:dyDescent="0.25">
      <c r="A858" t="s">
        <v>2314</v>
      </c>
      <c r="B858" t="s">
        <v>78</v>
      </c>
      <c r="C858" t="s">
        <v>26</v>
      </c>
      <c r="D858" t="s">
        <v>39</v>
      </c>
      <c r="E858" t="s">
        <v>28</v>
      </c>
      <c r="F858">
        <v>45</v>
      </c>
      <c r="G858" t="s">
        <v>119</v>
      </c>
      <c r="H858" s="18">
        <v>39069</v>
      </c>
      <c r="I858">
        <v>68337</v>
      </c>
      <c r="J858">
        <v>0</v>
      </c>
      <c r="K858">
        <v>0</v>
      </c>
      <c r="L858" t="s">
        <v>34</v>
      </c>
      <c r="M858" t="s">
        <v>35</v>
      </c>
      <c r="N858" s="18"/>
    </row>
    <row r="859" spans="1:14" x14ac:dyDescent="0.25">
      <c r="A859" t="s">
        <v>2315</v>
      </c>
      <c r="B859" t="s">
        <v>25</v>
      </c>
      <c r="C859" t="s">
        <v>52</v>
      </c>
      <c r="D859" t="s">
        <v>46</v>
      </c>
      <c r="E859" t="s">
        <v>33</v>
      </c>
      <c r="F859">
        <v>45</v>
      </c>
      <c r="G859" t="s">
        <v>119</v>
      </c>
      <c r="H859" s="18">
        <v>40305</v>
      </c>
      <c r="I859">
        <v>145093</v>
      </c>
      <c r="J859">
        <v>0.12</v>
      </c>
      <c r="K859">
        <v>17411.16</v>
      </c>
      <c r="L859" t="s">
        <v>29</v>
      </c>
      <c r="M859" t="s">
        <v>40</v>
      </c>
      <c r="N859" s="18"/>
    </row>
    <row r="860" spans="1:14" x14ac:dyDescent="0.25">
      <c r="A860" t="s">
        <v>2316</v>
      </c>
      <c r="B860" t="s">
        <v>85</v>
      </c>
      <c r="C860" t="s">
        <v>26</v>
      </c>
      <c r="D860" t="s">
        <v>39</v>
      </c>
      <c r="E860" t="s">
        <v>28</v>
      </c>
      <c r="F860">
        <v>26</v>
      </c>
      <c r="G860" t="s">
        <v>120</v>
      </c>
      <c r="H860" s="18">
        <v>44266</v>
      </c>
      <c r="I860">
        <v>74170</v>
      </c>
      <c r="J860">
        <v>0</v>
      </c>
      <c r="K860">
        <v>0</v>
      </c>
      <c r="L860" t="s">
        <v>29</v>
      </c>
      <c r="M860" t="s">
        <v>51</v>
      </c>
      <c r="N860" s="18"/>
    </row>
    <row r="861" spans="1:14" x14ac:dyDescent="0.25">
      <c r="A861" t="s">
        <v>2317</v>
      </c>
      <c r="B861" t="s">
        <v>71</v>
      </c>
      <c r="C861" t="s">
        <v>54</v>
      </c>
      <c r="D861" t="s">
        <v>27</v>
      </c>
      <c r="E861" t="s">
        <v>33</v>
      </c>
      <c r="F861">
        <v>59</v>
      </c>
      <c r="G861" t="s">
        <v>118</v>
      </c>
      <c r="H861" s="18">
        <v>35153</v>
      </c>
      <c r="I861">
        <v>62605</v>
      </c>
      <c r="J861">
        <v>0</v>
      </c>
      <c r="K861">
        <v>0</v>
      </c>
      <c r="L861" t="s">
        <v>29</v>
      </c>
      <c r="M861" t="s">
        <v>51</v>
      </c>
      <c r="N861" s="18"/>
    </row>
    <row r="862" spans="1:14" x14ac:dyDescent="0.25">
      <c r="A862" t="s">
        <v>2318</v>
      </c>
      <c r="B862" t="s">
        <v>47</v>
      </c>
      <c r="C862" t="s">
        <v>26</v>
      </c>
      <c r="D862" t="s">
        <v>39</v>
      </c>
      <c r="E862" t="s">
        <v>28</v>
      </c>
      <c r="F862">
        <v>51</v>
      </c>
      <c r="G862" t="s">
        <v>119</v>
      </c>
      <c r="H862" s="18">
        <v>43903</v>
      </c>
      <c r="I862">
        <v>107195</v>
      </c>
      <c r="J862">
        <v>0.09</v>
      </c>
      <c r="K862">
        <v>9647.5499999999993</v>
      </c>
      <c r="L862" t="s">
        <v>29</v>
      </c>
      <c r="M862" t="s">
        <v>51</v>
      </c>
      <c r="N862" s="18"/>
    </row>
    <row r="863" spans="1:14" x14ac:dyDescent="0.25">
      <c r="A863" t="s">
        <v>2319</v>
      </c>
      <c r="B863" t="s">
        <v>25</v>
      </c>
      <c r="C863" t="s">
        <v>57</v>
      </c>
      <c r="D863" t="s">
        <v>39</v>
      </c>
      <c r="E863" t="s">
        <v>33</v>
      </c>
      <c r="F863">
        <v>45</v>
      </c>
      <c r="G863" t="s">
        <v>119</v>
      </c>
      <c r="H863" s="18">
        <v>43111</v>
      </c>
      <c r="I863">
        <v>127422</v>
      </c>
      <c r="J863">
        <v>0.15</v>
      </c>
      <c r="K863">
        <v>19113.3</v>
      </c>
      <c r="L863" t="s">
        <v>29</v>
      </c>
      <c r="M863" t="s">
        <v>58</v>
      </c>
      <c r="N863" s="18"/>
    </row>
    <row r="864" spans="1:14" x14ac:dyDescent="0.25">
      <c r="A864" t="s">
        <v>2320</v>
      </c>
      <c r="B864" t="s">
        <v>37</v>
      </c>
      <c r="C864" t="s">
        <v>50</v>
      </c>
      <c r="D864" t="s">
        <v>27</v>
      </c>
      <c r="E864" t="s">
        <v>28</v>
      </c>
      <c r="F864">
        <v>35</v>
      </c>
      <c r="G864" t="s">
        <v>121</v>
      </c>
      <c r="H864" s="18">
        <v>42912</v>
      </c>
      <c r="I864">
        <v>161269</v>
      </c>
      <c r="J864">
        <v>0.27</v>
      </c>
      <c r="K864">
        <v>43542.630000000005</v>
      </c>
      <c r="L864" t="s">
        <v>29</v>
      </c>
      <c r="M864" t="s">
        <v>49</v>
      </c>
      <c r="N864" s="18"/>
    </row>
    <row r="865" spans="1:14" x14ac:dyDescent="0.25">
      <c r="A865" t="s">
        <v>2321</v>
      </c>
      <c r="B865" t="s">
        <v>56</v>
      </c>
      <c r="C865" t="s">
        <v>57</v>
      </c>
      <c r="D865" t="s">
        <v>46</v>
      </c>
      <c r="E865" t="s">
        <v>28</v>
      </c>
      <c r="F865">
        <v>32</v>
      </c>
      <c r="G865" t="s">
        <v>120</v>
      </c>
      <c r="H865" s="18">
        <v>41675</v>
      </c>
      <c r="I865">
        <v>203445</v>
      </c>
      <c r="J865">
        <v>0.34</v>
      </c>
      <c r="K865">
        <v>69171.3</v>
      </c>
      <c r="L865" t="s">
        <v>59</v>
      </c>
      <c r="M865" t="s">
        <v>60</v>
      </c>
      <c r="N865" s="18"/>
    </row>
    <row r="866" spans="1:14" x14ac:dyDescent="0.25">
      <c r="A866" t="s">
        <v>2322</v>
      </c>
      <c r="B866" t="s">
        <v>25</v>
      </c>
      <c r="C866" t="s">
        <v>52</v>
      </c>
      <c r="D866" t="s">
        <v>27</v>
      </c>
      <c r="E866" t="s">
        <v>28</v>
      </c>
      <c r="F866">
        <v>37</v>
      </c>
      <c r="G866" t="s">
        <v>121</v>
      </c>
      <c r="H866" s="18">
        <v>40560</v>
      </c>
      <c r="I866">
        <v>131353</v>
      </c>
      <c r="J866">
        <v>0.11</v>
      </c>
      <c r="K866">
        <v>14448.83</v>
      </c>
      <c r="L866" t="s">
        <v>34</v>
      </c>
      <c r="M866" t="s">
        <v>55</v>
      </c>
      <c r="N866" s="18"/>
    </row>
    <row r="867" spans="1:14" x14ac:dyDescent="0.25">
      <c r="A867" t="s">
        <v>2323</v>
      </c>
      <c r="B867" t="s">
        <v>86</v>
      </c>
      <c r="C867" t="s">
        <v>26</v>
      </c>
      <c r="D867" t="s">
        <v>32</v>
      </c>
      <c r="E867" t="s">
        <v>33</v>
      </c>
      <c r="F867">
        <v>45</v>
      </c>
      <c r="G867" t="s">
        <v>119</v>
      </c>
      <c r="H867" s="18">
        <v>40253</v>
      </c>
      <c r="I867">
        <v>88182</v>
      </c>
      <c r="J867">
        <v>0</v>
      </c>
      <c r="K867">
        <v>0</v>
      </c>
      <c r="L867" t="s">
        <v>34</v>
      </c>
      <c r="M867" t="s">
        <v>68</v>
      </c>
      <c r="N867" s="18"/>
    </row>
    <row r="868" spans="1:14" x14ac:dyDescent="0.25">
      <c r="A868" t="s">
        <v>2324</v>
      </c>
      <c r="B868" t="s">
        <v>67</v>
      </c>
      <c r="C868" t="s">
        <v>26</v>
      </c>
      <c r="D868" t="s">
        <v>39</v>
      </c>
      <c r="E868" t="s">
        <v>33</v>
      </c>
      <c r="F868">
        <v>61</v>
      </c>
      <c r="G868" t="s">
        <v>118</v>
      </c>
      <c r="H868" s="18">
        <v>43703</v>
      </c>
      <c r="I868">
        <v>75780</v>
      </c>
      <c r="J868">
        <v>0</v>
      </c>
      <c r="K868">
        <v>0</v>
      </c>
      <c r="L868" t="s">
        <v>29</v>
      </c>
      <c r="M868" t="s">
        <v>30</v>
      </c>
      <c r="N868" s="18"/>
    </row>
    <row r="869" spans="1:14" x14ac:dyDescent="0.25">
      <c r="A869" t="s">
        <v>2325</v>
      </c>
      <c r="B869" t="s">
        <v>66</v>
      </c>
      <c r="C869" t="s">
        <v>45</v>
      </c>
      <c r="D869" t="s">
        <v>27</v>
      </c>
      <c r="E869" t="s">
        <v>28</v>
      </c>
      <c r="F869">
        <v>45</v>
      </c>
      <c r="G869" t="s">
        <v>119</v>
      </c>
      <c r="H869" s="18">
        <v>43557</v>
      </c>
      <c r="I869">
        <v>52621</v>
      </c>
      <c r="J869">
        <v>0</v>
      </c>
      <c r="K869">
        <v>0</v>
      </c>
      <c r="L869" t="s">
        <v>34</v>
      </c>
      <c r="M869" t="s">
        <v>64</v>
      </c>
      <c r="N869" s="18"/>
    </row>
    <row r="870" spans="1:14" x14ac:dyDescent="0.25">
      <c r="A870" t="s">
        <v>2326</v>
      </c>
      <c r="B870" t="s">
        <v>63</v>
      </c>
      <c r="C870" t="s">
        <v>54</v>
      </c>
      <c r="D870" t="s">
        <v>27</v>
      </c>
      <c r="E870" t="s">
        <v>33</v>
      </c>
      <c r="F870">
        <v>60</v>
      </c>
      <c r="G870" t="s">
        <v>118</v>
      </c>
      <c r="H870" s="18">
        <v>43146</v>
      </c>
      <c r="I870">
        <v>106079</v>
      </c>
      <c r="J870">
        <v>0.14000000000000001</v>
      </c>
      <c r="K870">
        <v>14851.060000000001</v>
      </c>
      <c r="L870" t="s">
        <v>29</v>
      </c>
      <c r="M870" t="s">
        <v>51</v>
      </c>
      <c r="N870" s="18">
        <v>44295</v>
      </c>
    </row>
    <row r="871" spans="1:14" x14ac:dyDescent="0.25">
      <c r="A871" t="s">
        <v>2327</v>
      </c>
      <c r="B871" t="s">
        <v>75</v>
      </c>
      <c r="C871" t="s">
        <v>26</v>
      </c>
      <c r="D871" t="s">
        <v>46</v>
      </c>
      <c r="E871" t="s">
        <v>33</v>
      </c>
      <c r="F871">
        <v>30</v>
      </c>
      <c r="G871" t="s">
        <v>120</v>
      </c>
      <c r="H871" s="18">
        <v>42777</v>
      </c>
      <c r="I871">
        <v>92058</v>
      </c>
      <c r="J871">
        <v>0</v>
      </c>
      <c r="K871">
        <v>0</v>
      </c>
      <c r="L871" t="s">
        <v>29</v>
      </c>
      <c r="M871" t="s">
        <v>51</v>
      </c>
      <c r="N871" s="18"/>
    </row>
    <row r="872" spans="1:14" x14ac:dyDescent="0.25">
      <c r="A872" t="s">
        <v>2328</v>
      </c>
      <c r="B872" t="s">
        <v>71</v>
      </c>
      <c r="C872" t="s">
        <v>54</v>
      </c>
      <c r="D872" t="s">
        <v>32</v>
      </c>
      <c r="E872" t="s">
        <v>33</v>
      </c>
      <c r="F872">
        <v>64</v>
      </c>
      <c r="G872" t="s">
        <v>118</v>
      </c>
      <c r="H872" s="18">
        <v>43527</v>
      </c>
      <c r="I872">
        <v>67114</v>
      </c>
      <c r="J872">
        <v>0</v>
      </c>
      <c r="K872">
        <v>0</v>
      </c>
      <c r="L872" t="s">
        <v>29</v>
      </c>
      <c r="M872" t="s">
        <v>43</v>
      </c>
      <c r="N872" s="18"/>
    </row>
    <row r="873" spans="1:14" x14ac:dyDescent="0.25">
      <c r="A873" t="s">
        <v>2329</v>
      </c>
      <c r="B873" t="s">
        <v>66</v>
      </c>
      <c r="C873" t="s">
        <v>38</v>
      </c>
      <c r="D873" t="s">
        <v>27</v>
      </c>
      <c r="E873" t="s">
        <v>28</v>
      </c>
      <c r="F873">
        <v>25</v>
      </c>
      <c r="G873" t="s">
        <v>120</v>
      </c>
      <c r="H873" s="18">
        <v>44024</v>
      </c>
      <c r="I873">
        <v>56565</v>
      </c>
      <c r="J873">
        <v>0</v>
      </c>
      <c r="K873">
        <v>0</v>
      </c>
      <c r="L873" t="s">
        <v>59</v>
      </c>
      <c r="M873" t="s">
        <v>76</v>
      </c>
      <c r="N873" s="18"/>
    </row>
    <row r="874" spans="1:14" x14ac:dyDescent="0.25">
      <c r="A874" t="s">
        <v>2330</v>
      </c>
      <c r="B874" t="s">
        <v>70</v>
      </c>
      <c r="C874" t="s">
        <v>52</v>
      </c>
      <c r="D874" t="s">
        <v>32</v>
      </c>
      <c r="E874" t="s">
        <v>28</v>
      </c>
      <c r="F874">
        <v>61</v>
      </c>
      <c r="G874" t="s">
        <v>118</v>
      </c>
      <c r="H874" s="18">
        <v>40683</v>
      </c>
      <c r="I874">
        <v>64937</v>
      </c>
      <c r="J874">
        <v>0</v>
      </c>
      <c r="K874">
        <v>0</v>
      </c>
      <c r="L874" t="s">
        <v>29</v>
      </c>
      <c r="M874" t="s">
        <v>43</v>
      </c>
      <c r="N874" s="18"/>
    </row>
    <row r="875" spans="1:14" x14ac:dyDescent="0.25">
      <c r="A875" t="s">
        <v>2331</v>
      </c>
      <c r="B875" t="s">
        <v>47</v>
      </c>
      <c r="C875" t="s">
        <v>57</v>
      </c>
      <c r="D875" t="s">
        <v>32</v>
      </c>
      <c r="E875" t="s">
        <v>28</v>
      </c>
      <c r="F875">
        <v>65</v>
      </c>
      <c r="G875" t="s">
        <v>122</v>
      </c>
      <c r="H875" s="18">
        <v>38967</v>
      </c>
      <c r="I875">
        <v>127626</v>
      </c>
      <c r="J875">
        <v>0.1</v>
      </c>
      <c r="K875">
        <v>12762.6</v>
      </c>
      <c r="L875" t="s">
        <v>29</v>
      </c>
      <c r="M875" t="s">
        <v>49</v>
      </c>
      <c r="N875" s="18"/>
    </row>
    <row r="876" spans="1:14" x14ac:dyDescent="0.25">
      <c r="A876" t="s">
        <v>2332</v>
      </c>
      <c r="B876" t="s">
        <v>78</v>
      </c>
      <c r="C876" t="s">
        <v>26</v>
      </c>
      <c r="D876" t="s">
        <v>46</v>
      </c>
      <c r="E876" t="s">
        <v>33</v>
      </c>
      <c r="F876">
        <v>61</v>
      </c>
      <c r="G876" t="s">
        <v>118</v>
      </c>
      <c r="H876" s="18">
        <v>38013</v>
      </c>
      <c r="I876">
        <v>88478</v>
      </c>
      <c r="J876">
        <v>0</v>
      </c>
      <c r="K876">
        <v>0</v>
      </c>
      <c r="L876" t="s">
        <v>29</v>
      </c>
      <c r="M876" t="s">
        <v>51</v>
      </c>
      <c r="N876" s="18"/>
    </row>
    <row r="877" spans="1:14" x14ac:dyDescent="0.25">
      <c r="A877" t="s">
        <v>2333</v>
      </c>
      <c r="B877" t="s">
        <v>41</v>
      </c>
      <c r="C877" t="s">
        <v>26</v>
      </c>
      <c r="D877" t="s">
        <v>39</v>
      </c>
      <c r="E877" t="s">
        <v>28</v>
      </c>
      <c r="F877">
        <v>48</v>
      </c>
      <c r="G877" t="s">
        <v>119</v>
      </c>
      <c r="H877" s="18">
        <v>41749</v>
      </c>
      <c r="I877">
        <v>91679</v>
      </c>
      <c r="J877">
        <v>7.0000000000000007E-2</v>
      </c>
      <c r="K877">
        <v>6417.5300000000007</v>
      </c>
      <c r="L877" t="s">
        <v>34</v>
      </c>
      <c r="M877" t="s">
        <v>35</v>
      </c>
      <c r="N877" s="18"/>
    </row>
    <row r="878" spans="1:14" x14ac:dyDescent="0.25">
      <c r="A878" t="s">
        <v>2334</v>
      </c>
      <c r="B878" t="s">
        <v>37</v>
      </c>
      <c r="C878" t="s">
        <v>45</v>
      </c>
      <c r="D878" t="s">
        <v>46</v>
      </c>
      <c r="E878" t="s">
        <v>33</v>
      </c>
      <c r="F878">
        <v>58</v>
      </c>
      <c r="G878" t="s">
        <v>118</v>
      </c>
      <c r="H878" s="18">
        <v>33682</v>
      </c>
      <c r="I878">
        <v>199848</v>
      </c>
      <c r="J878">
        <v>0.16</v>
      </c>
      <c r="K878">
        <v>31975.68</v>
      </c>
      <c r="L878" t="s">
        <v>34</v>
      </c>
      <c r="M878" t="s">
        <v>35</v>
      </c>
      <c r="N878" s="18"/>
    </row>
    <row r="879" spans="1:14" x14ac:dyDescent="0.25">
      <c r="A879" t="s">
        <v>2335</v>
      </c>
      <c r="B879" t="s">
        <v>79</v>
      </c>
      <c r="C879" t="s">
        <v>26</v>
      </c>
      <c r="D879" t="s">
        <v>32</v>
      </c>
      <c r="E879" t="s">
        <v>33</v>
      </c>
      <c r="F879">
        <v>34</v>
      </c>
      <c r="G879" t="s">
        <v>120</v>
      </c>
      <c r="H879" s="18">
        <v>43414</v>
      </c>
      <c r="I879">
        <v>61944</v>
      </c>
      <c r="J879">
        <v>0</v>
      </c>
      <c r="K879">
        <v>0</v>
      </c>
      <c r="L879" t="s">
        <v>34</v>
      </c>
      <c r="M879" t="s">
        <v>55</v>
      </c>
      <c r="N879" s="18"/>
    </row>
    <row r="880" spans="1:14" x14ac:dyDescent="0.25">
      <c r="A880" t="s">
        <v>2336</v>
      </c>
      <c r="B880" t="s">
        <v>25</v>
      </c>
      <c r="C880" t="s">
        <v>45</v>
      </c>
      <c r="D880" t="s">
        <v>39</v>
      </c>
      <c r="E880" t="s">
        <v>28</v>
      </c>
      <c r="F880">
        <v>30</v>
      </c>
      <c r="G880" t="s">
        <v>120</v>
      </c>
      <c r="H880" s="18">
        <v>42960</v>
      </c>
      <c r="I880">
        <v>154624</v>
      </c>
      <c r="J880">
        <v>0.15</v>
      </c>
      <c r="K880">
        <v>23193.599999999999</v>
      </c>
      <c r="L880" t="s">
        <v>29</v>
      </c>
      <c r="M880" t="s">
        <v>51</v>
      </c>
      <c r="N880" s="18"/>
    </row>
    <row r="881" spans="1:14" x14ac:dyDescent="0.25">
      <c r="A881" t="s">
        <v>2337</v>
      </c>
      <c r="B881" t="s">
        <v>42</v>
      </c>
      <c r="C881" t="s">
        <v>50</v>
      </c>
      <c r="D881" t="s">
        <v>27</v>
      </c>
      <c r="E881" t="s">
        <v>33</v>
      </c>
      <c r="F881">
        <v>50</v>
      </c>
      <c r="G881" t="s">
        <v>119</v>
      </c>
      <c r="H881" s="18">
        <v>40109</v>
      </c>
      <c r="I881">
        <v>79447</v>
      </c>
      <c r="J881">
        <v>0</v>
      </c>
      <c r="K881">
        <v>0</v>
      </c>
      <c r="L881" t="s">
        <v>34</v>
      </c>
      <c r="M881" t="s">
        <v>55</v>
      </c>
      <c r="N881" s="18"/>
    </row>
    <row r="882" spans="1:14" x14ac:dyDescent="0.25">
      <c r="A882" t="s">
        <v>2338</v>
      </c>
      <c r="B882" t="s">
        <v>42</v>
      </c>
      <c r="C882" t="s">
        <v>45</v>
      </c>
      <c r="D882" t="s">
        <v>32</v>
      </c>
      <c r="E882" t="s">
        <v>33</v>
      </c>
      <c r="F882">
        <v>51</v>
      </c>
      <c r="G882" t="s">
        <v>119</v>
      </c>
      <c r="H882" s="18">
        <v>35852</v>
      </c>
      <c r="I882">
        <v>71111</v>
      </c>
      <c r="J882">
        <v>0</v>
      </c>
      <c r="K882">
        <v>0</v>
      </c>
      <c r="L882" t="s">
        <v>59</v>
      </c>
      <c r="M882" t="s">
        <v>61</v>
      </c>
      <c r="N882" s="18"/>
    </row>
    <row r="883" spans="1:14" x14ac:dyDescent="0.25">
      <c r="A883" t="s">
        <v>2339</v>
      </c>
      <c r="B883" t="s">
        <v>25</v>
      </c>
      <c r="C883" t="s">
        <v>45</v>
      </c>
      <c r="D883" t="s">
        <v>27</v>
      </c>
      <c r="E883" t="s">
        <v>33</v>
      </c>
      <c r="F883">
        <v>53</v>
      </c>
      <c r="G883" t="s">
        <v>119</v>
      </c>
      <c r="H883" s="18">
        <v>41931</v>
      </c>
      <c r="I883">
        <v>159538</v>
      </c>
      <c r="J883">
        <v>0.11</v>
      </c>
      <c r="K883">
        <v>17549.18</v>
      </c>
      <c r="L883" t="s">
        <v>29</v>
      </c>
      <c r="M883" t="s">
        <v>49</v>
      </c>
      <c r="N883" s="18"/>
    </row>
    <row r="884" spans="1:14" x14ac:dyDescent="0.25">
      <c r="A884" t="s">
        <v>2340</v>
      </c>
      <c r="B884" t="s">
        <v>53</v>
      </c>
      <c r="C884" t="s">
        <v>54</v>
      </c>
      <c r="D884" t="s">
        <v>46</v>
      </c>
      <c r="E884" t="s">
        <v>28</v>
      </c>
      <c r="F884">
        <v>47</v>
      </c>
      <c r="G884" t="s">
        <v>119</v>
      </c>
      <c r="H884" s="18">
        <v>43375</v>
      </c>
      <c r="I884">
        <v>111404</v>
      </c>
      <c r="J884">
        <v>0</v>
      </c>
      <c r="K884">
        <v>0</v>
      </c>
      <c r="L884" t="s">
        <v>59</v>
      </c>
      <c r="M884" t="s">
        <v>61</v>
      </c>
      <c r="N884" s="18"/>
    </row>
    <row r="885" spans="1:14" x14ac:dyDescent="0.25">
      <c r="A885" t="s">
        <v>2341</v>
      </c>
      <c r="B885" t="s">
        <v>37</v>
      </c>
      <c r="C885" t="s">
        <v>57</v>
      </c>
      <c r="D885" t="s">
        <v>39</v>
      </c>
      <c r="E885" t="s">
        <v>33</v>
      </c>
      <c r="F885">
        <v>25</v>
      </c>
      <c r="G885" t="s">
        <v>120</v>
      </c>
      <c r="H885" s="18">
        <v>44058</v>
      </c>
      <c r="I885">
        <v>172007</v>
      </c>
      <c r="J885">
        <v>0.26</v>
      </c>
      <c r="K885">
        <v>44721.82</v>
      </c>
      <c r="L885" t="s">
        <v>29</v>
      </c>
      <c r="M885" t="s">
        <v>49</v>
      </c>
      <c r="N885" s="18"/>
    </row>
    <row r="886" spans="1:14" x14ac:dyDescent="0.25">
      <c r="A886" t="s">
        <v>2342</v>
      </c>
      <c r="B886" t="s">
        <v>56</v>
      </c>
      <c r="C886" t="s">
        <v>57</v>
      </c>
      <c r="D886" t="s">
        <v>32</v>
      </c>
      <c r="E886" t="s">
        <v>28</v>
      </c>
      <c r="F886">
        <v>37</v>
      </c>
      <c r="G886" t="s">
        <v>121</v>
      </c>
      <c r="H886" s="18">
        <v>40745</v>
      </c>
      <c r="I886">
        <v>219474</v>
      </c>
      <c r="J886">
        <v>0.36</v>
      </c>
      <c r="K886">
        <v>79010.64</v>
      </c>
      <c r="L886" t="s">
        <v>59</v>
      </c>
      <c r="M886" t="s">
        <v>60</v>
      </c>
      <c r="N886" s="18"/>
    </row>
    <row r="887" spans="1:14" x14ac:dyDescent="0.25">
      <c r="A887" t="s">
        <v>2343</v>
      </c>
      <c r="B887" t="s">
        <v>37</v>
      </c>
      <c r="C887" t="s">
        <v>38</v>
      </c>
      <c r="D887" t="s">
        <v>46</v>
      </c>
      <c r="E887" t="s">
        <v>33</v>
      </c>
      <c r="F887">
        <v>41</v>
      </c>
      <c r="G887" t="s">
        <v>121</v>
      </c>
      <c r="H887" s="18">
        <v>43600</v>
      </c>
      <c r="I887">
        <v>174415</v>
      </c>
      <c r="J887">
        <v>0.23</v>
      </c>
      <c r="K887">
        <v>40115.450000000004</v>
      </c>
      <c r="L887" t="s">
        <v>29</v>
      </c>
      <c r="M887" t="s">
        <v>49</v>
      </c>
      <c r="N887" s="18"/>
    </row>
    <row r="888" spans="1:14" x14ac:dyDescent="0.25">
      <c r="A888" t="s">
        <v>2344</v>
      </c>
      <c r="B888" t="s">
        <v>78</v>
      </c>
      <c r="C888" t="s">
        <v>26</v>
      </c>
      <c r="D888" t="s">
        <v>39</v>
      </c>
      <c r="E888" t="s">
        <v>28</v>
      </c>
      <c r="F888">
        <v>36</v>
      </c>
      <c r="G888" t="s">
        <v>121</v>
      </c>
      <c r="H888" s="18">
        <v>44217</v>
      </c>
      <c r="I888">
        <v>90333</v>
      </c>
      <c r="J888">
        <v>0</v>
      </c>
      <c r="K888">
        <v>0</v>
      </c>
      <c r="L888" t="s">
        <v>59</v>
      </c>
      <c r="M888" t="s">
        <v>61</v>
      </c>
      <c r="N888" s="18"/>
    </row>
    <row r="889" spans="1:14" x14ac:dyDescent="0.25">
      <c r="A889" t="s">
        <v>2345</v>
      </c>
      <c r="B889" t="s">
        <v>70</v>
      </c>
      <c r="C889" t="s">
        <v>52</v>
      </c>
      <c r="D889" t="s">
        <v>39</v>
      </c>
      <c r="E889" t="s">
        <v>33</v>
      </c>
      <c r="F889">
        <v>25</v>
      </c>
      <c r="G889" t="s">
        <v>120</v>
      </c>
      <c r="H889" s="18">
        <v>44217</v>
      </c>
      <c r="I889">
        <v>67299</v>
      </c>
      <c r="J889">
        <v>0</v>
      </c>
      <c r="K889">
        <v>0</v>
      </c>
      <c r="L889" t="s">
        <v>29</v>
      </c>
      <c r="M889" t="s">
        <v>43</v>
      </c>
      <c r="N889" s="18"/>
    </row>
    <row r="890" spans="1:14" x14ac:dyDescent="0.25">
      <c r="A890" t="s">
        <v>2346</v>
      </c>
      <c r="B890" t="s">
        <v>83</v>
      </c>
      <c r="C890" t="s">
        <v>26</v>
      </c>
      <c r="D890" t="s">
        <v>27</v>
      </c>
      <c r="E890" t="s">
        <v>28</v>
      </c>
      <c r="F890">
        <v>52</v>
      </c>
      <c r="G890" t="s">
        <v>119</v>
      </c>
      <c r="H890" s="18">
        <v>38406</v>
      </c>
      <c r="I890">
        <v>45286</v>
      </c>
      <c r="J890">
        <v>0</v>
      </c>
      <c r="K890">
        <v>0</v>
      </c>
      <c r="L890" t="s">
        <v>29</v>
      </c>
      <c r="M890" t="s">
        <v>40</v>
      </c>
      <c r="N890" s="18"/>
    </row>
    <row r="891" spans="1:14" x14ac:dyDescent="0.25">
      <c r="A891" t="s">
        <v>2347</v>
      </c>
      <c r="B891" t="s">
        <v>37</v>
      </c>
      <c r="C891" t="s">
        <v>57</v>
      </c>
      <c r="D891" t="s">
        <v>27</v>
      </c>
      <c r="E891" t="s">
        <v>33</v>
      </c>
      <c r="F891">
        <v>48</v>
      </c>
      <c r="G891" t="s">
        <v>119</v>
      </c>
      <c r="H891" s="18">
        <v>39302</v>
      </c>
      <c r="I891">
        <v>194723</v>
      </c>
      <c r="J891">
        <v>0.25</v>
      </c>
      <c r="K891">
        <v>48680.75</v>
      </c>
      <c r="L891" t="s">
        <v>29</v>
      </c>
      <c r="M891" t="s">
        <v>43</v>
      </c>
      <c r="N891" s="18"/>
    </row>
    <row r="892" spans="1:14" x14ac:dyDescent="0.25">
      <c r="A892" t="s">
        <v>2348</v>
      </c>
      <c r="B892" t="s">
        <v>47</v>
      </c>
      <c r="C892" t="s">
        <v>45</v>
      </c>
      <c r="D892" t="s">
        <v>27</v>
      </c>
      <c r="E892" t="s">
        <v>33</v>
      </c>
      <c r="F892">
        <v>49</v>
      </c>
      <c r="G892" t="s">
        <v>119</v>
      </c>
      <c r="H892" s="18">
        <v>41131</v>
      </c>
      <c r="I892">
        <v>109850</v>
      </c>
      <c r="J892">
        <v>7.0000000000000007E-2</v>
      </c>
      <c r="K892">
        <v>7689.5000000000009</v>
      </c>
      <c r="L892" t="s">
        <v>34</v>
      </c>
      <c r="M892" t="s">
        <v>64</v>
      </c>
      <c r="N892" s="18">
        <v>43865</v>
      </c>
    </row>
    <row r="893" spans="1:14" x14ac:dyDescent="0.25">
      <c r="A893" t="s">
        <v>2349</v>
      </c>
      <c r="B893" t="s">
        <v>74</v>
      </c>
      <c r="C893" t="s">
        <v>52</v>
      </c>
      <c r="D893" t="s">
        <v>27</v>
      </c>
      <c r="E893" t="s">
        <v>28</v>
      </c>
      <c r="F893">
        <v>62</v>
      </c>
      <c r="G893" t="s">
        <v>118</v>
      </c>
      <c r="H893" s="18">
        <v>41748</v>
      </c>
      <c r="I893">
        <v>45295</v>
      </c>
      <c r="J893">
        <v>0</v>
      </c>
      <c r="K893">
        <v>0</v>
      </c>
      <c r="L893" t="s">
        <v>59</v>
      </c>
      <c r="M893" t="s">
        <v>76</v>
      </c>
      <c r="N893" s="18"/>
    </row>
    <row r="894" spans="1:14" x14ac:dyDescent="0.25">
      <c r="A894" t="s">
        <v>2350</v>
      </c>
      <c r="B894" t="s">
        <v>87</v>
      </c>
      <c r="C894" t="s">
        <v>26</v>
      </c>
      <c r="D894" t="s">
        <v>32</v>
      </c>
      <c r="E894" t="s">
        <v>28</v>
      </c>
      <c r="F894">
        <v>36</v>
      </c>
      <c r="G894" t="s">
        <v>121</v>
      </c>
      <c r="H894" s="18">
        <v>40413</v>
      </c>
      <c r="I894">
        <v>61310</v>
      </c>
      <c r="J894">
        <v>0</v>
      </c>
      <c r="K894">
        <v>0</v>
      </c>
      <c r="L894" t="s">
        <v>29</v>
      </c>
      <c r="M894" t="s">
        <v>43</v>
      </c>
      <c r="N894" s="18"/>
    </row>
    <row r="895" spans="1:14" x14ac:dyDescent="0.25">
      <c r="A895" t="s">
        <v>2351</v>
      </c>
      <c r="B895" t="s">
        <v>82</v>
      </c>
      <c r="C895" t="s">
        <v>26</v>
      </c>
      <c r="D895" t="s">
        <v>27</v>
      </c>
      <c r="E895" t="s">
        <v>33</v>
      </c>
      <c r="F895">
        <v>55</v>
      </c>
      <c r="G895" t="s">
        <v>118</v>
      </c>
      <c r="H895" s="18">
        <v>42683</v>
      </c>
      <c r="I895">
        <v>87851</v>
      </c>
      <c r="J895">
        <v>0</v>
      </c>
      <c r="K895">
        <v>0</v>
      </c>
      <c r="L895" t="s">
        <v>34</v>
      </c>
      <c r="M895" t="s">
        <v>35</v>
      </c>
      <c r="N895" s="18"/>
    </row>
    <row r="896" spans="1:14" x14ac:dyDescent="0.25">
      <c r="A896" t="s">
        <v>2352</v>
      </c>
      <c r="B896" t="s">
        <v>74</v>
      </c>
      <c r="C896" t="s">
        <v>52</v>
      </c>
      <c r="D896" t="s">
        <v>39</v>
      </c>
      <c r="E896" t="s">
        <v>28</v>
      </c>
      <c r="F896">
        <v>31</v>
      </c>
      <c r="G896" t="s">
        <v>120</v>
      </c>
      <c r="H896" s="18">
        <v>43171</v>
      </c>
      <c r="I896">
        <v>47913</v>
      </c>
      <c r="J896">
        <v>0</v>
      </c>
      <c r="K896">
        <v>0</v>
      </c>
      <c r="L896" t="s">
        <v>29</v>
      </c>
      <c r="M896" t="s">
        <v>30</v>
      </c>
      <c r="N896" s="18"/>
    </row>
    <row r="897" spans="1:14" x14ac:dyDescent="0.25">
      <c r="A897" t="s">
        <v>2353</v>
      </c>
      <c r="B897" t="s">
        <v>74</v>
      </c>
      <c r="C897" t="s">
        <v>52</v>
      </c>
      <c r="D897" t="s">
        <v>39</v>
      </c>
      <c r="E897" t="s">
        <v>28</v>
      </c>
      <c r="F897">
        <v>53</v>
      </c>
      <c r="G897" t="s">
        <v>119</v>
      </c>
      <c r="H897" s="18">
        <v>42985</v>
      </c>
      <c r="I897">
        <v>46727</v>
      </c>
      <c r="J897">
        <v>0</v>
      </c>
      <c r="K897">
        <v>0</v>
      </c>
      <c r="L897" t="s">
        <v>29</v>
      </c>
      <c r="M897" t="s">
        <v>58</v>
      </c>
      <c r="N897" s="18">
        <v>43251</v>
      </c>
    </row>
    <row r="898" spans="1:14" x14ac:dyDescent="0.25">
      <c r="A898" t="s">
        <v>2354</v>
      </c>
      <c r="B898" t="s">
        <v>25</v>
      </c>
      <c r="C898" t="s">
        <v>52</v>
      </c>
      <c r="D898" t="s">
        <v>39</v>
      </c>
      <c r="E898" t="s">
        <v>33</v>
      </c>
      <c r="F898">
        <v>27</v>
      </c>
      <c r="G898" t="s">
        <v>120</v>
      </c>
      <c r="H898" s="18">
        <v>44302</v>
      </c>
      <c r="I898">
        <v>133400</v>
      </c>
      <c r="J898">
        <v>0.11</v>
      </c>
      <c r="K898">
        <v>14674</v>
      </c>
      <c r="L898" t="s">
        <v>29</v>
      </c>
      <c r="M898" t="s">
        <v>43</v>
      </c>
      <c r="N898" s="18"/>
    </row>
    <row r="899" spans="1:14" x14ac:dyDescent="0.25">
      <c r="A899" t="s">
        <v>2355</v>
      </c>
      <c r="B899" t="s">
        <v>84</v>
      </c>
      <c r="C899" t="s">
        <v>26</v>
      </c>
      <c r="D899" t="s">
        <v>39</v>
      </c>
      <c r="E899" t="s">
        <v>28</v>
      </c>
      <c r="F899">
        <v>39</v>
      </c>
      <c r="G899" t="s">
        <v>121</v>
      </c>
      <c r="H899" s="18">
        <v>43943</v>
      </c>
      <c r="I899">
        <v>90535</v>
      </c>
      <c r="J899">
        <v>0</v>
      </c>
      <c r="K899">
        <v>0</v>
      </c>
      <c r="L899" t="s">
        <v>29</v>
      </c>
      <c r="M899" t="s">
        <v>49</v>
      </c>
      <c r="N899" s="18"/>
    </row>
    <row r="900" spans="1:14" x14ac:dyDescent="0.25">
      <c r="A900" t="s">
        <v>2356</v>
      </c>
      <c r="B900" t="s">
        <v>42</v>
      </c>
      <c r="C900" t="s">
        <v>57</v>
      </c>
      <c r="D900" t="s">
        <v>39</v>
      </c>
      <c r="E900" t="s">
        <v>33</v>
      </c>
      <c r="F900">
        <v>55</v>
      </c>
      <c r="G900" t="s">
        <v>118</v>
      </c>
      <c r="H900" s="18">
        <v>38909</v>
      </c>
      <c r="I900">
        <v>93343</v>
      </c>
      <c r="J900">
        <v>0</v>
      </c>
      <c r="K900">
        <v>0</v>
      </c>
      <c r="L900" t="s">
        <v>34</v>
      </c>
      <c r="M900" t="s">
        <v>35</v>
      </c>
      <c r="N900" s="18"/>
    </row>
    <row r="901" spans="1:14" x14ac:dyDescent="0.25">
      <c r="A901" t="s">
        <v>2357</v>
      </c>
      <c r="B901" t="s">
        <v>70</v>
      </c>
      <c r="C901" t="s">
        <v>52</v>
      </c>
      <c r="D901" t="s">
        <v>46</v>
      </c>
      <c r="E901" t="s">
        <v>28</v>
      </c>
      <c r="F901">
        <v>44</v>
      </c>
      <c r="G901" t="s">
        <v>121</v>
      </c>
      <c r="H901" s="18">
        <v>38771</v>
      </c>
      <c r="I901">
        <v>63705</v>
      </c>
      <c r="J901">
        <v>0</v>
      </c>
      <c r="K901">
        <v>0</v>
      </c>
      <c r="L901" t="s">
        <v>29</v>
      </c>
      <c r="M901" t="s">
        <v>49</v>
      </c>
      <c r="N901" s="18"/>
    </row>
    <row r="902" spans="1:14" x14ac:dyDescent="0.25">
      <c r="A902" t="s">
        <v>2358</v>
      </c>
      <c r="B902" t="s">
        <v>56</v>
      </c>
      <c r="C902" t="s">
        <v>45</v>
      </c>
      <c r="D902" t="s">
        <v>46</v>
      </c>
      <c r="E902" t="s">
        <v>33</v>
      </c>
      <c r="F902">
        <v>48</v>
      </c>
      <c r="G902" t="s">
        <v>119</v>
      </c>
      <c r="H902" s="18">
        <v>36584</v>
      </c>
      <c r="I902">
        <v>258081</v>
      </c>
      <c r="J902">
        <v>0.3</v>
      </c>
      <c r="K902">
        <v>77424.3</v>
      </c>
      <c r="L902" t="s">
        <v>29</v>
      </c>
      <c r="M902" t="s">
        <v>40</v>
      </c>
      <c r="N902" s="18"/>
    </row>
    <row r="903" spans="1:14" x14ac:dyDescent="0.25">
      <c r="A903" t="s">
        <v>2359</v>
      </c>
      <c r="B903" t="s">
        <v>74</v>
      </c>
      <c r="C903" t="s">
        <v>52</v>
      </c>
      <c r="D903" t="s">
        <v>27</v>
      </c>
      <c r="E903" t="s">
        <v>33</v>
      </c>
      <c r="F903">
        <v>48</v>
      </c>
      <c r="G903" t="s">
        <v>119</v>
      </c>
      <c r="H903" s="18">
        <v>44095</v>
      </c>
      <c r="I903">
        <v>54654</v>
      </c>
      <c r="J903">
        <v>0</v>
      </c>
      <c r="K903">
        <v>0</v>
      </c>
      <c r="L903" t="s">
        <v>29</v>
      </c>
      <c r="M903" t="s">
        <v>43</v>
      </c>
      <c r="N903" s="18"/>
    </row>
    <row r="904" spans="1:14" x14ac:dyDescent="0.25">
      <c r="A904" t="s">
        <v>2360</v>
      </c>
      <c r="B904" t="s">
        <v>48</v>
      </c>
      <c r="C904" t="s">
        <v>45</v>
      </c>
      <c r="D904" t="s">
        <v>32</v>
      </c>
      <c r="E904" t="s">
        <v>33</v>
      </c>
      <c r="F904">
        <v>54</v>
      </c>
      <c r="G904" t="s">
        <v>119</v>
      </c>
      <c r="H904" s="18">
        <v>36062</v>
      </c>
      <c r="I904">
        <v>58006</v>
      </c>
      <c r="J904">
        <v>0</v>
      </c>
      <c r="K904">
        <v>0</v>
      </c>
      <c r="L904" t="s">
        <v>29</v>
      </c>
      <c r="M904" t="s">
        <v>30</v>
      </c>
      <c r="N904" s="18"/>
    </row>
    <row r="905" spans="1:14" x14ac:dyDescent="0.25">
      <c r="A905" t="s">
        <v>2361</v>
      </c>
      <c r="B905" t="s">
        <v>25</v>
      </c>
      <c r="C905" t="s">
        <v>38</v>
      </c>
      <c r="D905" t="s">
        <v>32</v>
      </c>
      <c r="E905" t="s">
        <v>28</v>
      </c>
      <c r="F905">
        <v>42</v>
      </c>
      <c r="G905" t="s">
        <v>121</v>
      </c>
      <c r="H905" s="18">
        <v>40620</v>
      </c>
      <c r="I905">
        <v>150034</v>
      </c>
      <c r="J905">
        <v>0.12</v>
      </c>
      <c r="K905">
        <v>18004.079999999998</v>
      </c>
      <c r="L905" t="s">
        <v>34</v>
      </c>
      <c r="M905" t="s">
        <v>64</v>
      </c>
      <c r="N905" s="18"/>
    </row>
    <row r="906" spans="1:14" x14ac:dyDescent="0.25">
      <c r="A906" t="s">
        <v>2362</v>
      </c>
      <c r="B906" t="s">
        <v>37</v>
      </c>
      <c r="C906" t="s">
        <v>52</v>
      </c>
      <c r="D906" t="s">
        <v>39</v>
      </c>
      <c r="E906" t="s">
        <v>28</v>
      </c>
      <c r="F906">
        <v>38</v>
      </c>
      <c r="G906" t="s">
        <v>121</v>
      </c>
      <c r="H906" s="18">
        <v>39232</v>
      </c>
      <c r="I906">
        <v>198562</v>
      </c>
      <c r="J906">
        <v>0.22</v>
      </c>
      <c r="K906">
        <v>43683.64</v>
      </c>
      <c r="L906" t="s">
        <v>29</v>
      </c>
      <c r="M906" t="s">
        <v>30</v>
      </c>
      <c r="N906" s="18"/>
    </row>
    <row r="907" spans="1:14" x14ac:dyDescent="0.25">
      <c r="A907" t="s">
        <v>2363</v>
      </c>
      <c r="B907" t="s">
        <v>44</v>
      </c>
      <c r="C907" t="s">
        <v>45</v>
      </c>
      <c r="D907" t="s">
        <v>27</v>
      </c>
      <c r="E907" t="s">
        <v>28</v>
      </c>
      <c r="F907">
        <v>40</v>
      </c>
      <c r="G907" t="s">
        <v>121</v>
      </c>
      <c r="H907" s="18">
        <v>39960</v>
      </c>
      <c r="I907">
        <v>62411</v>
      </c>
      <c r="J907">
        <v>0</v>
      </c>
      <c r="K907">
        <v>0</v>
      </c>
      <c r="L907" t="s">
        <v>29</v>
      </c>
      <c r="M907" t="s">
        <v>49</v>
      </c>
      <c r="N907" s="18">
        <v>44422</v>
      </c>
    </row>
    <row r="908" spans="1:14" x14ac:dyDescent="0.25">
      <c r="A908" t="s">
        <v>2364</v>
      </c>
      <c r="B908" t="s">
        <v>63</v>
      </c>
      <c r="C908" t="s">
        <v>54</v>
      </c>
      <c r="D908" t="s">
        <v>27</v>
      </c>
      <c r="E908" t="s">
        <v>33</v>
      </c>
      <c r="F908">
        <v>57</v>
      </c>
      <c r="G908" t="s">
        <v>118</v>
      </c>
      <c r="H908" s="18">
        <v>33612</v>
      </c>
      <c r="I908">
        <v>111299</v>
      </c>
      <c r="J908">
        <v>0.12</v>
      </c>
      <c r="K908">
        <v>13355.88</v>
      </c>
      <c r="L908" t="s">
        <v>29</v>
      </c>
      <c r="M908" t="s">
        <v>49</v>
      </c>
      <c r="N908" s="18"/>
    </row>
    <row r="909" spans="1:14" x14ac:dyDescent="0.25">
      <c r="A909" t="s">
        <v>2365</v>
      </c>
      <c r="B909" t="s">
        <v>48</v>
      </c>
      <c r="C909" t="s">
        <v>57</v>
      </c>
      <c r="D909" t="s">
        <v>27</v>
      </c>
      <c r="E909" t="s">
        <v>28</v>
      </c>
      <c r="F909">
        <v>43</v>
      </c>
      <c r="G909" t="s">
        <v>121</v>
      </c>
      <c r="H909" s="18">
        <v>43659</v>
      </c>
      <c r="I909">
        <v>41545</v>
      </c>
      <c r="J909">
        <v>0</v>
      </c>
      <c r="K909">
        <v>0</v>
      </c>
      <c r="L909" t="s">
        <v>29</v>
      </c>
      <c r="M909" t="s">
        <v>49</v>
      </c>
      <c r="N909" s="18"/>
    </row>
    <row r="910" spans="1:14" x14ac:dyDescent="0.25">
      <c r="A910" t="s">
        <v>2366</v>
      </c>
      <c r="B910" t="s">
        <v>79</v>
      </c>
      <c r="C910" t="s">
        <v>26</v>
      </c>
      <c r="D910" t="s">
        <v>32</v>
      </c>
      <c r="E910" t="s">
        <v>33</v>
      </c>
      <c r="F910">
        <v>26</v>
      </c>
      <c r="G910" t="s">
        <v>120</v>
      </c>
      <c r="H910" s="18">
        <v>43569</v>
      </c>
      <c r="I910">
        <v>74467</v>
      </c>
      <c r="J910">
        <v>0</v>
      </c>
      <c r="K910">
        <v>0</v>
      </c>
      <c r="L910" t="s">
        <v>29</v>
      </c>
      <c r="M910" t="s">
        <v>58</v>
      </c>
      <c r="N910" s="18">
        <v>44211</v>
      </c>
    </row>
    <row r="911" spans="1:14" x14ac:dyDescent="0.25">
      <c r="A911" t="s">
        <v>2367</v>
      </c>
      <c r="B911" t="s">
        <v>47</v>
      </c>
      <c r="C911" t="s">
        <v>50</v>
      </c>
      <c r="D911" t="s">
        <v>27</v>
      </c>
      <c r="E911" t="s">
        <v>33</v>
      </c>
      <c r="F911">
        <v>44</v>
      </c>
      <c r="G911" t="s">
        <v>121</v>
      </c>
      <c r="H911" s="18">
        <v>37296</v>
      </c>
      <c r="I911">
        <v>117545</v>
      </c>
      <c r="J911">
        <v>0.06</v>
      </c>
      <c r="K911">
        <v>7052.7</v>
      </c>
      <c r="L911" t="s">
        <v>29</v>
      </c>
      <c r="M911" t="s">
        <v>43</v>
      </c>
      <c r="N911" s="18"/>
    </row>
    <row r="912" spans="1:14" x14ac:dyDescent="0.25">
      <c r="A912" t="s">
        <v>2368</v>
      </c>
      <c r="B912" t="s">
        <v>47</v>
      </c>
      <c r="C912" t="s">
        <v>52</v>
      </c>
      <c r="D912" t="s">
        <v>39</v>
      </c>
      <c r="E912" t="s">
        <v>33</v>
      </c>
      <c r="F912">
        <v>50</v>
      </c>
      <c r="G912" t="s">
        <v>119</v>
      </c>
      <c r="H912" s="18">
        <v>40983</v>
      </c>
      <c r="I912">
        <v>117226</v>
      </c>
      <c r="J912">
        <v>0.08</v>
      </c>
      <c r="K912">
        <v>9378.08</v>
      </c>
      <c r="L912" t="s">
        <v>29</v>
      </c>
      <c r="M912" t="s">
        <v>43</v>
      </c>
      <c r="N912" s="18"/>
    </row>
    <row r="913" spans="1:14" x14ac:dyDescent="0.25">
      <c r="A913" t="s">
        <v>2369</v>
      </c>
      <c r="B913" t="s">
        <v>48</v>
      </c>
      <c r="C913" t="s">
        <v>50</v>
      </c>
      <c r="D913" t="s">
        <v>46</v>
      </c>
      <c r="E913" t="s">
        <v>28</v>
      </c>
      <c r="F913">
        <v>26</v>
      </c>
      <c r="G913" t="s">
        <v>120</v>
      </c>
      <c r="H913" s="18">
        <v>43489</v>
      </c>
      <c r="I913">
        <v>55767</v>
      </c>
      <c r="J913">
        <v>0</v>
      </c>
      <c r="K913">
        <v>0</v>
      </c>
      <c r="L913" t="s">
        <v>29</v>
      </c>
      <c r="M913" t="s">
        <v>43</v>
      </c>
      <c r="N913" s="18"/>
    </row>
    <row r="914" spans="1:14" x14ac:dyDescent="0.25">
      <c r="A914" t="s">
        <v>2370</v>
      </c>
      <c r="B914" t="s">
        <v>66</v>
      </c>
      <c r="C914" t="s">
        <v>45</v>
      </c>
      <c r="D914" t="s">
        <v>32</v>
      </c>
      <c r="E914" t="s">
        <v>28</v>
      </c>
      <c r="F914">
        <v>29</v>
      </c>
      <c r="G914" t="s">
        <v>120</v>
      </c>
      <c r="H914" s="18">
        <v>42691</v>
      </c>
      <c r="I914">
        <v>60930</v>
      </c>
      <c r="J914">
        <v>0</v>
      </c>
      <c r="K914">
        <v>0</v>
      </c>
      <c r="L914" t="s">
        <v>29</v>
      </c>
      <c r="M914" t="s">
        <v>51</v>
      </c>
      <c r="N914" s="18"/>
    </row>
    <row r="915" spans="1:14" x14ac:dyDescent="0.25">
      <c r="A915" t="s">
        <v>2371</v>
      </c>
      <c r="B915" t="s">
        <v>37</v>
      </c>
      <c r="C915" t="s">
        <v>45</v>
      </c>
      <c r="D915" t="s">
        <v>39</v>
      </c>
      <c r="E915" t="s">
        <v>28</v>
      </c>
      <c r="F915">
        <v>27</v>
      </c>
      <c r="G915" t="s">
        <v>120</v>
      </c>
      <c r="H915" s="18">
        <v>43397</v>
      </c>
      <c r="I915">
        <v>154973</v>
      </c>
      <c r="J915">
        <v>0.28999999999999998</v>
      </c>
      <c r="K915">
        <v>44942.17</v>
      </c>
      <c r="L915" t="s">
        <v>59</v>
      </c>
      <c r="M915" t="s">
        <v>76</v>
      </c>
      <c r="N915" s="18"/>
    </row>
    <row r="916" spans="1:14" x14ac:dyDescent="0.25">
      <c r="A916" t="s">
        <v>2372</v>
      </c>
      <c r="B916" t="s">
        <v>75</v>
      </c>
      <c r="C916" t="s">
        <v>26</v>
      </c>
      <c r="D916" t="s">
        <v>32</v>
      </c>
      <c r="E916" t="s">
        <v>28</v>
      </c>
      <c r="F916">
        <v>33</v>
      </c>
      <c r="G916" t="s">
        <v>120</v>
      </c>
      <c r="H916" s="18">
        <v>43029</v>
      </c>
      <c r="I916">
        <v>69332</v>
      </c>
      <c r="J916">
        <v>0</v>
      </c>
      <c r="K916">
        <v>0</v>
      </c>
      <c r="L916" t="s">
        <v>29</v>
      </c>
      <c r="M916" t="s">
        <v>58</v>
      </c>
      <c r="N916" s="18"/>
    </row>
    <row r="917" spans="1:14" x14ac:dyDescent="0.25">
      <c r="A917" t="s">
        <v>2373</v>
      </c>
      <c r="B917" t="s">
        <v>53</v>
      </c>
      <c r="C917" t="s">
        <v>54</v>
      </c>
      <c r="D917" t="s">
        <v>27</v>
      </c>
      <c r="E917" t="s">
        <v>28</v>
      </c>
      <c r="F917">
        <v>59</v>
      </c>
      <c r="G917" t="s">
        <v>118</v>
      </c>
      <c r="H917" s="18">
        <v>36990</v>
      </c>
      <c r="I917">
        <v>119699</v>
      </c>
      <c r="J917">
        <v>0</v>
      </c>
      <c r="K917">
        <v>0</v>
      </c>
      <c r="L917" t="s">
        <v>34</v>
      </c>
      <c r="M917" t="s">
        <v>55</v>
      </c>
      <c r="N917" s="18"/>
    </row>
    <row r="918" spans="1:14" x14ac:dyDescent="0.25">
      <c r="A918" t="s">
        <v>2374</v>
      </c>
      <c r="B918" t="s">
        <v>37</v>
      </c>
      <c r="C918" t="s">
        <v>52</v>
      </c>
      <c r="D918" t="s">
        <v>39</v>
      </c>
      <c r="E918" t="s">
        <v>28</v>
      </c>
      <c r="F918">
        <v>40</v>
      </c>
      <c r="G918" t="s">
        <v>121</v>
      </c>
      <c r="H918" s="18">
        <v>44094</v>
      </c>
      <c r="I918">
        <v>198176</v>
      </c>
      <c r="J918">
        <v>0.17</v>
      </c>
      <c r="K918">
        <v>33689.920000000006</v>
      </c>
      <c r="L918" t="s">
        <v>59</v>
      </c>
      <c r="M918" t="s">
        <v>60</v>
      </c>
      <c r="N918" s="18"/>
    </row>
    <row r="919" spans="1:14" x14ac:dyDescent="0.25">
      <c r="A919" t="s">
        <v>2375</v>
      </c>
      <c r="B919" t="s">
        <v>66</v>
      </c>
      <c r="C919" t="s">
        <v>38</v>
      </c>
      <c r="D919" t="s">
        <v>27</v>
      </c>
      <c r="E919" t="s">
        <v>28</v>
      </c>
      <c r="F919">
        <v>45</v>
      </c>
      <c r="G919" t="s">
        <v>119</v>
      </c>
      <c r="H919" s="18">
        <v>41127</v>
      </c>
      <c r="I919">
        <v>58586</v>
      </c>
      <c r="J919">
        <v>0</v>
      </c>
      <c r="K919">
        <v>0</v>
      </c>
      <c r="L919" t="s">
        <v>59</v>
      </c>
      <c r="M919" t="s">
        <v>76</v>
      </c>
      <c r="N919" s="18"/>
    </row>
    <row r="920" spans="1:14" x14ac:dyDescent="0.25">
      <c r="A920" t="s">
        <v>2376</v>
      </c>
      <c r="B920" t="s">
        <v>81</v>
      </c>
      <c r="C920" t="s">
        <v>45</v>
      </c>
      <c r="D920" t="s">
        <v>46</v>
      </c>
      <c r="E920" t="s">
        <v>33</v>
      </c>
      <c r="F920">
        <v>38</v>
      </c>
      <c r="G920" t="s">
        <v>121</v>
      </c>
      <c r="H920" s="18">
        <v>40875</v>
      </c>
      <c r="I920">
        <v>74010</v>
      </c>
      <c r="J920">
        <v>0</v>
      </c>
      <c r="K920">
        <v>0</v>
      </c>
      <c r="L920" t="s">
        <v>29</v>
      </c>
      <c r="M920" t="s">
        <v>40</v>
      </c>
      <c r="N920" s="18"/>
    </row>
    <row r="921" spans="1:14" x14ac:dyDescent="0.25">
      <c r="A921" t="s">
        <v>2377</v>
      </c>
      <c r="B921" t="s">
        <v>81</v>
      </c>
      <c r="C921" t="s">
        <v>45</v>
      </c>
      <c r="D921" t="s">
        <v>39</v>
      </c>
      <c r="E921" t="s">
        <v>33</v>
      </c>
      <c r="F921">
        <v>32</v>
      </c>
      <c r="G921" t="s">
        <v>120</v>
      </c>
      <c r="H921" s="18">
        <v>43864</v>
      </c>
      <c r="I921">
        <v>96598</v>
      </c>
      <c r="J921">
        <v>0</v>
      </c>
      <c r="K921">
        <v>0</v>
      </c>
      <c r="L921" t="s">
        <v>29</v>
      </c>
      <c r="M921" t="s">
        <v>43</v>
      </c>
      <c r="N921" s="18"/>
    </row>
    <row r="922" spans="1:14" x14ac:dyDescent="0.25">
      <c r="A922" t="s">
        <v>2378</v>
      </c>
      <c r="B922" t="s">
        <v>47</v>
      </c>
      <c r="C922" t="s">
        <v>45</v>
      </c>
      <c r="D922" t="s">
        <v>39</v>
      </c>
      <c r="E922" t="s">
        <v>28</v>
      </c>
      <c r="F922">
        <v>64</v>
      </c>
      <c r="G922" t="s">
        <v>118</v>
      </c>
      <c r="H922" s="18">
        <v>37762</v>
      </c>
      <c r="I922">
        <v>106444</v>
      </c>
      <c r="J922">
        <v>0.05</v>
      </c>
      <c r="K922">
        <v>5322.2000000000007</v>
      </c>
      <c r="L922" t="s">
        <v>29</v>
      </c>
      <c r="M922" t="s">
        <v>43</v>
      </c>
      <c r="N922" s="18"/>
    </row>
    <row r="923" spans="1:14" x14ac:dyDescent="0.25">
      <c r="A923" t="s">
        <v>2379</v>
      </c>
      <c r="B923" t="s">
        <v>37</v>
      </c>
      <c r="C923" t="s">
        <v>38</v>
      </c>
      <c r="D923" t="s">
        <v>46</v>
      </c>
      <c r="E923" t="s">
        <v>33</v>
      </c>
      <c r="F923">
        <v>31</v>
      </c>
      <c r="G923" t="s">
        <v>120</v>
      </c>
      <c r="H923" s="18">
        <v>42957</v>
      </c>
      <c r="I923">
        <v>156931</v>
      </c>
      <c r="J923">
        <v>0.28000000000000003</v>
      </c>
      <c r="K923">
        <v>43940.680000000008</v>
      </c>
      <c r="L923" t="s">
        <v>29</v>
      </c>
      <c r="M923" t="s">
        <v>30</v>
      </c>
      <c r="N923" s="18"/>
    </row>
    <row r="924" spans="1:14" x14ac:dyDescent="0.25">
      <c r="A924" t="s">
        <v>2380</v>
      </c>
      <c r="B924" t="s">
        <v>37</v>
      </c>
      <c r="C924" t="s">
        <v>57</v>
      </c>
      <c r="D924" t="s">
        <v>27</v>
      </c>
      <c r="E924" t="s">
        <v>28</v>
      </c>
      <c r="F924">
        <v>43</v>
      </c>
      <c r="G924" t="s">
        <v>121</v>
      </c>
      <c r="H924" s="18">
        <v>41928</v>
      </c>
      <c r="I924">
        <v>171360</v>
      </c>
      <c r="J924">
        <v>0.23</v>
      </c>
      <c r="K924">
        <v>39412.800000000003</v>
      </c>
      <c r="L924" t="s">
        <v>59</v>
      </c>
      <c r="M924" t="s">
        <v>60</v>
      </c>
      <c r="N924" s="18"/>
    </row>
    <row r="925" spans="1:14" x14ac:dyDescent="0.25">
      <c r="A925" t="s">
        <v>2381</v>
      </c>
      <c r="B925" t="s">
        <v>67</v>
      </c>
      <c r="C925" t="s">
        <v>26</v>
      </c>
      <c r="D925" t="s">
        <v>27</v>
      </c>
      <c r="E925" t="s">
        <v>28</v>
      </c>
      <c r="F925">
        <v>45</v>
      </c>
      <c r="G925" t="s">
        <v>119</v>
      </c>
      <c r="H925" s="18">
        <v>39908</v>
      </c>
      <c r="I925">
        <v>64505</v>
      </c>
      <c r="J925">
        <v>0</v>
      </c>
      <c r="K925">
        <v>0</v>
      </c>
      <c r="L925" t="s">
        <v>29</v>
      </c>
      <c r="M925" t="s">
        <v>49</v>
      </c>
      <c r="N925" s="18"/>
    </row>
    <row r="926" spans="1:14" x14ac:dyDescent="0.25">
      <c r="A926" t="s">
        <v>2382</v>
      </c>
      <c r="B926" t="s">
        <v>63</v>
      </c>
      <c r="C926" t="s">
        <v>54</v>
      </c>
      <c r="D926" t="s">
        <v>39</v>
      </c>
      <c r="E926" t="s">
        <v>33</v>
      </c>
      <c r="F926">
        <v>32</v>
      </c>
      <c r="G926" t="s">
        <v>120</v>
      </c>
      <c r="H926" s="18">
        <v>44478</v>
      </c>
      <c r="I926">
        <v>102298</v>
      </c>
      <c r="J926">
        <v>0.13</v>
      </c>
      <c r="K926">
        <v>13298.74</v>
      </c>
      <c r="L926" t="s">
        <v>59</v>
      </c>
      <c r="M926" t="s">
        <v>61</v>
      </c>
      <c r="N926" s="18"/>
    </row>
    <row r="927" spans="1:14" x14ac:dyDescent="0.25">
      <c r="A927" t="s">
        <v>2383</v>
      </c>
      <c r="B927" t="s">
        <v>25</v>
      </c>
      <c r="C927" t="s">
        <v>45</v>
      </c>
      <c r="D927" t="s">
        <v>46</v>
      </c>
      <c r="E927" t="s">
        <v>28</v>
      </c>
      <c r="F927">
        <v>27</v>
      </c>
      <c r="G927" t="s">
        <v>120</v>
      </c>
      <c r="H927" s="18">
        <v>43721</v>
      </c>
      <c r="I927">
        <v>133297</v>
      </c>
      <c r="J927">
        <v>0.13</v>
      </c>
      <c r="K927">
        <v>17328.61</v>
      </c>
      <c r="L927" t="s">
        <v>59</v>
      </c>
      <c r="M927" t="s">
        <v>61</v>
      </c>
      <c r="N927" s="18"/>
    </row>
    <row r="928" spans="1:14" x14ac:dyDescent="0.25">
      <c r="A928" t="s">
        <v>2384</v>
      </c>
      <c r="B928" t="s">
        <v>25</v>
      </c>
      <c r="C928" t="s">
        <v>52</v>
      </c>
      <c r="D928" t="s">
        <v>39</v>
      </c>
      <c r="E928" t="s">
        <v>28</v>
      </c>
      <c r="F928">
        <v>25</v>
      </c>
      <c r="G928" t="s">
        <v>120</v>
      </c>
      <c r="H928" s="18">
        <v>44272</v>
      </c>
      <c r="I928">
        <v>155080</v>
      </c>
      <c r="J928">
        <v>0.1</v>
      </c>
      <c r="K928">
        <v>15508</v>
      </c>
      <c r="L928" t="s">
        <v>29</v>
      </c>
      <c r="M928" t="s">
        <v>51</v>
      </c>
      <c r="N928" s="18"/>
    </row>
    <row r="929" spans="1:14" x14ac:dyDescent="0.25">
      <c r="A929" t="s">
        <v>2385</v>
      </c>
      <c r="B929" t="s">
        <v>42</v>
      </c>
      <c r="C929" t="s">
        <v>45</v>
      </c>
      <c r="D929" t="s">
        <v>39</v>
      </c>
      <c r="E929" t="s">
        <v>33</v>
      </c>
      <c r="F929">
        <v>31</v>
      </c>
      <c r="G929" t="s">
        <v>120</v>
      </c>
      <c r="H929" s="18">
        <v>43325</v>
      </c>
      <c r="I929">
        <v>81828</v>
      </c>
      <c r="J929">
        <v>0</v>
      </c>
      <c r="K929">
        <v>0</v>
      </c>
      <c r="L929" t="s">
        <v>29</v>
      </c>
      <c r="M929" t="s">
        <v>49</v>
      </c>
      <c r="N929" s="18"/>
    </row>
    <row r="930" spans="1:14" x14ac:dyDescent="0.25">
      <c r="A930" t="s">
        <v>2386</v>
      </c>
      <c r="B930" t="s">
        <v>25</v>
      </c>
      <c r="C930" t="s">
        <v>57</v>
      </c>
      <c r="D930" t="s">
        <v>46</v>
      </c>
      <c r="E930" t="s">
        <v>28</v>
      </c>
      <c r="F930">
        <v>65</v>
      </c>
      <c r="G930" t="s">
        <v>122</v>
      </c>
      <c r="H930" s="18">
        <v>36823</v>
      </c>
      <c r="I930">
        <v>149417</v>
      </c>
      <c r="J930">
        <v>0.13</v>
      </c>
      <c r="K930">
        <v>19424.21</v>
      </c>
      <c r="L930" t="s">
        <v>34</v>
      </c>
      <c r="M930" t="s">
        <v>68</v>
      </c>
      <c r="N930" s="18"/>
    </row>
    <row r="931" spans="1:14" x14ac:dyDescent="0.25">
      <c r="A931" t="s">
        <v>2387</v>
      </c>
      <c r="B931" t="s">
        <v>47</v>
      </c>
      <c r="C931" t="s">
        <v>45</v>
      </c>
      <c r="D931" t="s">
        <v>46</v>
      </c>
      <c r="E931" t="s">
        <v>33</v>
      </c>
      <c r="F931">
        <v>50</v>
      </c>
      <c r="G931" t="s">
        <v>119</v>
      </c>
      <c r="H931" s="18">
        <v>41024</v>
      </c>
      <c r="I931">
        <v>113269</v>
      </c>
      <c r="J931">
        <v>0.09</v>
      </c>
      <c r="K931">
        <v>10194.209999999999</v>
      </c>
      <c r="L931" t="s">
        <v>59</v>
      </c>
      <c r="M931" t="s">
        <v>76</v>
      </c>
      <c r="N931" s="18"/>
    </row>
    <row r="932" spans="1:14" x14ac:dyDescent="0.25">
      <c r="A932" t="s">
        <v>2388</v>
      </c>
      <c r="B932" t="s">
        <v>25</v>
      </c>
      <c r="C932" t="s">
        <v>26</v>
      </c>
      <c r="D932" t="s">
        <v>32</v>
      </c>
      <c r="E932" t="s">
        <v>33</v>
      </c>
      <c r="F932">
        <v>46</v>
      </c>
      <c r="G932" t="s">
        <v>119</v>
      </c>
      <c r="H932" s="18">
        <v>43085</v>
      </c>
      <c r="I932">
        <v>136716</v>
      </c>
      <c r="J932">
        <v>0.12</v>
      </c>
      <c r="K932">
        <v>16405.919999999998</v>
      </c>
      <c r="L932" t="s">
        <v>29</v>
      </c>
      <c r="M932" t="s">
        <v>51</v>
      </c>
      <c r="N932" s="18"/>
    </row>
    <row r="933" spans="1:14" x14ac:dyDescent="0.25">
      <c r="A933" t="s">
        <v>2389</v>
      </c>
      <c r="B933" t="s">
        <v>25</v>
      </c>
      <c r="C933" t="s">
        <v>45</v>
      </c>
      <c r="D933" t="s">
        <v>39</v>
      </c>
      <c r="E933" t="s">
        <v>33</v>
      </c>
      <c r="F933">
        <v>54</v>
      </c>
      <c r="G933" t="s">
        <v>119</v>
      </c>
      <c r="H933" s="18">
        <v>40836</v>
      </c>
      <c r="I933">
        <v>122644</v>
      </c>
      <c r="J933">
        <v>0.12</v>
      </c>
      <c r="K933">
        <v>14717.279999999999</v>
      </c>
      <c r="L933" t="s">
        <v>29</v>
      </c>
      <c r="M933" t="s">
        <v>51</v>
      </c>
      <c r="N933" s="18"/>
    </row>
    <row r="934" spans="1:14" x14ac:dyDescent="0.25">
      <c r="A934" t="s">
        <v>2390</v>
      </c>
      <c r="B934" t="s">
        <v>47</v>
      </c>
      <c r="C934" t="s">
        <v>45</v>
      </c>
      <c r="D934" t="s">
        <v>27</v>
      </c>
      <c r="E934" t="s">
        <v>28</v>
      </c>
      <c r="F934">
        <v>50</v>
      </c>
      <c r="G934" t="s">
        <v>119</v>
      </c>
      <c r="H934" s="18">
        <v>36653</v>
      </c>
      <c r="I934">
        <v>106428</v>
      </c>
      <c r="J934">
        <v>7.0000000000000007E-2</v>
      </c>
      <c r="K934">
        <v>7449.9600000000009</v>
      </c>
      <c r="L934" t="s">
        <v>29</v>
      </c>
      <c r="M934" t="s">
        <v>40</v>
      </c>
      <c r="N934" s="18"/>
    </row>
    <row r="935" spans="1:14" x14ac:dyDescent="0.25">
      <c r="A935" t="s">
        <v>2391</v>
      </c>
      <c r="B935" t="s">
        <v>56</v>
      </c>
      <c r="C935" t="s">
        <v>38</v>
      </c>
      <c r="D935" t="s">
        <v>46</v>
      </c>
      <c r="E935" t="s">
        <v>33</v>
      </c>
      <c r="F935">
        <v>36</v>
      </c>
      <c r="G935" t="s">
        <v>121</v>
      </c>
      <c r="H935" s="18">
        <v>39830</v>
      </c>
      <c r="I935">
        <v>238236</v>
      </c>
      <c r="J935">
        <v>0.31</v>
      </c>
      <c r="K935">
        <v>73853.16</v>
      </c>
      <c r="L935" t="s">
        <v>29</v>
      </c>
      <c r="M935" t="s">
        <v>30</v>
      </c>
      <c r="N935" s="18"/>
    </row>
    <row r="936" spans="1:14" x14ac:dyDescent="0.25">
      <c r="A936" t="s">
        <v>2392</v>
      </c>
      <c r="B936" t="s">
        <v>37</v>
      </c>
      <c r="C936" t="s">
        <v>38</v>
      </c>
      <c r="D936" t="s">
        <v>46</v>
      </c>
      <c r="E936" t="s">
        <v>28</v>
      </c>
      <c r="F936">
        <v>64</v>
      </c>
      <c r="G936" t="s">
        <v>118</v>
      </c>
      <c r="H936" s="18">
        <v>41264</v>
      </c>
      <c r="I936">
        <v>153253</v>
      </c>
      <c r="J936">
        <v>0.24</v>
      </c>
      <c r="K936">
        <v>36780.720000000001</v>
      </c>
      <c r="L936" t="s">
        <v>29</v>
      </c>
      <c r="M936" t="s">
        <v>51</v>
      </c>
      <c r="N936" s="18"/>
    </row>
    <row r="937" spans="1:14" x14ac:dyDescent="0.25">
      <c r="A937" t="s">
        <v>2393</v>
      </c>
      <c r="B937" t="s">
        <v>47</v>
      </c>
      <c r="C937" t="s">
        <v>50</v>
      </c>
      <c r="D937" t="s">
        <v>32</v>
      </c>
      <c r="E937" t="s">
        <v>28</v>
      </c>
      <c r="F937">
        <v>34</v>
      </c>
      <c r="G937" t="s">
        <v>120</v>
      </c>
      <c r="H937" s="18">
        <v>41915</v>
      </c>
      <c r="I937">
        <v>103707</v>
      </c>
      <c r="J937">
        <v>0.09</v>
      </c>
      <c r="K937">
        <v>9333.6299999999992</v>
      </c>
      <c r="L937" t="s">
        <v>29</v>
      </c>
      <c r="M937" t="s">
        <v>58</v>
      </c>
      <c r="N937" s="18"/>
    </row>
    <row r="938" spans="1:14" x14ac:dyDescent="0.25">
      <c r="A938" t="s">
        <v>2394</v>
      </c>
      <c r="B938" t="s">
        <v>56</v>
      </c>
      <c r="C938" t="s">
        <v>50</v>
      </c>
      <c r="D938" t="s">
        <v>39</v>
      </c>
      <c r="E938" t="s">
        <v>28</v>
      </c>
      <c r="F938">
        <v>41</v>
      </c>
      <c r="G938" t="s">
        <v>121</v>
      </c>
      <c r="H938" s="18">
        <v>41130</v>
      </c>
      <c r="I938">
        <v>245360</v>
      </c>
      <c r="J938">
        <v>0.37</v>
      </c>
      <c r="K938">
        <v>90783.2</v>
      </c>
      <c r="L938" t="s">
        <v>29</v>
      </c>
      <c r="M938" t="s">
        <v>51</v>
      </c>
      <c r="N938" s="18"/>
    </row>
    <row r="939" spans="1:14" x14ac:dyDescent="0.25">
      <c r="A939" t="s">
        <v>2395</v>
      </c>
      <c r="B939" t="s">
        <v>80</v>
      </c>
      <c r="C939" t="s">
        <v>54</v>
      </c>
      <c r="D939" t="s">
        <v>39</v>
      </c>
      <c r="E939" t="s">
        <v>33</v>
      </c>
      <c r="F939">
        <v>25</v>
      </c>
      <c r="G939" t="s">
        <v>120</v>
      </c>
      <c r="H939" s="18">
        <v>44385</v>
      </c>
      <c r="I939">
        <v>67275</v>
      </c>
      <c r="J939">
        <v>0</v>
      </c>
      <c r="K939">
        <v>0</v>
      </c>
      <c r="L939" t="s">
        <v>29</v>
      </c>
      <c r="M939" t="s">
        <v>58</v>
      </c>
      <c r="N939" s="18"/>
    </row>
    <row r="940" spans="1:14" x14ac:dyDescent="0.25">
      <c r="A940" t="s">
        <v>2396</v>
      </c>
      <c r="B940" t="s">
        <v>47</v>
      </c>
      <c r="C940" t="s">
        <v>26</v>
      </c>
      <c r="D940" t="s">
        <v>32</v>
      </c>
      <c r="E940" t="s">
        <v>33</v>
      </c>
      <c r="F940">
        <v>45</v>
      </c>
      <c r="G940" t="s">
        <v>119</v>
      </c>
      <c r="H940" s="18">
        <v>42026</v>
      </c>
      <c r="I940">
        <v>101288</v>
      </c>
      <c r="J940">
        <v>0.1</v>
      </c>
      <c r="K940">
        <v>10128.800000000001</v>
      </c>
      <c r="L940" t="s">
        <v>29</v>
      </c>
      <c r="M940" t="s">
        <v>43</v>
      </c>
      <c r="N940" s="18"/>
    </row>
    <row r="941" spans="1:14" x14ac:dyDescent="0.25">
      <c r="A941" t="s">
        <v>2397</v>
      </c>
      <c r="B941" t="s">
        <v>37</v>
      </c>
      <c r="C941" t="s">
        <v>52</v>
      </c>
      <c r="D941" t="s">
        <v>39</v>
      </c>
      <c r="E941" t="s">
        <v>28</v>
      </c>
      <c r="F941">
        <v>52</v>
      </c>
      <c r="G941" t="s">
        <v>119</v>
      </c>
      <c r="H941" s="18">
        <v>34209</v>
      </c>
      <c r="I941">
        <v>177443</v>
      </c>
      <c r="J941">
        <v>0.25</v>
      </c>
      <c r="K941">
        <v>44360.75</v>
      </c>
      <c r="L941" t="s">
        <v>59</v>
      </c>
      <c r="M941" t="s">
        <v>76</v>
      </c>
      <c r="N941" s="18"/>
    </row>
    <row r="942" spans="1:14" x14ac:dyDescent="0.25">
      <c r="A942" t="s">
        <v>2398</v>
      </c>
      <c r="B942" t="s">
        <v>75</v>
      </c>
      <c r="C942" t="s">
        <v>26</v>
      </c>
      <c r="D942" t="s">
        <v>32</v>
      </c>
      <c r="E942" t="s">
        <v>28</v>
      </c>
      <c r="F942">
        <v>37</v>
      </c>
      <c r="G942" t="s">
        <v>121</v>
      </c>
      <c r="H942" s="18">
        <v>42487</v>
      </c>
      <c r="I942">
        <v>91400</v>
      </c>
      <c r="J942">
        <v>0</v>
      </c>
      <c r="K942">
        <v>0</v>
      </c>
      <c r="L942" t="s">
        <v>29</v>
      </c>
      <c r="M942" t="s">
        <v>40</v>
      </c>
      <c r="N942" s="18"/>
    </row>
    <row r="943" spans="1:14" x14ac:dyDescent="0.25">
      <c r="A943" t="s">
        <v>2399</v>
      </c>
      <c r="B943" t="s">
        <v>56</v>
      </c>
      <c r="C943" t="s">
        <v>52</v>
      </c>
      <c r="D943" t="s">
        <v>46</v>
      </c>
      <c r="E943" t="s">
        <v>33</v>
      </c>
      <c r="F943">
        <v>44</v>
      </c>
      <c r="G943" t="s">
        <v>121</v>
      </c>
      <c r="H943" s="18">
        <v>39335</v>
      </c>
      <c r="I943">
        <v>181247</v>
      </c>
      <c r="J943">
        <v>0.33</v>
      </c>
      <c r="K943">
        <v>59811.51</v>
      </c>
      <c r="L943" t="s">
        <v>59</v>
      </c>
      <c r="M943" t="s">
        <v>76</v>
      </c>
      <c r="N943" s="18"/>
    </row>
    <row r="944" spans="1:14" x14ac:dyDescent="0.25">
      <c r="A944" t="s">
        <v>2400</v>
      </c>
      <c r="B944" t="s">
        <v>25</v>
      </c>
      <c r="C944" t="s">
        <v>52</v>
      </c>
      <c r="D944" t="s">
        <v>27</v>
      </c>
      <c r="E944" t="s">
        <v>33</v>
      </c>
      <c r="F944">
        <v>42</v>
      </c>
      <c r="G944" t="s">
        <v>121</v>
      </c>
      <c r="H944" s="18">
        <v>37914</v>
      </c>
      <c r="I944">
        <v>135558</v>
      </c>
      <c r="J944">
        <v>0.14000000000000001</v>
      </c>
      <c r="K944">
        <v>18978.120000000003</v>
      </c>
      <c r="L944" t="s">
        <v>29</v>
      </c>
      <c r="M944" t="s">
        <v>43</v>
      </c>
      <c r="N944" s="18"/>
    </row>
    <row r="945" spans="1:14" x14ac:dyDescent="0.25">
      <c r="A945" t="s">
        <v>2401</v>
      </c>
      <c r="B945" t="s">
        <v>48</v>
      </c>
      <c r="C945" t="s">
        <v>50</v>
      </c>
      <c r="D945" t="s">
        <v>39</v>
      </c>
      <c r="E945" t="s">
        <v>33</v>
      </c>
      <c r="F945">
        <v>49</v>
      </c>
      <c r="G945" t="s">
        <v>119</v>
      </c>
      <c r="H945" s="18">
        <v>40894</v>
      </c>
      <c r="I945">
        <v>56878</v>
      </c>
      <c r="J945">
        <v>0</v>
      </c>
      <c r="K945">
        <v>0</v>
      </c>
      <c r="L945" t="s">
        <v>29</v>
      </c>
      <c r="M945" t="s">
        <v>30</v>
      </c>
      <c r="N945" s="18"/>
    </row>
    <row r="946" spans="1:14" x14ac:dyDescent="0.25">
      <c r="A946" t="s">
        <v>2402</v>
      </c>
      <c r="B946" t="s">
        <v>85</v>
      </c>
      <c r="C946" t="s">
        <v>26</v>
      </c>
      <c r="D946" t="s">
        <v>39</v>
      </c>
      <c r="E946" t="s">
        <v>33</v>
      </c>
      <c r="F946">
        <v>34</v>
      </c>
      <c r="G946" t="s">
        <v>120</v>
      </c>
      <c r="H946" s="18">
        <v>43728</v>
      </c>
      <c r="I946">
        <v>94735</v>
      </c>
      <c r="J946">
        <v>0</v>
      </c>
      <c r="K946">
        <v>0</v>
      </c>
      <c r="L946" t="s">
        <v>34</v>
      </c>
      <c r="M946" t="s">
        <v>64</v>
      </c>
      <c r="N946" s="18"/>
    </row>
    <row r="947" spans="1:14" x14ac:dyDescent="0.25">
      <c r="A947" t="s">
        <v>2403</v>
      </c>
      <c r="B947" t="s">
        <v>66</v>
      </c>
      <c r="C947" t="s">
        <v>45</v>
      </c>
      <c r="D947" t="s">
        <v>32</v>
      </c>
      <c r="E947" t="s">
        <v>33</v>
      </c>
      <c r="F947">
        <v>39</v>
      </c>
      <c r="G947" t="s">
        <v>121</v>
      </c>
      <c r="H947" s="18">
        <v>39229</v>
      </c>
      <c r="I947">
        <v>51234</v>
      </c>
      <c r="J947">
        <v>0</v>
      </c>
      <c r="K947">
        <v>0</v>
      </c>
      <c r="L947" t="s">
        <v>29</v>
      </c>
      <c r="M947" t="s">
        <v>30</v>
      </c>
      <c r="N947" s="18"/>
    </row>
    <row r="948" spans="1:14" x14ac:dyDescent="0.25">
      <c r="A948" t="s">
        <v>2404</v>
      </c>
      <c r="B948" t="s">
        <v>56</v>
      </c>
      <c r="C948" t="s">
        <v>52</v>
      </c>
      <c r="D948" t="s">
        <v>39</v>
      </c>
      <c r="E948" t="s">
        <v>33</v>
      </c>
      <c r="F948">
        <v>31</v>
      </c>
      <c r="G948" t="s">
        <v>120</v>
      </c>
      <c r="H948" s="18">
        <v>42018</v>
      </c>
      <c r="I948">
        <v>230025</v>
      </c>
      <c r="J948">
        <v>0.34</v>
      </c>
      <c r="K948">
        <v>78208.5</v>
      </c>
      <c r="L948" t="s">
        <v>29</v>
      </c>
      <c r="M948" t="s">
        <v>43</v>
      </c>
      <c r="N948" s="18"/>
    </row>
    <row r="949" spans="1:14" x14ac:dyDescent="0.25">
      <c r="A949" t="s">
        <v>2405</v>
      </c>
      <c r="B949" t="s">
        <v>25</v>
      </c>
      <c r="C949" t="s">
        <v>52</v>
      </c>
      <c r="D949" t="s">
        <v>39</v>
      </c>
      <c r="E949" t="s">
        <v>28</v>
      </c>
      <c r="F949">
        <v>36</v>
      </c>
      <c r="G949" t="s">
        <v>121</v>
      </c>
      <c r="H949" s="18">
        <v>40248</v>
      </c>
      <c r="I949">
        <v>134006</v>
      </c>
      <c r="J949">
        <v>0.13</v>
      </c>
      <c r="K949">
        <v>17420.78</v>
      </c>
      <c r="L949" t="s">
        <v>34</v>
      </c>
      <c r="M949" t="s">
        <v>64</v>
      </c>
      <c r="N949" s="18"/>
    </row>
    <row r="950" spans="1:14" x14ac:dyDescent="0.25">
      <c r="A950" t="s">
        <v>2406</v>
      </c>
      <c r="B950" t="s">
        <v>47</v>
      </c>
      <c r="C950" t="s">
        <v>38</v>
      </c>
      <c r="D950" t="s">
        <v>46</v>
      </c>
      <c r="E950" t="s">
        <v>28</v>
      </c>
      <c r="F950">
        <v>61</v>
      </c>
      <c r="G950" t="s">
        <v>118</v>
      </c>
      <c r="H950" s="18">
        <v>40092</v>
      </c>
      <c r="I950">
        <v>103096</v>
      </c>
      <c r="J950">
        <v>7.0000000000000007E-2</v>
      </c>
      <c r="K950">
        <v>7216.72</v>
      </c>
      <c r="L950" t="s">
        <v>34</v>
      </c>
      <c r="M950" t="s">
        <v>64</v>
      </c>
      <c r="N950" s="18"/>
    </row>
    <row r="951" spans="1:14" x14ac:dyDescent="0.25">
      <c r="A951" t="s">
        <v>2407</v>
      </c>
      <c r="B951" t="s">
        <v>48</v>
      </c>
      <c r="C951" t="s">
        <v>50</v>
      </c>
      <c r="D951" t="s">
        <v>32</v>
      </c>
      <c r="E951" t="s">
        <v>33</v>
      </c>
      <c r="F951">
        <v>29</v>
      </c>
      <c r="G951" t="s">
        <v>120</v>
      </c>
      <c r="H951" s="18">
        <v>42602</v>
      </c>
      <c r="I951">
        <v>58703</v>
      </c>
      <c r="J951">
        <v>0</v>
      </c>
      <c r="K951">
        <v>0</v>
      </c>
      <c r="L951" t="s">
        <v>29</v>
      </c>
      <c r="M951" t="s">
        <v>58</v>
      </c>
      <c r="N951" s="18"/>
    </row>
    <row r="952" spans="1:14" x14ac:dyDescent="0.25">
      <c r="A952" t="s">
        <v>2408</v>
      </c>
      <c r="B952" t="s">
        <v>25</v>
      </c>
      <c r="C952" t="s">
        <v>26</v>
      </c>
      <c r="D952" t="s">
        <v>39</v>
      </c>
      <c r="E952" t="s">
        <v>33</v>
      </c>
      <c r="F952">
        <v>33</v>
      </c>
      <c r="G952" t="s">
        <v>120</v>
      </c>
      <c r="H952" s="18">
        <v>41267</v>
      </c>
      <c r="I952">
        <v>132544</v>
      </c>
      <c r="J952">
        <v>0.1</v>
      </c>
      <c r="K952">
        <v>13254.400000000001</v>
      </c>
      <c r="L952" t="s">
        <v>59</v>
      </c>
      <c r="M952" t="s">
        <v>61</v>
      </c>
      <c r="N952" s="18"/>
    </row>
    <row r="953" spans="1:14" x14ac:dyDescent="0.25">
      <c r="A953" t="s">
        <v>2409</v>
      </c>
      <c r="B953" t="s">
        <v>47</v>
      </c>
      <c r="C953" t="s">
        <v>38</v>
      </c>
      <c r="D953" t="s">
        <v>32</v>
      </c>
      <c r="E953" t="s">
        <v>33</v>
      </c>
      <c r="F953">
        <v>32</v>
      </c>
      <c r="G953" t="s">
        <v>120</v>
      </c>
      <c r="H953" s="18">
        <v>43936</v>
      </c>
      <c r="I953">
        <v>126671</v>
      </c>
      <c r="J953">
        <v>0.09</v>
      </c>
      <c r="K953">
        <v>11400.39</v>
      </c>
      <c r="L953" t="s">
        <v>29</v>
      </c>
      <c r="M953" t="s">
        <v>49</v>
      </c>
      <c r="N953" s="18"/>
    </row>
    <row r="954" spans="1:14" x14ac:dyDescent="0.25">
      <c r="A954" t="s">
        <v>2410</v>
      </c>
      <c r="B954" t="s">
        <v>44</v>
      </c>
      <c r="C954" t="s">
        <v>45</v>
      </c>
      <c r="D954" t="s">
        <v>27</v>
      </c>
      <c r="E954" t="s">
        <v>28</v>
      </c>
      <c r="F954">
        <v>33</v>
      </c>
      <c r="G954" t="s">
        <v>120</v>
      </c>
      <c r="H954" s="18">
        <v>44218</v>
      </c>
      <c r="I954">
        <v>56405</v>
      </c>
      <c r="J954">
        <v>0</v>
      </c>
      <c r="K954">
        <v>0</v>
      </c>
      <c r="L954" t="s">
        <v>29</v>
      </c>
      <c r="M954" t="s">
        <v>40</v>
      </c>
      <c r="N954" s="18"/>
    </row>
    <row r="955" spans="1:14" x14ac:dyDescent="0.25">
      <c r="A955" t="s">
        <v>2411</v>
      </c>
      <c r="B955" t="s">
        <v>41</v>
      </c>
      <c r="C955" t="s">
        <v>26</v>
      </c>
      <c r="D955" t="s">
        <v>39</v>
      </c>
      <c r="E955" t="s">
        <v>28</v>
      </c>
      <c r="F955">
        <v>36</v>
      </c>
      <c r="G955" t="s">
        <v>121</v>
      </c>
      <c r="H955" s="18">
        <v>41972</v>
      </c>
      <c r="I955">
        <v>88730</v>
      </c>
      <c r="J955">
        <v>0.08</v>
      </c>
      <c r="K955">
        <v>7098.4000000000005</v>
      </c>
      <c r="L955" t="s">
        <v>34</v>
      </c>
      <c r="M955" t="s">
        <v>35</v>
      </c>
      <c r="N955" s="18"/>
    </row>
    <row r="956" spans="1:14" x14ac:dyDescent="0.25">
      <c r="A956" t="s">
        <v>2412</v>
      </c>
      <c r="B956" t="s">
        <v>66</v>
      </c>
      <c r="C956" t="s">
        <v>38</v>
      </c>
      <c r="D956" t="s">
        <v>32</v>
      </c>
      <c r="E956" t="s">
        <v>33</v>
      </c>
      <c r="F956">
        <v>39</v>
      </c>
      <c r="G956" t="s">
        <v>121</v>
      </c>
      <c r="H956" s="18">
        <v>39708</v>
      </c>
      <c r="I956">
        <v>62861</v>
      </c>
      <c r="J956">
        <v>0</v>
      </c>
      <c r="K956">
        <v>0</v>
      </c>
      <c r="L956" t="s">
        <v>29</v>
      </c>
      <c r="M956" t="s">
        <v>30</v>
      </c>
      <c r="N956" s="18"/>
    </row>
    <row r="957" spans="1:14" x14ac:dyDescent="0.25">
      <c r="A957" t="s">
        <v>2413</v>
      </c>
      <c r="B957" t="s">
        <v>37</v>
      </c>
      <c r="C957" t="s">
        <v>52</v>
      </c>
      <c r="D957" t="s">
        <v>46</v>
      </c>
      <c r="E957" t="s">
        <v>28</v>
      </c>
      <c r="F957">
        <v>53</v>
      </c>
      <c r="G957" t="s">
        <v>119</v>
      </c>
      <c r="H957" s="18">
        <v>38919</v>
      </c>
      <c r="I957">
        <v>151246</v>
      </c>
      <c r="J957">
        <v>0.21</v>
      </c>
      <c r="K957">
        <v>31761.66</v>
      </c>
      <c r="L957" t="s">
        <v>59</v>
      </c>
      <c r="M957" t="s">
        <v>76</v>
      </c>
      <c r="N957" s="18"/>
    </row>
    <row r="958" spans="1:14" x14ac:dyDescent="0.25">
      <c r="A958" t="s">
        <v>2414</v>
      </c>
      <c r="B958" t="s">
        <v>25</v>
      </c>
      <c r="C958" t="s">
        <v>26</v>
      </c>
      <c r="D958" t="s">
        <v>32</v>
      </c>
      <c r="E958" t="s">
        <v>28</v>
      </c>
      <c r="F958">
        <v>53</v>
      </c>
      <c r="G958" t="s">
        <v>119</v>
      </c>
      <c r="H958" s="18">
        <v>35532</v>
      </c>
      <c r="I958">
        <v>154388</v>
      </c>
      <c r="J958">
        <v>0.1</v>
      </c>
      <c r="K958">
        <v>15438.800000000001</v>
      </c>
      <c r="L958" t="s">
        <v>29</v>
      </c>
      <c r="M958" t="s">
        <v>30</v>
      </c>
      <c r="N958" s="18"/>
    </row>
    <row r="959" spans="1:14" x14ac:dyDescent="0.25">
      <c r="A959" t="s">
        <v>2415</v>
      </c>
      <c r="B959" t="s">
        <v>37</v>
      </c>
      <c r="C959" t="s">
        <v>52</v>
      </c>
      <c r="D959" t="s">
        <v>32</v>
      </c>
      <c r="E959" t="s">
        <v>28</v>
      </c>
      <c r="F959">
        <v>54</v>
      </c>
      <c r="G959" t="s">
        <v>119</v>
      </c>
      <c r="H959" s="18">
        <v>34603</v>
      </c>
      <c r="I959">
        <v>162978</v>
      </c>
      <c r="J959">
        <v>0.17</v>
      </c>
      <c r="K959">
        <v>27706.260000000002</v>
      </c>
      <c r="L959" t="s">
        <v>29</v>
      </c>
      <c r="M959" t="s">
        <v>49</v>
      </c>
      <c r="N959" s="18">
        <v>38131</v>
      </c>
    </row>
    <row r="960" spans="1:14" x14ac:dyDescent="0.25">
      <c r="A960" t="s">
        <v>2416</v>
      </c>
      <c r="B960" t="s">
        <v>84</v>
      </c>
      <c r="C960" t="s">
        <v>26</v>
      </c>
      <c r="D960" t="s">
        <v>39</v>
      </c>
      <c r="E960" t="s">
        <v>33</v>
      </c>
      <c r="F960">
        <v>55</v>
      </c>
      <c r="G960" t="s">
        <v>118</v>
      </c>
      <c r="H960" s="18">
        <v>34290</v>
      </c>
      <c r="I960">
        <v>80170</v>
      </c>
      <c r="J960">
        <v>0</v>
      </c>
      <c r="K960">
        <v>0</v>
      </c>
      <c r="L960" t="s">
        <v>29</v>
      </c>
      <c r="M960" t="s">
        <v>49</v>
      </c>
      <c r="N960" s="18"/>
    </row>
    <row r="961" spans="1:14" x14ac:dyDescent="0.25">
      <c r="A961" t="s">
        <v>2417</v>
      </c>
      <c r="B961" t="s">
        <v>42</v>
      </c>
      <c r="C961" t="s">
        <v>50</v>
      </c>
      <c r="D961" t="s">
        <v>32</v>
      </c>
      <c r="E961" t="s">
        <v>28</v>
      </c>
      <c r="F961">
        <v>44</v>
      </c>
      <c r="G961" t="s">
        <v>121</v>
      </c>
      <c r="H961" s="18">
        <v>44314</v>
      </c>
      <c r="I961">
        <v>98520</v>
      </c>
      <c r="J961">
        <v>0</v>
      </c>
      <c r="K961">
        <v>0</v>
      </c>
      <c r="L961" t="s">
        <v>29</v>
      </c>
      <c r="M961" t="s">
        <v>49</v>
      </c>
      <c r="N961" s="18"/>
    </row>
    <row r="962" spans="1:14" x14ac:dyDescent="0.25">
      <c r="A962" t="s">
        <v>2418</v>
      </c>
      <c r="B962" t="s">
        <v>47</v>
      </c>
      <c r="C962" t="s">
        <v>38</v>
      </c>
      <c r="D962" t="s">
        <v>32</v>
      </c>
      <c r="E962" t="s">
        <v>33</v>
      </c>
      <c r="F962">
        <v>52</v>
      </c>
      <c r="G962" t="s">
        <v>119</v>
      </c>
      <c r="H962" s="18">
        <v>36523</v>
      </c>
      <c r="I962">
        <v>116527</v>
      </c>
      <c r="J962">
        <v>7.0000000000000007E-2</v>
      </c>
      <c r="K962">
        <v>8156.89</v>
      </c>
      <c r="L962" t="s">
        <v>29</v>
      </c>
      <c r="M962" t="s">
        <v>43</v>
      </c>
      <c r="N962" s="18"/>
    </row>
    <row r="963" spans="1:14" x14ac:dyDescent="0.25">
      <c r="A963" t="s">
        <v>2419</v>
      </c>
      <c r="B963" t="s">
        <v>37</v>
      </c>
      <c r="C963" t="s">
        <v>45</v>
      </c>
      <c r="D963" t="s">
        <v>27</v>
      </c>
      <c r="E963" t="s">
        <v>33</v>
      </c>
      <c r="F963">
        <v>27</v>
      </c>
      <c r="G963" t="s">
        <v>120</v>
      </c>
      <c r="H963" s="18">
        <v>43776</v>
      </c>
      <c r="I963">
        <v>174607</v>
      </c>
      <c r="J963">
        <v>0.28999999999999998</v>
      </c>
      <c r="K963">
        <v>50636.03</v>
      </c>
      <c r="L963" t="s">
        <v>29</v>
      </c>
      <c r="M963" t="s">
        <v>58</v>
      </c>
      <c r="N963" s="18"/>
    </row>
    <row r="964" spans="1:14" x14ac:dyDescent="0.25">
      <c r="A964" t="s">
        <v>2420</v>
      </c>
      <c r="B964" t="s">
        <v>66</v>
      </c>
      <c r="C964" t="s">
        <v>50</v>
      </c>
      <c r="D964" t="s">
        <v>27</v>
      </c>
      <c r="E964" t="s">
        <v>33</v>
      </c>
      <c r="F964">
        <v>58</v>
      </c>
      <c r="G964" t="s">
        <v>118</v>
      </c>
      <c r="H964" s="18">
        <v>38819</v>
      </c>
      <c r="I964">
        <v>64202</v>
      </c>
      <c r="J964">
        <v>0</v>
      </c>
      <c r="K964">
        <v>0</v>
      </c>
      <c r="L964" t="s">
        <v>29</v>
      </c>
      <c r="M964" t="s">
        <v>58</v>
      </c>
      <c r="N964" s="18"/>
    </row>
    <row r="965" spans="1:14" x14ac:dyDescent="0.25">
      <c r="A965" t="s">
        <v>2421</v>
      </c>
      <c r="B965" t="s">
        <v>66</v>
      </c>
      <c r="C965" t="s">
        <v>50</v>
      </c>
      <c r="D965" t="s">
        <v>46</v>
      </c>
      <c r="E965" t="s">
        <v>33</v>
      </c>
      <c r="F965">
        <v>49</v>
      </c>
      <c r="G965" t="s">
        <v>119</v>
      </c>
      <c r="H965" s="18">
        <v>43671</v>
      </c>
      <c r="I965">
        <v>50883</v>
      </c>
      <c r="J965">
        <v>0</v>
      </c>
      <c r="K965">
        <v>0</v>
      </c>
      <c r="L965" t="s">
        <v>34</v>
      </c>
      <c r="M965" t="s">
        <v>35</v>
      </c>
      <c r="N965" s="18">
        <v>44257</v>
      </c>
    </row>
    <row r="966" spans="1:14" x14ac:dyDescent="0.25">
      <c r="A966" t="s">
        <v>2422</v>
      </c>
      <c r="B966" t="s">
        <v>78</v>
      </c>
      <c r="C966" t="s">
        <v>26</v>
      </c>
      <c r="D966" t="s">
        <v>39</v>
      </c>
      <c r="E966" t="s">
        <v>28</v>
      </c>
      <c r="F966">
        <v>36</v>
      </c>
      <c r="G966" t="s">
        <v>121</v>
      </c>
      <c r="H966" s="18">
        <v>42677</v>
      </c>
      <c r="I966">
        <v>94618</v>
      </c>
      <c r="J966">
        <v>0</v>
      </c>
      <c r="K966">
        <v>0</v>
      </c>
      <c r="L966" t="s">
        <v>29</v>
      </c>
      <c r="M966" t="s">
        <v>58</v>
      </c>
      <c r="N966" s="18"/>
    </row>
    <row r="967" spans="1:14" x14ac:dyDescent="0.25">
      <c r="A967" t="s">
        <v>2423</v>
      </c>
      <c r="B967" t="s">
        <v>37</v>
      </c>
      <c r="C967" t="s">
        <v>57</v>
      </c>
      <c r="D967" t="s">
        <v>27</v>
      </c>
      <c r="E967" t="s">
        <v>33</v>
      </c>
      <c r="F967">
        <v>26</v>
      </c>
      <c r="G967" t="s">
        <v>120</v>
      </c>
      <c r="H967" s="18">
        <v>43753</v>
      </c>
      <c r="I967">
        <v>151556</v>
      </c>
      <c r="J967">
        <v>0.2</v>
      </c>
      <c r="K967">
        <v>30311.200000000001</v>
      </c>
      <c r="L967" t="s">
        <v>29</v>
      </c>
      <c r="M967" t="s">
        <v>49</v>
      </c>
      <c r="N967" s="18"/>
    </row>
    <row r="968" spans="1:14" x14ac:dyDescent="0.25">
      <c r="A968" t="s">
        <v>2424</v>
      </c>
      <c r="B968" t="s">
        <v>80</v>
      </c>
      <c r="C968" t="s">
        <v>54</v>
      </c>
      <c r="D968" t="s">
        <v>27</v>
      </c>
      <c r="E968" t="s">
        <v>28</v>
      </c>
      <c r="F968">
        <v>37</v>
      </c>
      <c r="G968" t="s">
        <v>121</v>
      </c>
      <c r="H968" s="18">
        <v>43898</v>
      </c>
      <c r="I968">
        <v>80659</v>
      </c>
      <c r="J968">
        <v>0</v>
      </c>
      <c r="K968">
        <v>0</v>
      </c>
      <c r="L968" t="s">
        <v>29</v>
      </c>
      <c r="M968" t="s">
        <v>43</v>
      </c>
      <c r="N968" s="18"/>
    </row>
    <row r="969" spans="1:14" x14ac:dyDescent="0.25">
      <c r="A969" t="s">
        <v>2425</v>
      </c>
      <c r="B969" t="s">
        <v>37</v>
      </c>
      <c r="C969" t="s">
        <v>52</v>
      </c>
      <c r="D969" t="s">
        <v>39</v>
      </c>
      <c r="E969" t="s">
        <v>33</v>
      </c>
      <c r="F969">
        <v>47</v>
      </c>
      <c r="G969" t="s">
        <v>119</v>
      </c>
      <c r="H969" s="18">
        <v>43772</v>
      </c>
      <c r="I969">
        <v>195385</v>
      </c>
      <c r="J969">
        <v>0.21</v>
      </c>
      <c r="K969">
        <v>41030.85</v>
      </c>
      <c r="L969" t="s">
        <v>34</v>
      </c>
      <c r="M969" t="s">
        <v>68</v>
      </c>
      <c r="N969" s="18"/>
    </row>
    <row r="970" spans="1:14" x14ac:dyDescent="0.25">
      <c r="A970" t="s">
        <v>2426</v>
      </c>
      <c r="B970" t="s">
        <v>83</v>
      </c>
      <c r="C970" t="s">
        <v>26</v>
      </c>
      <c r="D970" t="s">
        <v>39</v>
      </c>
      <c r="E970" t="s">
        <v>33</v>
      </c>
      <c r="F970">
        <v>29</v>
      </c>
      <c r="G970" t="s">
        <v>120</v>
      </c>
      <c r="H970" s="18">
        <v>42509</v>
      </c>
      <c r="I970">
        <v>52693</v>
      </c>
      <c r="J970">
        <v>0</v>
      </c>
      <c r="K970">
        <v>0</v>
      </c>
      <c r="L970" t="s">
        <v>59</v>
      </c>
      <c r="M970" t="s">
        <v>61</v>
      </c>
      <c r="N970" s="18"/>
    </row>
    <row r="971" spans="1:14" x14ac:dyDescent="0.25">
      <c r="A971" t="s">
        <v>2427</v>
      </c>
      <c r="B971" t="s">
        <v>87</v>
      </c>
      <c r="C971" t="s">
        <v>26</v>
      </c>
      <c r="D971" t="s">
        <v>27</v>
      </c>
      <c r="E971" t="s">
        <v>28</v>
      </c>
      <c r="F971">
        <v>58</v>
      </c>
      <c r="G971" t="s">
        <v>118</v>
      </c>
      <c r="H971" s="18">
        <v>42486</v>
      </c>
      <c r="I971">
        <v>72045</v>
      </c>
      <c r="J971">
        <v>0</v>
      </c>
      <c r="K971">
        <v>0</v>
      </c>
      <c r="L971" t="s">
        <v>29</v>
      </c>
      <c r="M971" t="s">
        <v>43</v>
      </c>
      <c r="N971" s="18"/>
    </row>
    <row r="972" spans="1:14" x14ac:dyDescent="0.25">
      <c r="A972" t="s">
        <v>2428</v>
      </c>
      <c r="B972" t="s">
        <v>66</v>
      </c>
      <c r="C972" t="s">
        <v>57</v>
      </c>
      <c r="D972" t="s">
        <v>32</v>
      </c>
      <c r="E972" t="s">
        <v>33</v>
      </c>
      <c r="F972">
        <v>47</v>
      </c>
      <c r="G972" t="s">
        <v>119</v>
      </c>
      <c r="H972" s="18">
        <v>38684</v>
      </c>
      <c r="I972">
        <v>62749</v>
      </c>
      <c r="J972">
        <v>0</v>
      </c>
      <c r="K972">
        <v>0</v>
      </c>
      <c r="L972" t="s">
        <v>59</v>
      </c>
      <c r="M972" t="s">
        <v>60</v>
      </c>
      <c r="N972" s="18"/>
    </row>
    <row r="973" spans="1:14" x14ac:dyDescent="0.25">
      <c r="A973" t="s">
        <v>2429</v>
      </c>
      <c r="B973" t="s">
        <v>25</v>
      </c>
      <c r="C973" t="s">
        <v>57</v>
      </c>
      <c r="D973" t="s">
        <v>39</v>
      </c>
      <c r="E973" t="s">
        <v>33</v>
      </c>
      <c r="F973">
        <v>52</v>
      </c>
      <c r="G973" t="s">
        <v>119</v>
      </c>
      <c r="H973" s="18">
        <v>43255</v>
      </c>
      <c r="I973">
        <v>154884</v>
      </c>
      <c r="J973">
        <v>0.1</v>
      </c>
      <c r="K973">
        <v>15488.400000000001</v>
      </c>
      <c r="L973" t="s">
        <v>34</v>
      </c>
      <c r="M973" t="s">
        <v>55</v>
      </c>
      <c r="N973" s="18"/>
    </row>
    <row r="974" spans="1:14" x14ac:dyDescent="0.25">
      <c r="A974" t="s">
        <v>2430</v>
      </c>
      <c r="B974" t="s">
        <v>78</v>
      </c>
      <c r="C974" t="s">
        <v>26</v>
      </c>
      <c r="D974" t="s">
        <v>27</v>
      </c>
      <c r="E974" t="s">
        <v>33</v>
      </c>
      <c r="F974">
        <v>61</v>
      </c>
      <c r="G974" t="s">
        <v>118</v>
      </c>
      <c r="H974" s="18">
        <v>42437</v>
      </c>
      <c r="I974">
        <v>96566</v>
      </c>
      <c r="J974">
        <v>0</v>
      </c>
      <c r="K974">
        <v>0</v>
      </c>
      <c r="L974" t="s">
        <v>29</v>
      </c>
      <c r="M974" t="s">
        <v>58</v>
      </c>
      <c r="N974" s="18"/>
    </row>
    <row r="975" spans="1:14" x14ac:dyDescent="0.25">
      <c r="A975" t="s">
        <v>2431</v>
      </c>
      <c r="B975" t="s">
        <v>83</v>
      </c>
      <c r="C975" t="s">
        <v>26</v>
      </c>
      <c r="D975" t="s">
        <v>27</v>
      </c>
      <c r="E975" t="s">
        <v>33</v>
      </c>
      <c r="F975">
        <v>45</v>
      </c>
      <c r="G975" t="s">
        <v>119</v>
      </c>
      <c r="H975" s="18">
        <v>37126</v>
      </c>
      <c r="I975">
        <v>54994</v>
      </c>
      <c r="J975">
        <v>0</v>
      </c>
      <c r="K975">
        <v>0</v>
      </c>
      <c r="L975" t="s">
        <v>29</v>
      </c>
      <c r="M975" t="s">
        <v>58</v>
      </c>
      <c r="N975" s="18"/>
    </row>
    <row r="976" spans="1:14" x14ac:dyDescent="0.25">
      <c r="A976" t="s">
        <v>2432</v>
      </c>
      <c r="B976" t="s">
        <v>87</v>
      </c>
      <c r="C976" t="s">
        <v>26</v>
      </c>
      <c r="D976" t="s">
        <v>46</v>
      </c>
      <c r="E976" t="s">
        <v>28</v>
      </c>
      <c r="F976">
        <v>40</v>
      </c>
      <c r="G976" t="s">
        <v>121</v>
      </c>
      <c r="H976" s="18">
        <v>40944</v>
      </c>
      <c r="I976">
        <v>61523</v>
      </c>
      <c r="J976">
        <v>0</v>
      </c>
      <c r="K976">
        <v>0</v>
      </c>
      <c r="L976" t="s">
        <v>29</v>
      </c>
      <c r="M976" t="s">
        <v>58</v>
      </c>
      <c r="N976" s="18"/>
    </row>
    <row r="977" spans="1:14" x14ac:dyDescent="0.25">
      <c r="A977" t="s">
        <v>2433</v>
      </c>
      <c r="B977" t="s">
        <v>56</v>
      </c>
      <c r="C977" t="s">
        <v>52</v>
      </c>
      <c r="D977" t="s">
        <v>46</v>
      </c>
      <c r="E977" t="s">
        <v>33</v>
      </c>
      <c r="F977">
        <v>45</v>
      </c>
      <c r="G977" t="s">
        <v>119</v>
      </c>
      <c r="H977" s="18">
        <v>40524</v>
      </c>
      <c r="I977">
        <v>190512</v>
      </c>
      <c r="J977">
        <v>0.32</v>
      </c>
      <c r="K977">
        <v>60963.840000000004</v>
      </c>
      <c r="L977" t="s">
        <v>29</v>
      </c>
      <c r="M977" t="s">
        <v>58</v>
      </c>
      <c r="N977" s="18"/>
    </row>
    <row r="978" spans="1:14" x14ac:dyDescent="0.25">
      <c r="A978" t="s">
        <v>2434</v>
      </c>
      <c r="B978" t="s">
        <v>53</v>
      </c>
      <c r="C978" t="s">
        <v>54</v>
      </c>
      <c r="D978" t="s">
        <v>39</v>
      </c>
      <c r="E978" t="s">
        <v>28</v>
      </c>
      <c r="F978">
        <v>37</v>
      </c>
      <c r="G978" t="s">
        <v>121</v>
      </c>
      <c r="H978" s="18">
        <v>41318</v>
      </c>
      <c r="I978">
        <v>124827</v>
      </c>
      <c r="J978">
        <v>0</v>
      </c>
      <c r="K978">
        <v>0</v>
      </c>
      <c r="L978" t="s">
        <v>34</v>
      </c>
      <c r="M978" t="s">
        <v>64</v>
      </c>
      <c r="N978" s="18"/>
    </row>
    <row r="979" spans="1:14" x14ac:dyDescent="0.25">
      <c r="A979" t="s">
        <v>2435</v>
      </c>
      <c r="B979" t="s">
        <v>47</v>
      </c>
      <c r="C979" t="s">
        <v>50</v>
      </c>
      <c r="D979" t="s">
        <v>32</v>
      </c>
      <c r="E979" t="s">
        <v>33</v>
      </c>
      <c r="F979">
        <v>57</v>
      </c>
      <c r="G979" t="s">
        <v>118</v>
      </c>
      <c r="H979" s="18">
        <v>43484</v>
      </c>
      <c r="I979">
        <v>101577</v>
      </c>
      <c r="J979">
        <v>0.05</v>
      </c>
      <c r="K979">
        <v>5078.8500000000004</v>
      </c>
      <c r="L979" t="s">
        <v>29</v>
      </c>
      <c r="M979" t="s">
        <v>40</v>
      </c>
      <c r="N979" s="18"/>
    </row>
    <row r="980" spans="1:14" x14ac:dyDescent="0.25">
      <c r="A980" t="s">
        <v>2436</v>
      </c>
      <c r="B980" t="s">
        <v>47</v>
      </c>
      <c r="C980" t="s">
        <v>50</v>
      </c>
      <c r="D980" t="s">
        <v>32</v>
      </c>
      <c r="E980" t="s">
        <v>28</v>
      </c>
      <c r="F980">
        <v>44</v>
      </c>
      <c r="G980" t="s">
        <v>121</v>
      </c>
      <c r="H980" s="18">
        <v>38642</v>
      </c>
      <c r="I980">
        <v>105223</v>
      </c>
      <c r="J980">
        <v>0.1</v>
      </c>
      <c r="K980">
        <v>10522.300000000001</v>
      </c>
      <c r="L980" t="s">
        <v>29</v>
      </c>
      <c r="M980" t="s">
        <v>43</v>
      </c>
      <c r="N980" s="18"/>
    </row>
    <row r="981" spans="1:14" x14ac:dyDescent="0.25">
      <c r="A981" t="s">
        <v>2437</v>
      </c>
      <c r="B981" t="s">
        <v>85</v>
      </c>
      <c r="C981" t="s">
        <v>26</v>
      </c>
      <c r="D981" t="s">
        <v>46</v>
      </c>
      <c r="E981" t="s">
        <v>33</v>
      </c>
      <c r="F981">
        <v>48</v>
      </c>
      <c r="G981" t="s">
        <v>119</v>
      </c>
      <c r="H981" s="18">
        <v>39635</v>
      </c>
      <c r="I981">
        <v>94815</v>
      </c>
      <c r="J981">
        <v>0</v>
      </c>
      <c r="K981">
        <v>0</v>
      </c>
      <c r="L981" t="s">
        <v>29</v>
      </c>
      <c r="M981" t="s">
        <v>40</v>
      </c>
      <c r="N981" s="18"/>
    </row>
    <row r="982" spans="1:14" x14ac:dyDescent="0.25">
      <c r="A982" t="s">
        <v>2438</v>
      </c>
      <c r="B982" t="s">
        <v>47</v>
      </c>
      <c r="C982" t="s">
        <v>50</v>
      </c>
      <c r="D982" t="s">
        <v>39</v>
      </c>
      <c r="E982" t="s">
        <v>28</v>
      </c>
      <c r="F982">
        <v>25</v>
      </c>
      <c r="G982" t="s">
        <v>120</v>
      </c>
      <c r="H982" s="18">
        <v>44545</v>
      </c>
      <c r="I982">
        <v>114893</v>
      </c>
      <c r="J982">
        <v>0.06</v>
      </c>
      <c r="K982">
        <v>6893.58</v>
      </c>
      <c r="L982" t="s">
        <v>34</v>
      </c>
      <c r="M982" t="s">
        <v>68</v>
      </c>
      <c r="N982" s="18"/>
    </row>
    <row r="983" spans="1:14" x14ac:dyDescent="0.25">
      <c r="A983" t="s">
        <v>2439</v>
      </c>
      <c r="B983" t="s">
        <v>42</v>
      </c>
      <c r="C983" t="s">
        <v>57</v>
      </c>
      <c r="D983" t="s">
        <v>39</v>
      </c>
      <c r="E983" t="s">
        <v>28</v>
      </c>
      <c r="F983">
        <v>35</v>
      </c>
      <c r="G983" t="s">
        <v>121</v>
      </c>
      <c r="H983" s="18">
        <v>42745</v>
      </c>
      <c r="I983">
        <v>80622</v>
      </c>
      <c r="J983">
        <v>0</v>
      </c>
      <c r="K983">
        <v>0</v>
      </c>
      <c r="L983" t="s">
        <v>29</v>
      </c>
      <c r="M983" t="s">
        <v>51</v>
      </c>
      <c r="N983" s="18"/>
    </row>
    <row r="984" spans="1:14" x14ac:dyDescent="0.25">
      <c r="A984" t="s">
        <v>2440</v>
      </c>
      <c r="B984" t="s">
        <v>56</v>
      </c>
      <c r="C984" t="s">
        <v>26</v>
      </c>
      <c r="D984" t="s">
        <v>39</v>
      </c>
      <c r="E984" t="s">
        <v>28</v>
      </c>
      <c r="F984">
        <v>57</v>
      </c>
      <c r="G984" t="s">
        <v>118</v>
      </c>
      <c r="H984" s="18">
        <v>42685</v>
      </c>
      <c r="I984">
        <v>246589</v>
      </c>
      <c r="J984">
        <v>0.33</v>
      </c>
      <c r="K984">
        <v>81374.37000000001</v>
      </c>
      <c r="L984" t="s">
        <v>29</v>
      </c>
      <c r="M984" t="s">
        <v>43</v>
      </c>
      <c r="N984" s="18">
        <v>42820</v>
      </c>
    </row>
    <row r="985" spans="1:14" x14ac:dyDescent="0.25">
      <c r="A985" t="s">
        <v>2441</v>
      </c>
      <c r="B985" t="s">
        <v>47</v>
      </c>
      <c r="C985" t="s">
        <v>57</v>
      </c>
      <c r="D985" t="s">
        <v>39</v>
      </c>
      <c r="E985" t="s">
        <v>33</v>
      </c>
      <c r="F985">
        <v>49</v>
      </c>
      <c r="G985" t="s">
        <v>119</v>
      </c>
      <c r="H985" s="18">
        <v>43240</v>
      </c>
      <c r="I985">
        <v>119397</v>
      </c>
      <c r="J985">
        <v>0.09</v>
      </c>
      <c r="K985">
        <v>10745.73</v>
      </c>
      <c r="L985" t="s">
        <v>34</v>
      </c>
      <c r="M985" t="s">
        <v>64</v>
      </c>
      <c r="N985" s="18">
        <v>43538</v>
      </c>
    </row>
    <row r="986" spans="1:14" x14ac:dyDescent="0.25">
      <c r="A986" t="s">
        <v>2442</v>
      </c>
      <c r="B986" t="s">
        <v>37</v>
      </c>
      <c r="C986" t="s">
        <v>45</v>
      </c>
      <c r="D986" t="s">
        <v>46</v>
      </c>
      <c r="E986" t="s">
        <v>28</v>
      </c>
      <c r="F986">
        <v>25</v>
      </c>
      <c r="G986" t="s">
        <v>120</v>
      </c>
      <c r="H986" s="18">
        <v>44549</v>
      </c>
      <c r="I986">
        <v>150666</v>
      </c>
      <c r="J986">
        <v>0.23</v>
      </c>
      <c r="K986">
        <v>34653.18</v>
      </c>
      <c r="L986" t="s">
        <v>34</v>
      </c>
      <c r="M986" t="s">
        <v>68</v>
      </c>
      <c r="N986" s="18"/>
    </row>
    <row r="987" spans="1:14" x14ac:dyDescent="0.25">
      <c r="A987" t="s">
        <v>2443</v>
      </c>
      <c r="B987" t="s">
        <v>25</v>
      </c>
      <c r="C987" t="s">
        <v>26</v>
      </c>
      <c r="D987" t="s">
        <v>27</v>
      </c>
      <c r="E987" t="s">
        <v>28</v>
      </c>
      <c r="F987">
        <v>46</v>
      </c>
      <c r="G987" t="s">
        <v>119</v>
      </c>
      <c r="H987" s="18">
        <v>37265</v>
      </c>
      <c r="I987">
        <v>148035</v>
      </c>
      <c r="J987">
        <v>0.14000000000000001</v>
      </c>
      <c r="K987">
        <v>20724.900000000001</v>
      </c>
      <c r="L987" t="s">
        <v>29</v>
      </c>
      <c r="M987" t="s">
        <v>43</v>
      </c>
      <c r="N987" s="18"/>
    </row>
    <row r="988" spans="1:14" x14ac:dyDescent="0.25">
      <c r="A988" t="s">
        <v>2444</v>
      </c>
      <c r="B988" t="s">
        <v>37</v>
      </c>
      <c r="C988" t="s">
        <v>38</v>
      </c>
      <c r="D988" t="s">
        <v>46</v>
      </c>
      <c r="E988" t="s">
        <v>33</v>
      </c>
      <c r="F988">
        <v>60</v>
      </c>
      <c r="G988" t="s">
        <v>118</v>
      </c>
      <c r="H988" s="18">
        <v>42891</v>
      </c>
      <c r="I988">
        <v>158898</v>
      </c>
      <c r="J988">
        <v>0.18</v>
      </c>
      <c r="K988">
        <v>28601.64</v>
      </c>
      <c r="L988" t="s">
        <v>29</v>
      </c>
      <c r="M988" t="s">
        <v>49</v>
      </c>
      <c r="N988" s="18"/>
    </row>
    <row r="989" spans="1:14" x14ac:dyDescent="0.25">
      <c r="A989" t="s">
        <v>2445</v>
      </c>
      <c r="B989" t="s">
        <v>71</v>
      </c>
      <c r="C989" t="s">
        <v>54</v>
      </c>
      <c r="D989" t="s">
        <v>46</v>
      </c>
      <c r="E989" t="s">
        <v>28</v>
      </c>
      <c r="F989">
        <v>45</v>
      </c>
      <c r="G989" t="s">
        <v>119</v>
      </c>
      <c r="H989" s="18">
        <v>40967</v>
      </c>
      <c r="I989">
        <v>89659</v>
      </c>
      <c r="J989">
        <v>0</v>
      </c>
      <c r="K989">
        <v>0</v>
      </c>
      <c r="L989" t="s">
        <v>34</v>
      </c>
      <c r="M989" t="s">
        <v>64</v>
      </c>
      <c r="N989" s="18"/>
    </row>
    <row r="990" spans="1:14" x14ac:dyDescent="0.25">
      <c r="A990" t="s">
        <v>2446</v>
      </c>
      <c r="B990" t="s">
        <v>37</v>
      </c>
      <c r="C990" t="s">
        <v>45</v>
      </c>
      <c r="D990" t="s">
        <v>39</v>
      </c>
      <c r="E990" t="s">
        <v>28</v>
      </c>
      <c r="F990">
        <v>39</v>
      </c>
      <c r="G990" t="s">
        <v>121</v>
      </c>
      <c r="H990" s="18">
        <v>39201</v>
      </c>
      <c r="I990">
        <v>171487</v>
      </c>
      <c r="J990">
        <v>0.23</v>
      </c>
      <c r="K990">
        <v>39442.01</v>
      </c>
      <c r="L990" t="s">
        <v>29</v>
      </c>
      <c r="M990" t="s">
        <v>43</v>
      </c>
      <c r="N990" s="18"/>
    </row>
    <row r="991" spans="1:14" x14ac:dyDescent="0.25">
      <c r="A991" t="s">
        <v>2447</v>
      </c>
      <c r="B991" t="s">
        <v>56</v>
      </c>
      <c r="C991" t="s">
        <v>45</v>
      </c>
      <c r="D991" t="s">
        <v>32</v>
      </c>
      <c r="E991" t="s">
        <v>28</v>
      </c>
      <c r="F991">
        <v>43</v>
      </c>
      <c r="G991" t="s">
        <v>121</v>
      </c>
      <c r="H991" s="18">
        <v>42603</v>
      </c>
      <c r="I991">
        <v>258498</v>
      </c>
      <c r="J991">
        <v>0.35</v>
      </c>
      <c r="K991">
        <v>90474.299999999988</v>
      </c>
      <c r="L991" t="s">
        <v>29</v>
      </c>
      <c r="M991" t="s">
        <v>58</v>
      </c>
      <c r="N991" s="18"/>
    </row>
    <row r="992" spans="1:14" x14ac:dyDescent="0.25">
      <c r="A992" t="s">
        <v>2448</v>
      </c>
      <c r="B992" t="s">
        <v>25</v>
      </c>
      <c r="C992" t="s">
        <v>26</v>
      </c>
      <c r="D992" t="s">
        <v>27</v>
      </c>
      <c r="E992" t="s">
        <v>33</v>
      </c>
      <c r="F992">
        <v>37</v>
      </c>
      <c r="G992" t="s">
        <v>121</v>
      </c>
      <c r="H992" s="18">
        <v>40511</v>
      </c>
      <c r="I992">
        <v>146961</v>
      </c>
      <c r="J992">
        <v>0.11</v>
      </c>
      <c r="K992">
        <v>16165.710000000001</v>
      </c>
      <c r="L992" t="s">
        <v>29</v>
      </c>
      <c r="M992" t="s">
        <v>58</v>
      </c>
      <c r="N992" s="18"/>
    </row>
    <row r="993" spans="1:14" x14ac:dyDescent="0.25">
      <c r="A993" t="s">
        <v>2449</v>
      </c>
      <c r="B993" t="s">
        <v>69</v>
      </c>
      <c r="C993" t="s">
        <v>52</v>
      </c>
      <c r="D993" t="s">
        <v>27</v>
      </c>
      <c r="E993" t="s">
        <v>33</v>
      </c>
      <c r="F993">
        <v>48</v>
      </c>
      <c r="G993" t="s">
        <v>119</v>
      </c>
      <c r="H993" s="18">
        <v>35907</v>
      </c>
      <c r="I993">
        <v>85369</v>
      </c>
      <c r="J993">
        <v>0</v>
      </c>
      <c r="K993">
        <v>0</v>
      </c>
      <c r="L993" t="s">
        <v>59</v>
      </c>
      <c r="M993" t="s">
        <v>60</v>
      </c>
      <c r="N993" s="18">
        <v>38318</v>
      </c>
    </row>
    <row r="994" spans="1:14" x14ac:dyDescent="0.25">
      <c r="A994" t="s">
        <v>2450</v>
      </c>
      <c r="B994" t="s">
        <v>31</v>
      </c>
      <c r="C994" t="s">
        <v>26</v>
      </c>
      <c r="D994" t="s">
        <v>32</v>
      </c>
      <c r="E994" t="s">
        <v>33</v>
      </c>
      <c r="F994">
        <v>30</v>
      </c>
      <c r="G994" t="s">
        <v>120</v>
      </c>
      <c r="H994" s="18">
        <v>42169</v>
      </c>
      <c r="I994">
        <v>67489</v>
      </c>
      <c r="J994">
        <v>0</v>
      </c>
      <c r="K994">
        <v>0</v>
      </c>
      <c r="L994" t="s">
        <v>29</v>
      </c>
      <c r="M994" t="s">
        <v>40</v>
      </c>
      <c r="N994" s="18"/>
    </row>
    <row r="995" spans="1:14" x14ac:dyDescent="0.25">
      <c r="A995" t="s">
        <v>2451</v>
      </c>
      <c r="B995" t="s">
        <v>37</v>
      </c>
      <c r="C995" t="s">
        <v>26</v>
      </c>
      <c r="D995" t="s">
        <v>32</v>
      </c>
      <c r="E995" t="s">
        <v>28</v>
      </c>
      <c r="F995">
        <v>46</v>
      </c>
      <c r="G995" t="s">
        <v>119</v>
      </c>
      <c r="H995" s="18">
        <v>43379</v>
      </c>
      <c r="I995">
        <v>166259</v>
      </c>
      <c r="J995">
        <v>0.17</v>
      </c>
      <c r="K995">
        <v>28264.030000000002</v>
      </c>
      <c r="L995" t="s">
        <v>29</v>
      </c>
      <c r="M995" t="s">
        <v>40</v>
      </c>
      <c r="N995" s="18"/>
    </row>
    <row r="996" spans="1:14" x14ac:dyDescent="0.25">
      <c r="A996" t="s">
        <v>2452</v>
      </c>
      <c r="B996" t="s">
        <v>83</v>
      </c>
      <c r="C996" t="s">
        <v>26</v>
      </c>
      <c r="D996" t="s">
        <v>46</v>
      </c>
      <c r="E996" t="s">
        <v>28</v>
      </c>
      <c r="F996">
        <v>55</v>
      </c>
      <c r="G996" t="s">
        <v>118</v>
      </c>
      <c r="H996" s="18">
        <v>39820</v>
      </c>
      <c r="I996">
        <v>47032</v>
      </c>
      <c r="J996">
        <v>0</v>
      </c>
      <c r="K996">
        <v>0</v>
      </c>
      <c r="L996" t="s">
        <v>29</v>
      </c>
      <c r="M996" t="s">
        <v>58</v>
      </c>
      <c r="N996" s="18"/>
    </row>
    <row r="997" spans="1:14" x14ac:dyDescent="0.25">
      <c r="A997" t="s">
        <v>2453</v>
      </c>
      <c r="B997" t="s">
        <v>42</v>
      </c>
      <c r="C997" t="s">
        <v>57</v>
      </c>
      <c r="D997" t="s">
        <v>39</v>
      </c>
      <c r="E997" t="s">
        <v>33</v>
      </c>
      <c r="F997">
        <v>33</v>
      </c>
      <c r="G997" t="s">
        <v>120</v>
      </c>
      <c r="H997" s="18">
        <v>42631</v>
      </c>
      <c r="I997">
        <v>98427</v>
      </c>
      <c r="J997">
        <v>0</v>
      </c>
      <c r="K997">
        <v>0</v>
      </c>
      <c r="L997" t="s">
        <v>29</v>
      </c>
      <c r="M997" t="s">
        <v>58</v>
      </c>
      <c r="N997" s="18"/>
    </row>
    <row r="998" spans="1:14" x14ac:dyDescent="0.25">
      <c r="A998" t="s">
        <v>2454</v>
      </c>
      <c r="B998" t="s">
        <v>48</v>
      </c>
      <c r="C998" t="s">
        <v>38</v>
      </c>
      <c r="D998" t="s">
        <v>39</v>
      </c>
      <c r="E998" t="s">
        <v>28</v>
      </c>
      <c r="F998">
        <v>44</v>
      </c>
      <c r="G998" t="s">
        <v>121</v>
      </c>
      <c r="H998" s="18">
        <v>40329</v>
      </c>
      <c r="I998">
        <v>47387</v>
      </c>
      <c r="J998">
        <v>0</v>
      </c>
      <c r="K998">
        <v>0</v>
      </c>
      <c r="L998" t="s">
        <v>34</v>
      </c>
      <c r="M998" t="s">
        <v>68</v>
      </c>
      <c r="N998" s="18">
        <v>43108</v>
      </c>
    </row>
    <row r="999" spans="1:14" x14ac:dyDescent="0.25">
      <c r="A999" t="s">
        <v>2455</v>
      </c>
      <c r="B999" t="s">
        <v>37</v>
      </c>
      <c r="C999" t="s">
        <v>57</v>
      </c>
      <c r="D999" t="s">
        <v>39</v>
      </c>
      <c r="E999" t="s">
        <v>33</v>
      </c>
      <c r="F999">
        <v>31</v>
      </c>
      <c r="G999" t="s">
        <v>120</v>
      </c>
      <c r="H999" s="18">
        <v>43626</v>
      </c>
      <c r="I999">
        <v>176710</v>
      </c>
      <c r="J999">
        <v>0.15</v>
      </c>
      <c r="K999">
        <v>26506.5</v>
      </c>
      <c r="L999" t="s">
        <v>29</v>
      </c>
      <c r="M999" t="s">
        <v>49</v>
      </c>
      <c r="N999" s="18"/>
    </row>
    <row r="1000" spans="1:14" x14ac:dyDescent="0.25">
      <c r="A1000" t="s">
        <v>2456</v>
      </c>
      <c r="B1000" t="s">
        <v>42</v>
      </c>
      <c r="C1000" t="s">
        <v>38</v>
      </c>
      <c r="D1000" t="s">
        <v>39</v>
      </c>
      <c r="E1000" t="s">
        <v>28</v>
      </c>
      <c r="F1000">
        <v>33</v>
      </c>
      <c r="G1000" t="s">
        <v>120</v>
      </c>
      <c r="H1000" s="18">
        <v>40936</v>
      </c>
      <c r="I1000">
        <v>95960</v>
      </c>
      <c r="J1000">
        <v>0</v>
      </c>
      <c r="K1000">
        <v>0</v>
      </c>
      <c r="L1000" t="s">
        <v>34</v>
      </c>
      <c r="M1000" t="s">
        <v>68</v>
      </c>
      <c r="N1000" s="18"/>
    </row>
    <row r="1001" spans="1:14" x14ac:dyDescent="0.25">
      <c r="A1001" t="s">
        <v>2457</v>
      </c>
      <c r="B1001" t="s">
        <v>56</v>
      </c>
      <c r="C1001" t="s">
        <v>50</v>
      </c>
      <c r="D1001" t="s">
        <v>46</v>
      </c>
      <c r="E1001" t="s">
        <v>28</v>
      </c>
      <c r="F1001">
        <v>63</v>
      </c>
      <c r="G1001" t="s">
        <v>118</v>
      </c>
      <c r="H1001" s="18">
        <v>44038</v>
      </c>
      <c r="I1001">
        <v>216195</v>
      </c>
      <c r="J1001">
        <v>0.31</v>
      </c>
      <c r="K1001">
        <v>67020.45</v>
      </c>
      <c r="L1001" t="s">
        <v>29</v>
      </c>
      <c r="M1001" t="s">
        <v>49</v>
      </c>
      <c r="N1001" s="18"/>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21E33-31A4-4BAA-91D5-9EB96E8613C6}">
  <dimension ref="A1:P1000"/>
  <sheetViews>
    <sheetView zoomScale="90" zoomScaleNormal="90" workbookViewId="0">
      <selection activeCell="C29" sqref="C29"/>
    </sheetView>
  </sheetViews>
  <sheetFormatPr defaultRowHeight="15" x14ac:dyDescent="0.25"/>
  <cols>
    <col min="1" max="1" width="17" bestFit="1" customWidth="1"/>
    <col min="3" max="3" width="16.85546875" bestFit="1" customWidth="1"/>
    <col min="5" max="5" width="13.28515625" bestFit="1" customWidth="1"/>
    <col min="8" max="8" width="13.28515625" bestFit="1" customWidth="1"/>
    <col min="9" max="9" width="19.85546875" bestFit="1" customWidth="1"/>
    <col min="11" max="11" width="13.28515625" bestFit="1" customWidth="1"/>
    <col min="12" max="12" width="17" bestFit="1" customWidth="1"/>
    <col min="14" max="14" width="13.28515625" bestFit="1" customWidth="1"/>
    <col min="15" max="15" width="27.7109375" bestFit="1" customWidth="1"/>
    <col min="16" max="16" width="17" bestFit="1" customWidth="1"/>
  </cols>
  <sheetData>
    <row r="1" spans="1:15" x14ac:dyDescent="0.25">
      <c r="A1" t="s">
        <v>1441</v>
      </c>
      <c r="C1" s="19" t="s">
        <v>1432</v>
      </c>
      <c r="E1" t="s">
        <v>1442</v>
      </c>
    </row>
    <row r="2" spans="1:15" x14ac:dyDescent="0.25">
      <c r="A2">
        <v>1000</v>
      </c>
      <c r="C2" s="20" t="s">
        <v>50</v>
      </c>
      <c r="E2">
        <f>COUNTA(C2:C14)-1</f>
        <v>7</v>
      </c>
      <c r="H2" s="19" t="s">
        <v>1432</v>
      </c>
      <c r="I2" t="s">
        <v>1444</v>
      </c>
      <c r="L2" t="s">
        <v>1445</v>
      </c>
      <c r="N2" s="19" t="s">
        <v>1432</v>
      </c>
      <c r="O2" t="s">
        <v>1441</v>
      </c>
    </row>
    <row r="3" spans="1:15" x14ac:dyDescent="0.25">
      <c r="C3" s="20" t="s">
        <v>54</v>
      </c>
      <c r="H3" s="20" t="s">
        <v>59</v>
      </c>
      <c r="I3">
        <f>COUNTA(H3:H8)-1</f>
        <v>3</v>
      </c>
      <c r="N3" s="20" t="s">
        <v>120</v>
      </c>
      <c r="O3">
        <v>245</v>
      </c>
    </row>
    <row r="4" spans="1:15" x14ac:dyDescent="0.25">
      <c r="C4" s="20" t="s">
        <v>38</v>
      </c>
      <c r="F4" t="s">
        <v>1443</v>
      </c>
      <c r="H4" s="20" t="s">
        <v>34</v>
      </c>
      <c r="N4" s="20" t="s">
        <v>121</v>
      </c>
      <c r="O4">
        <v>227</v>
      </c>
    </row>
    <row r="5" spans="1:15" x14ac:dyDescent="0.25">
      <c r="C5" s="20" t="s">
        <v>52</v>
      </c>
      <c r="E5" s="19" t="s">
        <v>1432</v>
      </c>
      <c r="F5">
        <f>AVERAGE(E6:E1000)-1</f>
        <v>113264.96881287727</v>
      </c>
      <c r="H5" s="20" t="s">
        <v>29</v>
      </c>
      <c r="N5" s="20" t="s">
        <v>119</v>
      </c>
      <c r="O5">
        <v>296</v>
      </c>
    </row>
    <row r="6" spans="1:15" x14ac:dyDescent="0.25">
      <c r="C6" s="20" t="s">
        <v>26</v>
      </c>
      <c r="E6" s="20">
        <v>40316</v>
      </c>
      <c r="H6" s="20" t="s">
        <v>1431</v>
      </c>
      <c r="N6" s="20" t="s">
        <v>118</v>
      </c>
      <c r="O6">
        <v>217</v>
      </c>
    </row>
    <row r="7" spans="1:15" x14ac:dyDescent="0.25">
      <c r="C7" s="20" t="s">
        <v>57</v>
      </c>
      <c r="E7" s="20">
        <v>40752</v>
      </c>
      <c r="K7" t="s">
        <v>1446</v>
      </c>
      <c r="N7" s="20" t="s">
        <v>122</v>
      </c>
      <c r="O7">
        <v>15</v>
      </c>
    </row>
    <row r="8" spans="1:15" x14ac:dyDescent="0.25">
      <c r="C8" s="20" t="s">
        <v>45</v>
      </c>
      <c r="E8" s="20">
        <v>40897</v>
      </c>
      <c r="K8" s="19" t="s">
        <v>1432</v>
      </c>
      <c r="L8" t="s">
        <v>1441</v>
      </c>
      <c r="N8" s="20" t="s">
        <v>1431</v>
      </c>
      <c r="O8">
        <v>1000</v>
      </c>
    </row>
    <row r="9" spans="1:15" x14ac:dyDescent="0.25">
      <c r="C9" s="20" t="s">
        <v>1431</v>
      </c>
      <c r="E9" s="20">
        <v>41336</v>
      </c>
      <c r="H9" s="20" t="s">
        <v>1449</v>
      </c>
      <c r="K9" s="20" t="s">
        <v>50</v>
      </c>
      <c r="L9">
        <v>96</v>
      </c>
    </row>
    <row r="10" spans="1:15" x14ac:dyDescent="0.25">
      <c r="E10" s="20">
        <v>41429</v>
      </c>
      <c r="H10" s="19" t="s">
        <v>1432</v>
      </c>
      <c r="I10" t="s">
        <v>1455</v>
      </c>
      <c r="K10" s="20" t="s">
        <v>54</v>
      </c>
      <c r="L10">
        <v>158</v>
      </c>
    </row>
    <row r="11" spans="1:15" x14ac:dyDescent="0.25">
      <c r="E11" s="20">
        <v>41545</v>
      </c>
      <c r="H11" s="20" t="s">
        <v>50</v>
      </c>
      <c r="I11">
        <v>11822107</v>
      </c>
      <c r="K11" s="20" t="s">
        <v>38</v>
      </c>
      <c r="L11">
        <v>120</v>
      </c>
    </row>
    <row r="12" spans="1:15" x14ac:dyDescent="0.25">
      <c r="E12" s="20">
        <v>41561</v>
      </c>
      <c r="H12" s="20" t="s">
        <v>54</v>
      </c>
      <c r="I12">
        <v>17227563</v>
      </c>
      <c r="K12" s="20" t="s">
        <v>52</v>
      </c>
      <c r="L12">
        <v>125</v>
      </c>
    </row>
    <row r="13" spans="1:15" x14ac:dyDescent="0.25">
      <c r="E13" s="20">
        <v>41673</v>
      </c>
      <c r="H13" s="20" t="s">
        <v>38</v>
      </c>
      <c r="I13">
        <v>14736347</v>
      </c>
      <c r="K13" s="20" t="s">
        <v>26</v>
      </c>
      <c r="L13">
        <v>241</v>
      </c>
      <c r="N13" s="20" t="s">
        <v>1447</v>
      </c>
    </row>
    <row r="14" spans="1:15" x14ac:dyDescent="0.25">
      <c r="E14" s="20">
        <v>41728</v>
      </c>
      <c r="H14" s="20" t="s">
        <v>52</v>
      </c>
      <c r="I14">
        <v>14757305</v>
      </c>
      <c r="K14" s="20" t="s">
        <v>57</v>
      </c>
      <c r="L14">
        <v>120</v>
      </c>
      <c r="N14" s="19" t="s">
        <v>1432</v>
      </c>
      <c r="O14" t="s">
        <v>1441</v>
      </c>
    </row>
    <row r="15" spans="1:15" x14ac:dyDescent="0.25">
      <c r="A15" s="27"/>
      <c r="B15" s="28"/>
      <c r="C15" s="29"/>
      <c r="E15" s="20">
        <v>41844</v>
      </c>
      <c r="H15" s="20" t="s">
        <v>26</v>
      </c>
      <c r="I15">
        <v>23567499</v>
      </c>
      <c r="K15" s="20" t="s">
        <v>45</v>
      </c>
      <c r="L15">
        <v>140</v>
      </c>
      <c r="N15" s="20" t="s">
        <v>59</v>
      </c>
      <c r="O15">
        <v>139</v>
      </c>
    </row>
    <row r="16" spans="1:15" x14ac:dyDescent="0.25">
      <c r="A16" s="30"/>
      <c r="B16" s="31"/>
      <c r="C16" s="32"/>
      <c r="E16" s="20">
        <v>41859</v>
      </c>
      <c r="H16" s="20" t="s">
        <v>57</v>
      </c>
      <c r="I16">
        <v>15559564</v>
      </c>
      <c r="K16" s="20" t="s">
        <v>1431</v>
      </c>
      <c r="L16">
        <v>1000</v>
      </c>
      <c r="N16" s="20" t="s">
        <v>34</v>
      </c>
      <c r="O16">
        <v>218</v>
      </c>
    </row>
    <row r="17" spans="1:16" x14ac:dyDescent="0.25">
      <c r="A17" s="30"/>
      <c r="B17" s="31"/>
      <c r="C17" s="32"/>
      <c r="E17" s="20">
        <v>43001</v>
      </c>
      <c r="H17" s="20" t="s">
        <v>45</v>
      </c>
      <c r="I17">
        <v>15546980</v>
      </c>
      <c r="N17" s="20" t="s">
        <v>29</v>
      </c>
      <c r="O17">
        <v>643</v>
      </c>
    </row>
    <row r="18" spans="1:16" x14ac:dyDescent="0.25">
      <c r="A18" s="30"/>
      <c r="B18" s="31"/>
      <c r="C18" s="32"/>
      <c r="E18" s="20">
        <v>43080</v>
      </c>
      <c r="H18" s="20" t="s">
        <v>1431</v>
      </c>
      <c r="I18">
        <v>113217365</v>
      </c>
      <c r="K18" s="20" t="s">
        <v>1448</v>
      </c>
      <c r="N18" s="20" t="s">
        <v>1431</v>
      </c>
      <c r="O18">
        <v>1000</v>
      </c>
    </row>
    <row r="19" spans="1:16" x14ac:dyDescent="0.25">
      <c r="A19" s="30"/>
      <c r="B19" s="31"/>
      <c r="C19" s="32"/>
      <c r="E19" s="20">
        <v>43336</v>
      </c>
      <c r="K19" s="19" t="s">
        <v>1432</v>
      </c>
      <c r="L19" t="s">
        <v>1441</v>
      </c>
    </row>
    <row r="20" spans="1:16" x14ac:dyDescent="0.25">
      <c r="A20" s="30"/>
      <c r="B20" s="31"/>
      <c r="C20" s="32"/>
      <c r="E20" s="20">
        <v>43363</v>
      </c>
      <c r="K20" s="20" t="s">
        <v>28</v>
      </c>
      <c r="L20">
        <v>518</v>
      </c>
    </row>
    <row r="21" spans="1:16" x14ac:dyDescent="0.25">
      <c r="A21" s="30"/>
      <c r="B21" s="31"/>
      <c r="C21" s="32"/>
      <c r="E21" s="20">
        <v>43391</v>
      </c>
      <c r="K21" s="20" t="s">
        <v>33</v>
      </c>
      <c r="L21">
        <v>482</v>
      </c>
    </row>
    <row r="22" spans="1:16" x14ac:dyDescent="0.25">
      <c r="A22" s="30"/>
      <c r="B22" s="31"/>
      <c r="C22" s="32"/>
      <c r="E22" s="20">
        <v>44614</v>
      </c>
      <c r="K22" s="20" t="s">
        <v>1431</v>
      </c>
      <c r="L22">
        <v>1000</v>
      </c>
    </row>
    <row r="23" spans="1:16" x14ac:dyDescent="0.25">
      <c r="A23" s="30"/>
      <c r="B23" s="31"/>
      <c r="C23" s="32"/>
      <c r="E23" s="20">
        <v>44732</v>
      </c>
    </row>
    <row r="24" spans="1:16" x14ac:dyDescent="0.25">
      <c r="A24" s="30"/>
      <c r="B24" s="31"/>
      <c r="C24" s="32"/>
      <c r="E24" s="20">
        <v>44735</v>
      </c>
    </row>
    <row r="25" spans="1:16" x14ac:dyDescent="0.25">
      <c r="A25" s="30"/>
      <c r="B25" s="31"/>
      <c r="C25" s="32"/>
      <c r="E25" s="20">
        <v>45049</v>
      </c>
    </row>
    <row r="26" spans="1:16" x14ac:dyDescent="0.25">
      <c r="A26" s="30"/>
      <c r="B26" s="31"/>
      <c r="C26" s="32"/>
      <c r="E26" s="20">
        <v>45061</v>
      </c>
    </row>
    <row r="27" spans="1:16" x14ac:dyDescent="0.25">
      <c r="A27" s="30"/>
      <c r="B27" s="31"/>
      <c r="C27" s="32"/>
      <c r="E27" s="20">
        <v>45206</v>
      </c>
    </row>
    <row r="28" spans="1:16" x14ac:dyDescent="0.25">
      <c r="A28" s="30"/>
      <c r="B28" s="31"/>
      <c r="C28" s="32"/>
      <c r="E28" s="20">
        <v>45286</v>
      </c>
      <c r="O28" s="19" t="s">
        <v>1432</v>
      </c>
      <c r="P28" t="s">
        <v>1441</v>
      </c>
    </row>
    <row r="29" spans="1:16" x14ac:dyDescent="0.25">
      <c r="A29" s="30"/>
      <c r="B29" s="31"/>
      <c r="C29" s="32"/>
      <c r="E29" s="20">
        <v>45295</v>
      </c>
      <c r="O29" s="20" t="s">
        <v>44</v>
      </c>
      <c r="P29">
        <v>21</v>
      </c>
    </row>
    <row r="30" spans="1:16" x14ac:dyDescent="0.25">
      <c r="A30" s="30"/>
      <c r="B30" s="31"/>
      <c r="C30" s="32"/>
      <c r="E30" s="20">
        <v>45369</v>
      </c>
      <c r="O30" s="20" t="s">
        <v>48</v>
      </c>
      <c r="P30">
        <v>51</v>
      </c>
    </row>
    <row r="31" spans="1:16" x14ac:dyDescent="0.25">
      <c r="A31" s="30"/>
      <c r="B31" s="31"/>
      <c r="C31" s="32"/>
      <c r="E31" s="20">
        <v>45819</v>
      </c>
      <c r="O31" s="20" t="s">
        <v>66</v>
      </c>
      <c r="P31">
        <v>53</v>
      </c>
    </row>
    <row r="32" spans="1:16" x14ac:dyDescent="0.25">
      <c r="A32" s="33"/>
      <c r="B32" s="34"/>
      <c r="C32" s="35"/>
      <c r="E32" s="20">
        <v>46081</v>
      </c>
      <c r="O32" s="20" t="s">
        <v>72</v>
      </c>
      <c r="P32">
        <v>7</v>
      </c>
    </row>
    <row r="33" spans="5:16" x14ac:dyDescent="0.25">
      <c r="E33" s="20">
        <v>46727</v>
      </c>
      <c r="O33" s="20" t="s">
        <v>74</v>
      </c>
      <c r="P33">
        <v>19</v>
      </c>
    </row>
    <row r="34" spans="5:16" x14ac:dyDescent="0.25">
      <c r="E34" s="20">
        <v>46833</v>
      </c>
      <c r="O34" s="20" t="s">
        <v>75</v>
      </c>
      <c r="P34">
        <v>15</v>
      </c>
    </row>
    <row r="35" spans="5:16" x14ac:dyDescent="0.25">
      <c r="E35" s="20">
        <v>46845</v>
      </c>
      <c r="O35" s="20" t="s">
        <v>41</v>
      </c>
      <c r="P35">
        <v>21</v>
      </c>
    </row>
    <row r="36" spans="5:16" x14ac:dyDescent="0.25">
      <c r="E36" s="20">
        <v>46878</v>
      </c>
      <c r="O36" s="20" t="s">
        <v>53</v>
      </c>
      <c r="P36">
        <v>15</v>
      </c>
    </row>
    <row r="37" spans="5:16" x14ac:dyDescent="0.25">
      <c r="E37" s="20">
        <v>47032</v>
      </c>
      <c r="O37" s="20" t="s">
        <v>80</v>
      </c>
      <c r="P37">
        <v>19</v>
      </c>
    </row>
    <row r="38" spans="5:16" x14ac:dyDescent="0.25">
      <c r="E38" s="20">
        <v>47071</v>
      </c>
      <c r="O38" s="20" t="s">
        <v>37</v>
      </c>
      <c r="P38">
        <v>121</v>
      </c>
    </row>
    <row r="39" spans="5:16" x14ac:dyDescent="0.25">
      <c r="E39" s="20">
        <v>47387</v>
      </c>
      <c r="O39" s="20" t="s">
        <v>63</v>
      </c>
      <c r="P39">
        <v>20</v>
      </c>
    </row>
    <row r="40" spans="5:16" x14ac:dyDescent="0.25">
      <c r="E40" s="20">
        <v>47913</v>
      </c>
      <c r="O40" s="20" t="s">
        <v>67</v>
      </c>
      <c r="P40">
        <v>18</v>
      </c>
    </row>
    <row r="41" spans="5:16" x14ac:dyDescent="0.25">
      <c r="E41" s="20">
        <v>47974</v>
      </c>
      <c r="O41" s="20" t="s">
        <v>71</v>
      </c>
      <c r="P41">
        <v>21</v>
      </c>
    </row>
    <row r="42" spans="5:16" x14ac:dyDescent="0.25">
      <c r="E42" s="20">
        <v>48266</v>
      </c>
      <c r="O42" s="20" t="s">
        <v>70</v>
      </c>
      <c r="P42">
        <v>16</v>
      </c>
    </row>
    <row r="43" spans="5:16" x14ac:dyDescent="0.25">
      <c r="E43" s="20">
        <v>48340</v>
      </c>
      <c r="O43" s="20" t="s">
        <v>65</v>
      </c>
      <c r="P43">
        <v>11</v>
      </c>
    </row>
    <row r="44" spans="5:16" x14ac:dyDescent="0.25">
      <c r="E44" s="20">
        <v>48345</v>
      </c>
      <c r="O44" s="20" t="s">
        <v>85</v>
      </c>
      <c r="P44">
        <v>12</v>
      </c>
    </row>
    <row r="45" spans="5:16" x14ac:dyDescent="0.25">
      <c r="E45" s="20">
        <v>48415</v>
      </c>
      <c r="O45" s="20" t="s">
        <v>47</v>
      </c>
      <c r="P45">
        <v>98</v>
      </c>
    </row>
    <row r="46" spans="5:16" x14ac:dyDescent="0.25">
      <c r="E46" s="20">
        <v>48510</v>
      </c>
      <c r="O46" s="20" t="s">
        <v>87</v>
      </c>
      <c r="P46">
        <v>10</v>
      </c>
    </row>
    <row r="47" spans="5:16" x14ac:dyDescent="0.25">
      <c r="E47" s="20">
        <v>48687</v>
      </c>
      <c r="O47" s="20" t="s">
        <v>78</v>
      </c>
      <c r="P47">
        <v>18</v>
      </c>
    </row>
    <row r="48" spans="5:16" x14ac:dyDescent="0.25">
      <c r="E48" s="20">
        <v>48762</v>
      </c>
      <c r="O48" s="20" t="s">
        <v>79</v>
      </c>
      <c r="P48">
        <v>7</v>
      </c>
    </row>
    <row r="49" spans="5:16" x14ac:dyDescent="0.25">
      <c r="E49" s="20">
        <v>48906</v>
      </c>
      <c r="O49" s="20" t="s">
        <v>73</v>
      </c>
      <c r="P49">
        <v>12</v>
      </c>
    </row>
    <row r="50" spans="5:16" x14ac:dyDescent="0.25">
      <c r="E50" s="20">
        <v>49011</v>
      </c>
      <c r="O50" s="20" t="s">
        <v>62</v>
      </c>
      <c r="P50">
        <v>20</v>
      </c>
    </row>
    <row r="51" spans="5:16" x14ac:dyDescent="0.25">
      <c r="E51" s="20">
        <v>49186</v>
      </c>
      <c r="O51" s="20" t="s">
        <v>86</v>
      </c>
      <c r="P51">
        <v>10</v>
      </c>
    </row>
    <row r="52" spans="5:16" x14ac:dyDescent="0.25">
      <c r="E52" s="20">
        <v>49219</v>
      </c>
      <c r="O52" s="20" t="s">
        <v>84</v>
      </c>
      <c r="P52">
        <v>15</v>
      </c>
    </row>
    <row r="53" spans="5:16" x14ac:dyDescent="0.25">
      <c r="E53" s="20">
        <v>49404</v>
      </c>
      <c r="O53" s="20" t="s">
        <v>81</v>
      </c>
      <c r="P53">
        <v>9</v>
      </c>
    </row>
    <row r="54" spans="5:16" x14ac:dyDescent="0.25">
      <c r="E54" s="20">
        <v>49738</v>
      </c>
      <c r="O54" s="20" t="s">
        <v>42</v>
      </c>
      <c r="P54">
        <v>70</v>
      </c>
    </row>
    <row r="55" spans="5:16" x14ac:dyDescent="0.25">
      <c r="E55" s="20">
        <v>49998</v>
      </c>
      <c r="O55" s="20" t="s">
        <v>69</v>
      </c>
      <c r="P55">
        <v>17</v>
      </c>
    </row>
    <row r="56" spans="5:16" x14ac:dyDescent="0.25">
      <c r="E56" s="20">
        <v>50069</v>
      </c>
      <c r="O56" s="20" t="s">
        <v>25</v>
      </c>
      <c r="P56">
        <v>110</v>
      </c>
    </row>
    <row r="57" spans="5:16" x14ac:dyDescent="0.25">
      <c r="E57" s="20">
        <v>50111</v>
      </c>
      <c r="O57" s="20" t="s">
        <v>82</v>
      </c>
      <c r="P57">
        <v>15</v>
      </c>
    </row>
    <row r="58" spans="5:16" x14ac:dyDescent="0.25">
      <c r="E58" s="20">
        <v>50341</v>
      </c>
      <c r="O58" s="20" t="s">
        <v>83</v>
      </c>
      <c r="P58">
        <v>15</v>
      </c>
    </row>
    <row r="59" spans="5:16" x14ac:dyDescent="0.25">
      <c r="E59" s="20">
        <v>50475</v>
      </c>
      <c r="O59" s="20" t="s">
        <v>31</v>
      </c>
      <c r="P59">
        <v>17</v>
      </c>
    </row>
    <row r="60" spans="5:16" x14ac:dyDescent="0.25">
      <c r="E60" s="20">
        <v>50548</v>
      </c>
      <c r="O60" s="20" t="s">
        <v>77</v>
      </c>
      <c r="P60">
        <v>12</v>
      </c>
    </row>
    <row r="61" spans="5:16" x14ac:dyDescent="0.25">
      <c r="E61" s="20">
        <v>50685</v>
      </c>
      <c r="O61" s="20" t="s">
        <v>56</v>
      </c>
      <c r="P61">
        <v>105</v>
      </c>
    </row>
    <row r="62" spans="5:16" x14ac:dyDescent="0.25">
      <c r="E62" s="20">
        <v>50733</v>
      </c>
      <c r="O62" s="20" t="s">
        <v>1431</v>
      </c>
      <c r="P62">
        <v>1000</v>
      </c>
    </row>
    <row r="63" spans="5:16" x14ac:dyDescent="0.25">
      <c r="E63" s="20">
        <v>50784</v>
      </c>
    </row>
    <row r="64" spans="5:16" x14ac:dyDescent="0.25">
      <c r="E64" s="20">
        <v>50809</v>
      </c>
    </row>
    <row r="65" spans="5:5" x14ac:dyDescent="0.25">
      <c r="E65" s="20">
        <v>50825</v>
      </c>
    </row>
    <row r="66" spans="5:5" x14ac:dyDescent="0.25">
      <c r="E66" s="20">
        <v>50857</v>
      </c>
    </row>
    <row r="67" spans="5:5" x14ac:dyDescent="0.25">
      <c r="E67" s="20">
        <v>50883</v>
      </c>
    </row>
    <row r="68" spans="5:5" x14ac:dyDescent="0.25">
      <c r="E68" s="20">
        <v>50994</v>
      </c>
    </row>
    <row r="69" spans="5:5" x14ac:dyDescent="0.25">
      <c r="E69" s="20">
        <v>51234</v>
      </c>
    </row>
    <row r="70" spans="5:5" x14ac:dyDescent="0.25">
      <c r="E70" s="20">
        <v>51404</v>
      </c>
    </row>
    <row r="71" spans="5:5" x14ac:dyDescent="0.25">
      <c r="E71" s="20">
        <v>51513</v>
      </c>
    </row>
    <row r="72" spans="5:5" x14ac:dyDescent="0.25">
      <c r="E72" s="20">
        <v>51630</v>
      </c>
    </row>
    <row r="73" spans="5:5" x14ac:dyDescent="0.25">
      <c r="E73" s="20">
        <v>51877</v>
      </c>
    </row>
    <row r="74" spans="5:5" x14ac:dyDescent="0.25">
      <c r="E74" s="20">
        <v>51983</v>
      </c>
    </row>
    <row r="75" spans="5:5" x14ac:dyDescent="0.25">
      <c r="E75" s="20">
        <v>52069</v>
      </c>
    </row>
    <row r="76" spans="5:5" x14ac:dyDescent="0.25">
      <c r="E76" s="20">
        <v>52200</v>
      </c>
    </row>
    <row r="77" spans="5:5" x14ac:dyDescent="0.25">
      <c r="E77" s="20">
        <v>52310</v>
      </c>
    </row>
    <row r="78" spans="5:5" x14ac:dyDescent="0.25">
      <c r="E78" s="20">
        <v>52621</v>
      </c>
    </row>
    <row r="79" spans="5:5" x14ac:dyDescent="0.25">
      <c r="E79" s="20">
        <v>52693</v>
      </c>
    </row>
    <row r="80" spans="5:5" x14ac:dyDescent="0.25">
      <c r="E80" s="20">
        <v>52697</v>
      </c>
    </row>
    <row r="81" spans="5:5" x14ac:dyDescent="0.25">
      <c r="E81" s="20">
        <v>52733</v>
      </c>
    </row>
    <row r="82" spans="5:5" x14ac:dyDescent="0.25">
      <c r="E82" s="20">
        <v>52800</v>
      </c>
    </row>
    <row r="83" spans="5:5" x14ac:dyDescent="0.25">
      <c r="E83" s="20">
        <v>52811</v>
      </c>
    </row>
    <row r="84" spans="5:5" x14ac:dyDescent="0.25">
      <c r="E84" s="20">
        <v>53215</v>
      </c>
    </row>
    <row r="85" spans="5:5" x14ac:dyDescent="0.25">
      <c r="E85" s="20">
        <v>53301</v>
      </c>
    </row>
    <row r="86" spans="5:5" x14ac:dyDescent="0.25">
      <c r="E86" s="20">
        <v>53799</v>
      </c>
    </row>
    <row r="87" spans="5:5" x14ac:dyDescent="0.25">
      <c r="E87" s="20">
        <v>53809</v>
      </c>
    </row>
    <row r="88" spans="5:5" x14ac:dyDescent="0.25">
      <c r="E88" s="20">
        <v>53929</v>
      </c>
    </row>
    <row r="89" spans="5:5" x14ac:dyDescent="0.25">
      <c r="E89" s="20">
        <v>54051</v>
      </c>
    </row>
    <row r="90" spans="5:5" x14ac:dyDescent="0.25">
      <c r="E90" s="20">
        <v>54415</v>
      </c>
    </row>
    <row r="91" spans="5:5" x14ac:dyDescent="0.25">
      <c r="E91" s="20">
        <v>54635</v>
      </c>
    </row>
    <row r="92" spans="5:5" x14ac:dyDescent="0.25">
      <c r="E92" s="20">
        <v>54654</v>
      </c>
    </row>
    <row r="93" spans="5:5" x14ac:dyDescent="0.25">
      <c r="E93" s="20">
        <v>54714</v>
      </c>
    </row>
    <row r="94" spans="5:5" x14ac:dyDescent="0.25">
      <c r="E94" s="20">
        <v>54733</v>
      </c>
    </row>
    <row r="95" spans="5:5" x14ac:dyDescent="0.25">
      <c r="E95" s="20">
        <v>54775</v>
      </c>
    </row>
    <row r="96" spans="5:5" x14ac:dyDescent="0.25">
      <c r="E96" s="20">
        <v>54829</v>
      </c>
    </row>
    <row r="97" spans="5:5" x14ac:dyDescent="0.25">
      <c r="E97" s="20">
        <v>54994</v>
      </c>
    </row>
    <row r="98" spans="5:5" x14ac:dyDescent="0.25">
      <c r="E98" s="20">
        <v>55369</v>
      </c>
    </row>
    <row r="99" spans="5:5" x14ac:dyDescent="0.25">
      <c r="E99" s="20">
        <v>55457</v>
      </c>
    </row>
    <row r="100" spans="5:5" x14ac:dyDescent="0.25">
      <c r="E100" s="20">
        <v>55499</v>
      </c>
    </row>
    <row r="101" spans="5:5" x14ac:dyDescent="0.25">
      <c r="E101" s="20">
        <v>55518</v>
      </c>
    </row>
    <row r="102" spans="5:5" x14ac:dyDescent="0.25">
      <c r="E102" s="20">
        <v>55563</v>
      </c>
    </row>
    <row r="103" spans="5:5" x14ac:dyDescent="0.25">
      <c r="E103" s="20">
        <v>55760</v>
      </c>
    </row>
    <row r="104" spans="5:5" x14ac:dyDescent="0.25">
      <c r="E104" s="20">
        <v>55767</v>
      </c>
    </row>
    <row r="105" spans="5:5" x14ac:dyDescent="0.25">
      <c r="E105" s="20">
        <v>55854</v>
      </c>
    </row>
    <row r="106" spans="5:5" x14ac:dyDescent="0.25">
      <c r="E106" s="20">
        <v>55859</v>
      </c>
    </row>
    <row r="107" spans="5:5" x14ac:dyDescent="0.25">
      <c r="E107" s="20">
        <v>55894</v>
      </c>
    </row>
    <row r="108" spans="5:5" x14ac:dyDescent="0.25">
      <c r="E108" s="20">
        <v>56037</v>
      </c>
    </row>
    <row r="109" spans="5:5" x14ac:dyDescent="0.25">
      <c r="E109" s="20">
        <v>56154</v>
      </c>
    </row>
    <row r="110" spans="5:5" x14ac:dyDescent="0.25">
      <c r="E110" s="20">
        <v>56239</v>
      </c>
    </row>
    <row r="111" spans="5:5" x14ac:dyDescent="0.25">
      <c r="E111" s="20">
        <v>56350</v>
      </c>
    </row>
    <row r="112" spans="5:5" x14ac:dyDescent="0.25">
      <c r="E112" s="20">
        <v>56405</v>
      </c>
    </row>
    <row r="113" spans="5:5" x14ac:dyDescent="0.25">
      <c r="E113" s="20">
        <v>56555</v>
      </c>
    </row>
    <row r="114" spans="5:5" x14ac:dyDescent="0.25">
      <c r="E114" s="20">
        <v>56565</v>
      </c>
    </row>
    <row r="115" spans="5:5" x14ac:dyDescent="0.25">
      <c r="E115" s="20">
        <v>56686</v>
      </c>
    </row>
    <row r="116" spans="5:5" x14ac:dyDescent="0.25">
      <c r="E116" s="20">
        <v>56878</v>
      </c>
    </row>
    <row r="117" spans="5:5" x14ac:dyDescent="0.25">
      <c r="E117" s="20">
        <v>57008</v>
      </c>
    </row>
    <row r="118" spans="5:5" x14ac:dyDescent="0.25">
      <c r="E118" s="20">
        <v>57032</v>
      </c>
    </row>
    <row r="119" spans="5:5" x14ac:dyDescent="0.25">
      <c r="E119" s="20">
        <v>57225</v>
      </c>
    </row>
    <row r="120" spans="5:5" x14ac:dyDescent="0.25">
      <c r="E120" s="20">
        <v>57446</v>
      </c>
    </row>
    <row r="121" spans="5:5" x14ac:dyDescent="0.25">
      <c r="E121" s="20">
        <v>57531</v>
      </c>
    </row>
    <row r="122" spans="5:5" x14ac:dyDescent="0.25">
      <c r="E122" s="20">
        <v>57606</v>
      </c>
    </row>
    <row r="123" spans="5:5" x14ac:dyDescent="0.25">
      <c r="E123" s="20">
        <v>58006</v>
      </c>
    </row>
    <row r="124" spans="5:5" x14ac:dyDescent="0.25">
      <c r="E124" s="20">
        <v>58586</v>
      </c>
    </row>
    <row r="125" spans="5:5" x14ac:dyDescent="0.25">
      <c r="E125" s="20">
        <v>58605</v>
      </c>
    </row>
    <row r="126" spans="5:5" x14ac:dyDescent="0.25">
      <c r="E126" s="20">
        <v>58671</v>
      </c>
    </row>
    <row r="127" spans="5:5" x14ac:dyDescent="0.25">
      <c r="E127" s="20">
        <v>58703</v>
      </c>
    </row>
    <row r="128" spans="5:5" x14ac:dyDescent="0.25">
      <c r="E128" s="20">
        <v>58745</v>
      </c>
    </row>
    <row r="129" spans="5:5" x14ac:dyDescent="0.25">
      <c r="E129" s="20">
        <v>58875</v>
      </c>
    </row>
    <row r="130" spans="5:5" x14ac:dyDescent="0.25">
      <c r="E130" s="20">
        <v>58993</v>
      </c>
    </row>
    <row r="131" spans="5:5" x14ac:dyDescent="0.25">
      <c r="E131" s="20">
        <v>59067</v>
      </c>
    </row>
    <row r="132" spans="5:5" x14ac:dyDescent="0.25">
      <c r="E132" s="20">
        <v>59100</v>
      </c>
    </row>
    <row r="133" spans="5:5" x14ac:dyDescent="0.25">
      <c r="E133" s="20">
        <v>59591</v>
      </c>
    </row>
    <row r="134" spans="5:5" x14ac:dyDescent="0.25">
      <c r="E134" s="20">
        <v>59646</v>
      </c>
    </row>
    <row r="135" spans="5:5" x14ac:dyDescent="0.25">
      <c r="E135" s="20">
        <v>59817</v>
      </c>
    </row>
    <row r="136" spans="5:5" x14ac:dyDescent="0.25">
      <c r="E136" s="20">
        <v>59833</v>
      </c>
    </row>
    <row r="137" spans="5:5" x14ac:dyDescent="0.25">
      <c r="E137" s="20">
        <v>59888</v>
      </c>
    </row>
    <row r="138" spans="5:5" x14ac:dyDescent="0.25">
      <c r="E138" s="20">
        <v>60017</v>
      </c>
    </row>
    <row r="139" spans="5:5" x14ac:dyDescent="0.25">
      <c r="E139" s="20">
        <v>60055</v>
      </c>
    </row>
    <row r="140" spans="5:5" x14ac:dyDescent="0.25">
      <c r="E140" s="20">
        <v>60113</v>
      </c>
    </row>
    <row r="141" spans="5:5" x14ac:dyDescent="0.25">
      <c r="E141" s="20">
        <v>60132</v>
      </c>
    </row>
    <row r="142" spans="5:5" x14ac:dyDescent="0.25">
      <c r="E142" s="20">
        <v>60930</v>
      </c>
    </row>
    <row r="143" spans="5:5" x14ac:dyDescent="0.25">
      <c r="E143" s="20">
        <v>60985</v>
      </c>
    </row>
    <row r="144" spans="5:5" x14ac:dyDescent="0.25">
      <c r="E144" s="20">
        <v>61026</v>
      </c>
    </row>
    <row r="145" spans="5:5" x14ac:dyDescent="0.25">
      <c r="E145" s="20">
        <v>61216</v>
      </c>
    </row>
    <row r="146" spans="5:5" x14ac:dyDescent="0.25">
      <c r="E146" s="20">
        <v>61310</v>
      </c>
    </row>
    <row r="147" spans="5:5" x14ac:dyDescent="0.25">
      <c r="E147" s="20">
        <v>61410</v>
      </c>
    </row>
    <row r="148" spans="5:5" x14ac:dyDescent="0.25">
      <c r="E148" s="20">
        <v>61523</v>
      </c>
    </row>
    <row r="149" spans="5:5" x14ac:dyDescent="0.25">
      <c r="E149" s="20">
        <v>61773</v>
      </c>
    </row>
    <row r="150" spans="5:5" x14ac:dyDescent="0.25">
      <c r="E150" s="20">
        <v>61886</v>
      </c>
    </row>
    <row r="151" spans="5:5" x14ac:dyDescent="0.25">
      <c r="E151" s="20">
        <v>61944</v>
      </c>
    </row>
    <row r="152" spans="5:5" x14ac:dyDescent="0.25">
      <c r="E152" s="20">
        <v>62174</v>
      </c>
    </row>
    <row r="153" spans="5:5" x14ac:dyDescent="0.25">
      <c r="E153" s="20">
        <v>62239</v>
      </c>
    </row>
    <row r="154" spans="5:5" x14ac:dyDescent="0.25">
      <c r="E154" s="20">
        <v>62335</v>
      </c>
    </row>
    <row r="155" spans="5:5" x14ac:dyDescent="0.25">
      <c r="E155" s="20">
        <v>62411</v>
      </c>
    </row>
    <row r="156" spans="5:5" x14ac:dyDescent="0.25">
      <c r="E156" s="20">
        <v>62575</v>
      </c>
    </row>
    <row r="157" spans="5:5" x14ac:dyDescent="0.25">
      <c r="E157" s="20">
        <v>62605</v>
      </c>
    </row>
    <row r="158" spans="5:5" x14ac:dyDescent="0.25">
      <c r="E158" s="20">
        <v>62644</v>
      </c>
    </row>
    <row r="159" spans="5:5" x14ac:dyDescent="0.25">
      <c r="E159" s="20">
        <v>62749</v>
      </c>
    </row>
    <row r="160" spans="5:5" x14ac:dyDescent="0.25">
      <c r="E160" s="20">
        <v>62861</v>
      </c>
    </row>
    <row r="161" spans="5:5" x14ac:dyDescent="0.25">
      <c r="E161" s="20">
        <v>63098</v>
      </c>
    </row>
    <row r="162" spans="5:5" x14ac:dyDescent="0.25">
      <c r="E162" s="20">
        <v>63137</v>
      </c>
    </row>
    <row r="163" spans="5:5" x14ac:dyDescent="0.25">
      <c r="E163" s="20">
        <v>63196</v>
      </c>
    </row>
    <row r="164" spans="5:5" x14ac:dyDescent="0.25">
      <c r="E164" s="20">
        <v>63318</v>
      </c>
    </row>
    <row r="165" spans="5:5" x14ac:dyDescent="0.25">
      <c r="E165" s="20">
        <v>63411</v>
      </c>
    </row>
    <row r="166" spans="5:5" x14ac:dyDescent="0.25">
      <c r="E166" s="20">
        <v>63705</v>
      </c>
    </row>
    <row r="167" spans="5:5" x14ac:dyDescent="0.25">
      <c r="E167" s="20">
        <v>63744</v>
      </c>
    </row>
    <row r="168" spans="5:5" x14ac:dyDescent="0.25">
      <c r="E168" s="20">
        <v>63880</v>
      </c>
    </row>
    <row r="169" spans="5:5" x14ac:dyDescent="0.25">
      <c r="E169" s="20">
        <v>63959</v>
      </c>
    </row>
    <row r="170" spans="5:5" x14ac:dyDescent="0.25">
      <c r="E170" s="20">
        <v>63985</v>
      </c>
    </row>
    <row r="171" spans="5:5" x14ac:dyDescent="0.25">
      <c r="E171" s="20">
        <v>64057</v>
      </c>
    </row>
    <row r="172" spans="5:5" x14ac:dyDescent="0.25">
      <c r="E172" s="20">
        <v>64170</v>
      </c>
    </row>
    <row r="173" spans="5:5" x14ac:dyDescent="0.25">
      <c r="E173" s="20">
        <v>64202</v>
      </c>
    </row>
    <row r="174" spans="5:5" x14ac:dyDescent="0.25">
      <c r="E174" s="20">
        <v>64204</v>
      </c>
    </row>
    <row r="175" spans="5:5" x14ac:dyDescent="0.25">
      <c r="E175" s="20">
        <v>64247</v>
      </c>
    </row>
    <row r="176" spans="5:5" x14ac:dyDescent="0.25">
      <c r="E176" s="20">
        <v>64364</v>
      </c>
    </row>
    <row r="177" spans="5:5" x14ac:dyDescent="0.25">
      <c r="E177" s="20">
        <v>64417</v>
      </c>
    </row>
    <row r="178" spans="5:5" x14ac:dyDescent="0.25">
      <c r="E178" s="20">
        <v>64462</v>
      </c>
    </row>
    <row r="179" spans="5:5" x14ac:dyDescent="0.25">
      <c r="E179" s="20">
        <v>64475</v>
      </c>
    </row>
    <row r="180" spans="5:5" x14ac:dyDescent="0.25">
      <c r="E180" s="20">
        <v>64494</v>
      </c>
    </row>
    <row r="181" spans="5:5" x14ac:dyDescent="0.25">
      <c r="E181" s="20">
        <v>64505</v>
      </c>
    </row>
    <row r="182" spans="5:5" x14ac:dyDescent="0.25">
      <c r="E182" s="20">
        <v>64669</v>
      </c>
    </row>
    <row r="183" spans="5:5" x14ac:dyDescent="0.25">
      <c r="E183" s="20">
        <v>64677</v>
      </c>
    </row>
    <row r="184" spans="5:5" x14ac:dyDescent="0.25">
      <c r="E184" s="20">
        <v>64847</v>
      </c>
    </row>
    <row r="185" spans="5:5" x14ac:dyDescent="0.25">
      <c r="E185" s="20">
        <v>64937</v>
      </c>
    </row>
    <row r="186" spans="5:5" x14ac:dyDescent="0.25">
      <c r="E186" s="20">
        <v>65047</v>
      </c>
    </row>
    <row r="187" spans="5:5" x14ac:dyDescent="0.25">
      <c r="E187" s="20">
        <v>65247</v>
      </c>
    </row>
    <row r="188" spans="5:5" x14ac:dyDescent="0.25">
      <c r="E188" s="20">
        <v>65334</v>
      </c>
    </row>
    <row r="189" spans="5:5" x14ac:dyDescent="0.25">
      <c r="E189" s="20">
        <v>65340</v>
      </c>
    </row>
    <row r="190" spans="5:5" x14ac:dyDescent="0.25">
      <c r="E190" s="20">
        <v>65341</v>
      </c>
    </row>
    <row r="191" spans="5:5" x14ac:dyDescent="0.25">
      <c r="E191" s="20">
        <v>65507</v>
      </c>
    </row>
    <row r="192" spans="5:5" x14ac:dyDescent="0.25">
      <c r="E192" s="20">
        <v>65566</v>
      </c>
    </row>
    <row r="193" spans="5:5" x14ac:dyDescent="0.25">
      <c r="E193" s="20">
        <v>65702</v>
      </c>
    </row>
    <row r="194" spans="5:5" x14ac:dyDescent="0.25">
      <c r="E194" s="20">
        <v>66084</v>
      </c>
    </row>
    <row r="195" spans="5:5" x14ac:dyDescent="0.25">
      <c r="E195" s="20">
        <v>66521</v>
      </c>
    </row>
    <row r="196" spans="5:5" x14ac:dyDescent="0.25">
      <c r="E196" s="20">
        <v>66649</v>
      </c>
    </row>
    <row r="197" spans="5:5" x14ac:dyDescent="0.25">
      <c r="E197" s="20">
        <v>66660</v>
      </c>
    </row>
    <row r="198" spans="5:5" x14ac:dyDescent="0.25">
      <c r="E198" s="20">
        <v>66819</v>
      </c>
    </row>
    <row r="199" spans="5:5" x14ac:dyDescent="0.25">
      <c r="E199" s="20">
        <v>66889</v>
      </c>
    </row>
    <row r="200" spans="5:5" x14ac:dyDescent="0.25">
      <c r="E200" s="20">
        <v>66958</v>
      </c>
    </row>
    <row r="201" spans="5:5" x14ac:dyDescent="0.25">
      <c r="E201" s="20">
        <v>67114</v>
      </c>
    </row>
    <row r="202" spans="5:5" x14ac:dyDescent="0.25">
      <c r="E202" s="20">
        <v>67130</v>
      </c>
    </row>
    <row r="203" spans="5:5" x14ac:dyDescent="0.25">
      <c r="E203" s="20">
        <v>67171</v>
      </c>
    </row>
    <row r="204" spans="5:5" x14ac:dyDescent="0.25">
      <c r="E204" s="20">
        <v>67275</v>
      </c>
    </row>
    <row r="205" spans="5:5" x14ac:dyDescent="0.25">
      <c r="E205" s="20">
        <v>67299</v>
      </c>
    </row>
    <row r="206" spans="5:5" x14ac:dyDescent="0.25">
      <c r="E206" s="20">
        <v>67374</v>
      </c>
    </row>
    <row r="207" spans="5:5" x14ac:dyDescent="0.25">
      <c r="E207" s="20">
        <v>67398</v>
      </c>
    </row>
    <row r="208" spans="5:5" x14ac:dyDescent="0.25">
      <c r="E208" s="20">
        <v>67468</v>
      </c>
    </row>
    <row r="209" spans="5:5" x14ac:dyDescent="0.25">
      <c r="E209" s="20">
        <v>67489</v>
      </c>
    </row>
    <row r="210" spans="5:5" x14ac:dyDescent="0.25">
      <c r="E210" s="20">
        <v>67686</v>
      </c>
    </row>
    <row r="211" spans="5:5" x14ac:dyDescent="0.25">
      <c r="E211" s="20">
        <v>67743</v>
      </c>
    </row>
    <row r="212" spans="5:5" x14ac:dyDescent="0.25">
      <c r="E212" s="20">
        <v>67753</v>
      </c>
    </row>
    <row r="213" spans="5:5" x14ac:dyDescent="0.25">
      <c r="E213" s="20">
        <v>67837</v>
      </c>
    </row>
    <row r="214" spans="5:5" x14ac:dyDescent="0.25">
      <c r="E214" s="20">
        <v>67925</v>
      </c>
    </row>
    <row r="215" spans="5:5" x14ac:dyDescent="0.25">
      <c r="E215" s="20">
        <v>67976</v>
      </c>
    </row>
    <row r="216" spans="5:5" x14ac:dyDescent="0.25">
      <c r="E216" s="20">
        <v>67987</v>
      </c>
    </row>
    <row r="217" spans="5:5" x14ac:dyDescent="0.25">
      <c r="E217" s="20">
        <v>68176</v>
      </c>
    </row>
    <row r="218" spans="5:5" x14ac:dyDescent="0.25">
      <c r="E218" s="20">
        <v>68268</v>
      </c>
    </row>
    <row r="219" spans="5:5" x14ac:dyDescent="0.25">
      <c r="E219" s="20">
        <v>68337</v>
      </c>
    </row>
    <row r="220" spans="5:5" x14ac:dyDescent="0.25">
      <c r="E220" s="20">
        <v>68426</v>
      </c>
    </row>
    <row r="221" spans="5:5" x14ac:dyDescent="0.25">
      <c r="E221" s="20">
        <v>68488</v>
      </c>
    </row>
    <row r="222" spans="5:5" x14ac:dyDescent="0.25">
      <c r="E222" s="20">
        <v>68728</v>
      </c>
    </row>
    <row r="223" spans="5:5" x14ac:dyDescent="0.25">
      <c r="E223" s="20">
        <v>68807</v>
      </c>
    </row>
    <row r="224" spans="5:5" x14ac:dyDescent="0.25">
      <c r="E224" s="20">
        <v>68846</v>
      </c>
    </row>
    <row r="225" spans="5:5" x14ac:dyDescent="0.25">
      <c r="E225" s="20">
        <v>68987</v>
      </c>
    </row>
    <row r="226" spans="5:5" x14ac:dyDescent="0.25">
      <c r="E226" s="20">
        <v>69096</v>
      </c>
    </row>
    <row r="227" spans="5:5" x14ac:dyDescent="0.25">
      <c r="E227" s="20">
        <v>69110</v>
      </c>
    </row>
    <row r="228" spans="5:5" x14ac:dyDescent="0.25">
      <c r="E228" s="20">
        <v>69260</v>
      </c>
    </row>
    <row r="229" spans="5:5" x14ac:dyDescent="0.25">
      <c r="E229" s="20">
        <v>69332</v>
      </c>
    </row>
    <row r="230" spans="5:5" x14ac:dyDescent="0.25">
      <c r="E230" s="20">
        <v>69352</v>
      </c>
    </row>
    <row r="231" spans="5:5" x14ac:dyDescent="0.25">
      <c r="E231" s="20">
        <v>69453</v>
      </c>
    </row>
    <row r="232" spans="5:5" x14ac:dyDescent="0.25">
      <c r="E232" s="20">
        <v>69570</v>
      </c>
    </row>
    <row r="233" spans="5:5" x14ac:dyDescent="0.25">
      <c r="E233" s="20">
        <v>69578</v>
      </c>
    </row>
    <row r="234" spans="5:5" x14ac:dyDescent="0.25">
      <c r="E234" s="20">
        <v>69647</v>
      </c>
    </row>
    <row r="235" spans="5:5" x14ac:dyDescent="0.25">
      <c r="E235" s="20">
        <v>69803</v>
      </c>
    </row>
    <row r="236" spans="5:5" x14ac:dyDescent="0.25">
      <c r="E236" s="20">
        <v>70110</v>
      </c>
    </row>
    <row r="237" spans="5:5" x14ac:dyDescent="0.25">
      <c r="E237" s="20">
        <v>70122</v>
      </c>
    </row>
    <row r="238" spans="5:5" x14ac:dyDescent="0.25">
      <c r="E238" s="20">
        <v>70165</v>
      </c>
    </row>
    <row r="239" spans="5:5" x14ac:dyDescent="0.25">
      <c r="E239" s="20">
        <v>70189</v>
      </c>
    </row>
    <row r="240" spans="5:5" x14ac:dyDescent="0.25">
      <c r="E240" s="20">
        <v>70334</v>
      </c>
    </row>
    <row r="241" spans="5:5" x14ac:dyDescent="0.25">
      <c r="E241" s="20">
        <v>70369</v>
      </c>
    </row>
    <row r="242" spans="5:5" x14ac:dyDescent="0.25">
      <c r="E242" s="20">
        <v>70505</v>
      </c>
    </row>
    <row r="243" spans="5:5" x14ac:dyDescent="0.25">
      <c r="E243" s="20">
        <v>70770</v>
      </c>
    </row>
    <row r="244" spans="5:5" x14ac:dyDescent="0.25">
      <c r="E244" s="20">
        <v>70778</v>
      </c>
    </row>
    <row r="245" spans="5:5" x14ac:dyDescent="0.25">
      <c r="E245" s="20">
        <v>70980</v>
      </c>
    </row>
    <row r="246" spans="5:5" x14ac:dyDescent="0.25">
      <c r="E246" s="20">
        <v>70992</v>
      </c>
    </row>
    <row r="247" spans="5:5" x14ac:dyDescent="0.25">
      <c r="E247" s="20">
        <v>70996</v>
      </c>
    </row>
    <row r="248" spans="5:5" x14ac:dyDescent="0.25">
      <c r="E248" s="20">
        <v>71111</v>
      </c>
    </row>
    <row r="249" spans="5:5" x14ac:dyDescent="0.25">
      <c r="E249" s="20">
        <v>71167</v>
      </c>
    </row>
    <row r="250" spans="5:5" x14ac:dyDescent="0.25">
      <c r="E250" s="20">
        <v>71192</v>
      </c>
    </row>
    <row r="251" spans="5:5" x14ac:dyDescent="0.25">
      <c r="E251" s="20">
        <v>71234</v>
      </c>
    </row>
    <row r="252" spans="5:5" x14ac:dyDescent="0.25">
      <c r="E252" s="20">
        <v>71359</v>
      </c>
    </row>
    <row r="253" spans="5:5" x14ac:dyDescent="0.25">
      <c r="E253" s="20">
        <v>71454</v>
      </c>
    </row>
    <row r="254" spans="5:5" x14ac:dyDescent="0.25">
      <c r="E254" s="20">
        <v>71476</v>
      </c>
    </row>
    <row r="255" spans="5:5" x14ac:dyDescent="0.25">
      <c r="E255" s="20">
        <v>71531</v>
      </c>
    </row>
    <row r="256" spans="5:5" x14ac:dyDescent="0.25">
      <c r="E256" s="20">
        <v>71677</v>
      </c>
    </row>
    <row r="257" spans="5:5" x14ac:dyDescent="0.25">
      <c r="E257" s="20">
        <v>71695</v>
      </c>
    </row>
    <row r="258" spans="5:5" x14ac:dyDescent="0.25">
      <c r="E258" s="20">
        <v>71699</v>
      </c>
    </row>
    <row r="259" spans="5:5" x14ac:dyDescent="0.25">
      <c r="E259" s="20">
        <v>71755</v>
      </c>
    </row>
    <row r="260" spans="5:5" x14ac:dyDescent="0.25">
      <c r="E260" s="20">
        <v>71864</v>
      </c>
    </row>
    <row r="261" spans="5:5" x14ac:dyDescent="0.25">
      <c r="E261" s="20">
        <v>72045</v>
      </c>
    </row>
    <row r="262" spans="5:5" x14ac:dyDescent="0.25">
      <c r="E262" s="20">
        <v>72126</v>
      </c>
    </row>
    <row r="263" spans="5:5" x14ac:dyDescent="0.25">
      <c r="E263" s="20">
        <v>72131</v>
      </c>
    </row>
    <row r="264" spans="5:5" x14ac:dyDescent="0.25">
      <c r="E264" s="20">
        <v>72235</v>
      </c>
    </row>
    <row r="265" spans="5:5" x14ac:dyDescent="0.25">
      <c r="E265" s="20">
        <v>72303</v>
      </c>
    </row>
    <row r="266" spans="5:5" x14ac:dyDescent="0.25">
      <c r="E266" s="20">
        <v>72340</v>
      </c>
    </row>
    <row r="267" spans="5:5" x14ac:dyDescent="0.25">
      <c r="E267" s="20">
        <v>72425</v>
      </c>
    </row>
    <row r="268" spans="5:5" x14ac:dyDescent="0.25">
      <c r="E268" s="20">
        <v>72486</v>
      </c>
    </row>
    <row r="269" spans="5:5" x14ac:dyDescent="0.25">
      <c r="E269" s="20">
        <v>72805</v>
      </c>
    </row>
    <row r="270" spans="5:5" x14ac:dyDescent="0.25">
      <c r="E270" s="20">
        <v>72826</v>
      </c>
    </row>
    <row r="271" spans="5:5" x14ac:dyDescent="0.25">
      <c r="E271" s="20">
        <v>72903</v>
      </c>
    </row>
    <row r="272" spans="5:5" x14ac:dyDescent="0.25">
      <c r="E272" s="20">
        <v>73004</v>
      </c>
    </row>
    <row r="273" spans="5:5" x14ac:dyDescent="0.25">
      <c r="E273" s="20">
        <v>73200</v>
      </c>
    </row>
    <row r="274" spans="5:5" x14ac:dyDescent="0.25">
      <c r="E274" s="20">
        <v>73248</v>
      </c>
    </row>
    <row r="275" spans="5:5" x14ac:dyDescent="0.25">
      <c r="E275" s="20">
        <v>73255</v>
      </c>
    </row>
    <row r="276" spans="5:5" x14ac:dyDescent="0.25">
      <c r="E276" s="20">
        <v>73317</v>
      </c>
    </row>
    <row r="277" spans="5:5" x14ac:dyDescent="0.25">
      <c r="E277" s="20">
        <v>73779</v>
      </c>
    </row>
    <row r="278" spans="5:5" x14ac:dyDescent="0.25">
      <c r="E278" s="20">
        <v>73854</v>
      </c>
    </row>
    <row r="279" spans="5:5" x14ac:dyDescent="0.25">
      <c r="E279" s="20">
        <v>73899</v>
      </c>
    </row>
    <row r="280" spans="5:5" x14ac:dyDescent="0.25">
      <c r="E280" s="20">
        <v>73907</v>
      </c>
    </row>
    <row r="281" spans="5:5" x14ac:dyDescent="0.25">
      <c r="E281" s="20">
        <v>73955</v>
      </c>
    </row>
    <row r="282" spans="5:5" x14ac:dyDescent="0.25">
      <c r="E282" s="20">
        <v>74010</v>
      </c>
    </row>
    <row r="283" spans="5:5" x14ac:dyDescent="0.25">
      <c r="E283" s="20">
        <v>74077</v>
      </c>
    </row>
    <row r="284" spans="5:5" x14ac:dyDescent="0.25">
      <c r="E284" s="20">
        <v>74170</v>
      </c>
    </row>
    <row r="285" spans="5:5" x14ac:dyDescent="0.25">
      <c r="E285" s="20">
        <v>74215</v>
      </c>
    </row>
    <row r="286" spans="5:5" x14ac:dyDescent="0.25">
      <c r="E286" s="20">
        <v>74412</v>
      </c>
    </row>
    <row r="287" spans="5:5" x14ac:dyDescent="0.25">
      <c r="E287" s="20">
        <v>74449</v>
      </c>
    </row>
    <row r="288" spans="5:5" x14ac:dyDescent="0.25">
      <c r="E288" s="20">
        <v>74467</v>
      </c>
    </row>
    <row r="289" spans="5:5" x14ac:dyDescent="0.25">
      <c r="E289" s="20">
        <v>74546</v>
      </c>
    </row>
    <row r="290" spans="5:5" x14ac:dyDescent="0.25">
      <c r="E290" s="20">
        <v>74552</v>
      </c>
    </row>
    <row r="291" spans="5:5" x14ac:dyDescent="0.25">
      <c r="E291" s="20">
        <v>74631</v>
      </c>
    </row>
    <row r="292" spans="5:5" x14ac:dyDescent="0.25">
      <c r="E292" s="20">
        <v>74655</v>
      </c>
    </row>
    <row r="293" spans="5:5" x14ac:dyDescent="0.25">
      <c r="E293" s="20">
        <v>74691</v>
      </c>
    </row>
    <row r="294" spans="5:5" x14ac:dyDescent="0.25">
      <c r="E294" s="20">
        <v>74738</v>
      </c>
    </row>
    <row r="295" spans="5:5" x14ac:dyDescent="0.25">
      <c r="E295" s="20">
        <v>74779</v>
      </c>
    </row>
    <row r="296" spans="5:5" x14ac:dyDescent="0.25">
      <c r="E296" s="20">
        <v>74854</v>
      </c>
    </row>
    <row r="297" spans="5:5" x14ac:dyDescent="0.25">
      <c r="E297" s="20">
        <v>74891</v>
      </c>
    </row>
    <row r="298" spans="5:5" x14ac:dyDescent="0.25">
      <c r="E298" s="20">
        <v>75012</v>
      </c>
    </row>
    <row r="299" spans="5:5" x14ac:dyDescent="0.25">
      <c r="E299" s="20">
        <v>75119</v>
      </c>
    </row>
    <row r="300" spans="5:5" x14ac:dyDescent="0.25">
      <c r="E300" s="20">
        <v>75354</v>
      </c>
    </row>
    <row r="301" spans="5:5" x14ac:dyDescent="0.25">
      <c r="E301" s="20">
        <v>75579</v>
      </c>
    </row>
    <row r="302" spans="5:5" x14ac:dyDescent="0.25">
      <c r="E302" s="20">
        <v>75769</v>
      </c>
    </row>
    <row r="303" spans="5:5" x14ac:dyDescent="0.25">
      <c r="E303" s="20">
        <v>75780</v>
      </c>
    </row>
    <row r="304" spans="5:5" x14ac:dyDescent="0.25">
      <c r="E304" s="20">
        <v>75819</v>
      </c>
    </row>
    <row r="305" spans="5:5" x14ac:dyDescent="0.25">
      <c r="E305" s="20">
        <v>75862</v>
      </c>
    </row>
    <row r="306" spans="5:5" x14ac:dyDescent="0.25">
      <c r="E306" s="20">
        <v>75869</v>
      </c>
    </row>
    <row r="307" spans="5:5" x14ac:dyDescent="0.25">
      <c r="E307" s="20">
        <v>76027</v>
      </c>
    </row>
    <row r="308" spans="5:5" x14ac:dyDescent="0.25">
      <c r="E308" s="20">
        <v>76202</v>
      </c>
    </row>
    <row r="309" spans="5:5" x14ac:dyDescent="0.25">
      <c r="E309" s="20">
        <v>76272</v>
      </c>
    </row>
    <row r="310" spans="5:5" x14ac:dyDescent="0.25">
      <c r="E310" s="20">
        <v>76352</v>
      </c>
    </row>
    <row r="311" spans="5:5" x14ac:dyDescent="0.25">
      <c r="E311" s="20">
        <v>76354</v>
      </c>
    </row>
    <row r="312" spans="5:5" x14ac:dyDescent="0.25">
      <c r="E312" s="20">
        <v>76505</v>
      </c>
    </row>
    <row r="313" spans="5:5" x14ac:dyDescent="0.25">
      <c r="E313" s="20">
        <v>76588</v>
      </c>
    </row>
    <row r="314" spans="5:5" x14ac:dyDescent="0.25">
      <c r="E314" s="20">
        <v>76802</v>
      </c>
    </row>
    <row r="315" spans="5:5" x14ac:dyDescent="0.25">
      <c r="E315" s="20">
        <v>76906</v>
      </c>
    </row>
    <row r="316" spans="5:5" x14ac:dyDescent="0.25">
      <c r="E316" s="20">
        <v>76912</v>
      </c>
    </row>
    <row r="317" spans="5:5" x14ac:dyDescent="0.25">
      <c r="E317" s="20">
        <v>77203</v>
      </c>
    </row>
    <row r="318" spans="5:5" x14ac:dyDescent="0.25">
      <c r="E318" s="20">
        <v>77396</v>
      </c>
    </row>
    <row r="319" spans="5:5" x14ac:dyDescent="0.25">
      <c r="E319" s="20">
        <v>77442</v>
      </c>
    </row>
    <row r="320" spans="5:5" x14ac:dyDescent="0.25">
      <c r="E320" s="20">
        <v>77461</v>
      </c>
    </row>
    <row r="321" spans="5:5" x14ac:dyDescent="0.25">
      <c r="E321" s="20">
        <v>77629</v>
      </c>
    </row>
    <row r="322" spans="5:5" x14ac:dyDescent="0.25">
      <c r="E322" s="20">
        <v>77903</v>
      </c>
    </row>
    <row r="323" spans="5:5" x14ac:dyDescent="0.25">
      <c r="E323" s="20">
        <v>78006</v>
      </c>
    </row>
    <row r="324" spans="5:5" x14ac:dyDescent="0.25">
      <c r="E324" s="20">
        <v>78056</v>
      </c>
    </row>
    <row r="325" spans="5:5" x14ac:dyDescent="0.25">
      <c r="E325" s="20">
        <v>78153</v>
      </c>
    </row>
    <row r="326" spans="5:5" x14ac:dyDescent="0.25">
      <c r="E326" s="20">
        <v>78237</v>
      </c>
    </row>
    <row r="327" spans="5:5" x14ac:dyDescent="0.25">
      <c r="E327" s="20">
        <v>78388</v>
      </c>
    </row>
    <row r="328" spans="5:5" x14ac:dyDescent="0.25">
      <c r="E328" s="20">
        <v>78844</v>
      </c>
    </row>
    <row r="329" spans="5:5" x14ac:dyDescent="0.25">
      <c r="E329" s="20">
        <v>78938</v>
      </c>
    </row>
    <row r="330" spans="5:5" x14ac:dyDescent="0.25">
      <c r="E330" s="20">
        <v>78940</v>
      </c>
    </row>
    <row r="331" spans="5:5" x14ac:dyDescent="0.25">
      <c r="E331" s="20">
        <v>79352</v>
      </c>
    </row>
    <row r="332" spans="5:5" x14ac:dyDescent="0.25">
      <c r="E332" s="20">
        <v>79356</v>
      </c>
    </row>
    <row r="333" spans="5:5" x14ac:dyDescent="0.25">
      <c r="E333" s="20">
        <v>79388</v>
      </c>
    </row>
    <row r="334" spans="5:5" x14ac:dyDescent="0.25">
      <c r="E334" s="20">
        <v>79447</v>
      </c>
    </row>
    <row r="335" spans="5:5" x14ac:dyDescent="0.25">
      <c r="E335" s="20">
        <v>79785</v>
      </c>
    </row>
    <row r="336" spans="5:5" x14ac:dyDescent="0.25">
      <c r="E336" s="20">
        <v>79882</v>
      </c>
    </row>
    <row r="337" spans="5:5" x14ac:dyDescent="0.25">
      <c r="E337" s="20">
        <v>79921</v>
      </c>
    </row>
    <row r="338" spans="5:5" x14ac:dyDescent="0.25">
      <c r="E338" s="20">
        <v>80024</v>
      </c>
    </row>
    <row r="339" spans="5:5" x14ac:dyDescent="0.25">
      <c r="E339" s="20">
        <v>80055</v>
      </c>
    </row>
    <row r="340" spans="5:5" x14ac:dyDescent="0.25">
      <c r="E340" s="20">
        <v>80170</v>
      </c>
    </row>
    <row r="341" spans="5:5" x14ac:dyDescent="0.25">
      <c r="E341" s="20">
        <v>80516</v>
      </c>
    </row>
    <row r="342" spans="5:5" x14ac:dyDescent="0.25">
      <c r="E342" s="20">
        <v>80622</v>
      </c>
    </row>
    <row r="343" spans="5:5" x14ac:dyDescent="0.25">
      <c r="E343" s="20">
        <v>80659</v>
      </c>
    </row>
    <row r="344" spans="5:5" x14ac:dyDescent="0.25">
      <c r="E344" s="20">
        <v>80700</v>
      </c>
    </row>
    <row r="345" spans="5:5" x14ac:dyDescent="0.25">
      <c r="E345" s="20">
        <v>80701</v>
      </c>
    </row>
    <row r="346" spans="5:5" x14ac:dyDescent="0.25">
      <c r="E346" s="20">
        <v>80745</v>
      </c>
    </row>
    <row r="347" spans="5:5" x14ac:dyDescent="0.25">
      <c r="E347" s="20">
        <v>80921</v>
      </c>
    </row>
    <row r="348" spans="5:5" x14ac:dyDescent="0.25">
      <c r="E348" s="20">
        <v>80950</v>
      </c>
    </row>
    <row r="349" spans="5:5" x14ac:dyDescent="0.25">
      <c r="E349" s="20">
        <v>81218</v>
      </c>
    </row>
    <row r="350" spans="5:5" x14ac:dyDescent="0.25">
      <c r="E350" s="20">
        <v>81687</v>
      </c>
    </row>
    <row r="351" spans="5:5" x14ac:dyDescent="0.25">
      <c r="E351" s="20">
        <v>81828</v>
      </c>
    </row>
    <row r="352" spans="5:5" x14ac:dyDescent="0.25">
      <c r="E352" s="20">
        <v>82017</v>
      </c>
    </row>
    <row r="353" spans="5:5" x14ac:dyDescent="0.25">
      <c r="E353" s="20">
        <v>82162</v>
      </c>
    </row>
    <row r="354" spans="5:5" x14ac:dyDescent="0.25">
      <c r="E354" s="20">
        <v>82300</v>
      </c>
    </row>
    <row r="355" spans="5:5" x14ac:dyDescent="0.25">
      <c r="E355" s="20">
        <v>82462</v>
      </c>
    </row>
    <row r="356" spans="5:5" x14ac:dyDescent="0.25">
      <c r="E356" s="20">
        <v>82739</v>
      </c>
    </row>
    <row r="357" spans="5:5" x14ac:dyDescent="0.25">
      <c r="E357" s="20">
        <v>82806</v>
      </c>
    </row>
    <row r="358" spans="5:5" x14ac:dyDescent="0.25">
      <c r="E358" s="20">
        <v>82839</v>
      </c>
    </row>
    <row r="359" spans="5:5" x14ac:dyDescent="0.25">
      <c r="E359" s="20">
        <v>82872</v>
      </c>
    </row>
    <row r="360" spans="5:5" x14ac:dyDescent="0.25">
      <c r="E360" s="20">
        <v>82907</v>
      </c>
    </row>
    <row r="361" spans="5:5" x14ac:dyDescent="0.25">
      <c r="E361" s="20">
        <v>83066</v>
      </c>
    </row>
    <row r="362" spans="5:5" x14ac:dyDescent="0.25">
      <c r="E362" s="20">
        <v>83378</v>
      </c>
    </row>
    <row r="363" spans="5:5" x14ac:dyDescent="0.25">
      <c r="E363" s="20">
        <v>83418</v>
      </c>
    </row>
    <row r="364" spans="5:5" x14ac:dyDescent="0.25">
      <c r="E364" s="20">
        <v>83639</v>
      </c>
    </row>
    <row r="365" spans="5:5" x14ac:dyDescent="0.25">
      <c r="E365" s="20">
        <v>83685</v>
      </c>
    </row>
    <row r="366" spans="5:5" x14ac:dyDescent="0.25">
      <c r="E366" s="20">
        <v>83756</v>
      </c>
    </row>
    <row r="367" spans="5:5" x14ac:dyDescent="0.25">
      <c r="E367" s="20">
        <v>83934</v>
      </c>
    </row>
    <row r="368" spans="5:5" x14ac:dyDescent="0.25">
      <c r="E368" s="20">
        <v>83990</v>
      </c>
    </row>
    <row r="369" spans="5:5" x14ac:dyDescent="0.25">
      <c r="E369" s="20">
        <v>84193</v>
      </c>
    </row>
    <row r="370" spans="5:5" x14ac:dyDescent="0.25">
      <c r="E370" s="20">
        <v>84297</v>
      </c>
    </row>
    <row r="371" spans="5:5" x14ac:dyDescent="0.25">
      <c r="E371" s="20">
        <v>84596</v>
      </c>
    </row>
    <row r="372" spans="5:5" x14ac:dyDescent="0.25">
      <c r="E372" s="20">
        <v>84913</v>
      </c>
    </row>
    <row r="373" spans="5:5" x14ac:dyDescent="0.25">
      <c r="E373" s="20">
        <v>85120</v>
      </c>
    </row>
    <row r="374" spans="5:5" x14ac:dyDescent="0.25">
      <c r="E374" s="20">
        <v>85369</v>
      </c>
    </row>
    <row r="375" spans="5:5" x14ac:dyDescent="0.25">
      <c r="E375" s="20">
        <v>85870</v>
      </c>
    </row>
    <row r="376" spans="5:5" x14ac:dyDescent="0.25">
      <c r="E376" s="20">
        <v>86061</v>
      </c>
    </row>
    <row r="377" spans="5:5" x14ac:dyDescent="0.25">
      <c r="E377" s="20">
        <v>86089</v>
      </c>
    </row>
    <row r="378" spans="5:5" x14ac:dyDescent="0.25">
      <c r="E378" s="20">
        <v>86173</v>
      </c>
    </row>
    <row r="379" spans="5:5" x14ac:dyDescent="0.25">
      <c r="E379" s="20">
        <v>86299</v>
      </c>
    </row>
    <row r="380" spans="5:5" x14ac:dyDescent="0.25">
      <c r="E380" s="20">
        <v>86317</v>
      </c>
    </row>
    <row r="381" spans="5:5" x14ac:dyDescent="0.25">
      <c r="E381" s="20">
        <v>86417</v>
      </c>
    </row>
    <row r="382" spans="5:5" x14ac:dyDescent="0.25">
      <c r="E382" s="20">
        <v>86431</v>
      </c>
    </row>
    <row r="383" spans="5:5" x14ac:dyDescent="0.25">
      <c r="E383" s="20">
        <v>86464</v>
      </c>
    </row>
    <row r="384" spans="5:5" x14ac:dyDescent="0.25">
      <c r="E384" s="20">
        <v>86478</v>
      </c>
    </row>
    <row r="385" spans="5:5" x14ac:dyDescent="0.25">
      <c r="E385" s="20">
        <v>86510</v>
      </c>
    </row>
    <row r="386" spans="5:5" x14ac:dyDescent="0.25">
      <c r="E386" s="20">
        <v>86538</v>
      </c>
    </row>
    <row r="387" spans="5:5" x14ac:dyDescent="0.25">
      <c r="E387" s="20">
        <v>86658</v>
      </c>
    </row>
    <row r="388" spans="5:5" x14ac:dyDescent="0.25">
      <c r="E388" s="20">
        <v>86774</v>
      </c>
    </row>
    <row r="389" spans="5:5" x14ac:dyDescent="0.25">
      <c r="E389" s="20">
        <v>86831</v>
      </c>
    </row>
    <row r="390" spans="5:5" x14ac:dyDescent="0.25">
      <c r="E390" s="20">
        <v>86858</v>
      </c>
    </row>
    <row r="391" spans="5:5" x14ac:dyDescent="0.25">
      <c r="E391" s="20">
        <v>87036</v>
      </c>
    </row>
    <row r="392" spans="5:5" x14ac:dyDescent="0.25">
      <c r="E392" s="20">
        <v>87158</v>
      </c>
    </row>
    <row r="393" spans="5:5" x14ac:dyDescent="0.25">
      <c r="E393" s="20">
        <v>87216</v>
      </c>
    </row>
    <row r="394" spans="5:5" x14ac:dyDescent="0.25">
      <c r="E394" s="20">
        <v>87292</v>
      </c>
    </row>
    <row r="395" spans="5:5" x14ac:dyDescent="0.25">
      <c r="E395" s="20">
        <v>87359</v>
      </c>
    </row>
    <row r="396" spans="5:5" x14ac:dyDescent="0.25">
      <c r="E396" s="20">
        <v>87427</v>
      </c>
    </row>
    <row r="397" spans="5:5" x14ac:dyDescent="0.25">
      <c r="E397" s="20">
        <v>87536</v>
      </c>
    </row>
    <row r="398" spans="5:5" x14ac:dyDescent="0.25">
      <c r="E398" s="20">
        <v>87744</v>
      </c>
    </row>
    <row r="399" spans="5:5" x14ac:dyDescent="0.25">
      <c r="E399" s="20">
        <v>87770</v>
      </c>
    </row>
    <row r="400" spans="5:5" x14ac:dyDescent="0.25">
      <c r="E400" s="20">
        <v>87806</v>
      </c>
    </row>
    <row r="401" spans="5:5" x14ac:dyDescent="0.25">
      <c r="E401" s="20">
        <v>87851</v>
      </c>
    </row>
    <row r="402" spans="5:5" x14ac:dyDescent="0.25">
      <c r="E402" s="20">
        <v>88045</v>
      </c>
    </row>
    <row r="403" spans="5:5" x14ac:dyDescent="0.25">
      <c r="E403" s="20">
        <v>88072</v>
      </c>
    </row>
    <row r="404" spans="5:5" x14ac:dyDescent="0.25">
      <c r="E404" s="20">
        <v>88182</v>
      </c>
    </row>
    <row r="405" spans="5:5" x14ac:dyDescent="0.25">
      <c r="E405" s="20">
        <v>88213</v>
      </c>
    </row>
    <row r="406" spans="5:5" x14ac:dyDescent="0.25">
      <c r="E406" s="20">
        <v>88272</v>
      </c>
    </row>
    <row r="407" spans="5:5" x14ac:dyDescent="0.25">
      <c r="E407" s="20">
        <v>88343</v>
      </c>
    </row>
    <row r="408" spans="5:5" x14ac:dyDescent="0.25">
      <c r="E408" s="20">
        <v>88478</v>
      </c>
    </row>
    <row r="409" spans="5:5" x14ac:dyDescent="0.25">
      <c r="E409" s="20">
        <v>88663</v>
      </c>
    </row>
    <row r="410" spans="5:5" x14ac:dyDescent="0.25">
      <c r="E410" s="20">
        <v>88730</v>
      </c>
    </row>
    <row r="411" spans="5:5" x14ac:dyDescent="0.25">
      <c r="E411" s="20">
        <v>88758</v>
      </c>
    </row>
    <row r="412" spans="5:5" x14ac:dyDescent="0.25">
      <c r="E412" s="20">
        <v>88777</v>
      </c>
    </row>
    <row r="413" spans="5:5" x14ac:dyDescent="0.25">
      <c r="E413" s="20">
        <v>88895</v>
      </c>
    </row>
    <row r="414" spans="5:5" x14ac:dyDescent="0.25">
      <c r="E414" s="20">
        <v>89390</v>
      </c>
    </row>
    <row r="415" spans="5:5" x14ac:dyDescent="0.25">
      <c r="E415" s="20">
        <v>89419</v>
      </c>
    </row>
    <row r="416" spans="5:5" x14ac:dyDescent="0.25">
      <c r="E416" s="20">
        <v>89458</v>
      </c>
    </row>
    <row r="417" spans="5:5" x14ac:dyDescent="0.25">
      <c r="E417" s="20">
        <v>89523</v>
      </c>
    </row>
    <row r="418" spans="5:5" x14ac:dyDescent="0.25">
      <c r="E418" s="20">
        <v>89659</v>
      </c>
    </row>
    <row r="419" spans="5:5" x14ac:dyDescent="0.25">
      <c r="E419" s="20">
        <v>89695</v>
      </c>
    </row>
    <row r="420" spans="5:5" x14ac:dyDescent="0.25">
      <c r="E420" s="20">
        <v>89769</v>
      </c>
    </row>
    <row r="421" spans="5:5" x14ac:dyDescent="0.25">
      <c r="E421" s="20">
        <v>89841</v>
      </c>
    </row>
    <row r="422" spans="5:5" x14ac:dyDescent="0.25">
      <c r="E422" s="20">
        <v>89984</v>
      </c>
    </row>
    <row r="423" spans="5:5" x14ac:dyDescent="0.25">
      <c r="E423" s="20">
        <v>90040</v>
      </c>
    </row>
    <row r="424" spans="5:5" x14ac:dyDescent="0.25">
      <c r="E424" s="20">
        <v>90212</v>
      </c>
    </row>
    <row r="425" spans="5:5" x14ac:dyDescent="0.25">
      <c r="E425" s="20">
        <v>90258</v>
      </c>
    </row>
    <row r="426" spans="5:5" x14ac:dyDescent="0.25">
      <c r="E426" s="20">
        <v>90304</v>
      </c>
    </row>
    <row r="427" spans="5:5" x14ac:dyDescent="0.25">
      <c r="E427" s="20">
        <v>90333</v>
      </c>
    </row>
    <row r="428" spans="5:5" x14ac:dyDescent="0.25">
      <c r="E428" s="20">
        <v>90535</v>
      </c>
    </row>
    <row r="429" spans="5:5" x14ac:dyDescent="0.25">
      <c r="E429" s="20">
        <v>90678</v>
      </c>
    </row>
    <row r="430" spans="5:5" x14ac:dyDescent="0.25">
      <c r="E430" s="20">
        <v>90770</v>
      </c>
    </row>
    <row r="431" spans="5:5" x14ac:dyDescent="0.25">
      <c r="E431" s="20">
        <v>90855</v>
      </c>
    </row>
    <row r="432" spans="5:5" x14ac:dyDescent="0.25">
      <c r="E432" s="20">
        <v>90870</v>
      </c>
    </row>
    <row r="433" spans="5:5" x14ac:dyDescent="0.25">
      <c r="E433" s="20">
        <v>90901</v>
      </c>
    </row>
    <row r="434" spans="5:5" x14ac:dyDescent="0.25">
      <c r="E434" s="20">
        <v>91134</v>
      </c>
    </row>
    <row r="435" spans="5:5" x14ac:dyDescent="0.25">
      <c r="E435" s="20">
        <v>91276</v>
      </c>
    </row>
    <row r="436" spans="5:5" x14ac:dyDescent="0.25">
      <c r="E436" s="20">
        <v>91280</v>
      </c>
    </row>
    <row r="437" spans="5:5" x14ac:dyDescent="0.25">
      <c r="E437" s="20">
        <v>91399</v>
      </c>
    </row>
    <row r="438" spans="5:5" x14ac:dyDescent="0.25">
      <c r="E438" s="20">
        <v>91400</v>
      </c>
    </row>
    <row r="439" spans="5:5" x14ac:dyDescent="0.25">
      <c r="E439" s="20">
        <v>91592</v>
      </c>
    </row>
    <row r="440" spans="5:5" x14ac:dyDescent="0.25">
      <c r="E440" s="20">
        <v>91621</v>
      </c>
    </row>
    <row r="441" spans="5:5" x14ac:dyDescent="0.25">
      <c r="E441" s="20">
        <v>91632</v>
      </c>
    </row>
    <row r="442" spans="5:5" x14ac:dyDescent="0.25">
      <c r="E442" s="20">
        <v>91679</v>
      </c>
    </row>
    <row r="443" spans="5:5" x14ac:dyDescent="0.25">
      <c r="E443" s="20">
        <v>91763</v>
      </c>
    </row>
    <row r="444" spans="5:5" x14ac:dyDescent="0.25">
      <c r="E444" s="20">
        <v>91782</v>
      </c>
    </row>
    <row r="445" spans="5:5" x14ac:dyDescent="0.25">
      <c r="E445" s="20">
        <v>91853</v>
      </c>
    </row>
    <row r="446" spans="5:5" x14ac:dyDescent="0.25">
      <c r="E446" s="20">
        <v>91954</v>
      </c>
    </row>
    <row r="447" spans="5:5" x14ac:dyDescent="0.25">
      <c r="E447" s="20">
        <v>92058</v>
      </c>
    </row>
    <row r="448" spans="5:5" x14ac:dyDescent="0.25">
      <c r="E448" s="20">
        <v>92209</v>
      </c>
    </row>
    <row r="449" spans="5:5" x14ac:dyDescent="0.25">
      <c r="E449" s="20">
        <v>92293</v>
      </c>
    </row>
    <row r="450" spans="5:5" x14ac:dyDescent="0.25">
      <c r="E450" s="20">
        <v>92321</v>
      </c>
    </row>
    <row r="451" spans="5:5" x14ac:dyDescent="0.25">
      <c r="E451" s="20">
        <v>92610</v>
      </c>
    </row>
    <row r="452" spans="5:5" x14ac:dyDescent="0.25">
      <c r="E452" s="20">
        <v>92655</v>
      </c>
    </row>
    <row r="453" spans="5:5" x14ac:dyDescent="0.25">
      <c r="E453" s="20">
        <v>92753</v>
      </c>
    </row>
    <row r="454" spans="5:5" x14ac:dyDescent="0.25">
      <c r="E454" s="20">
        <v>92771</v>
      </c>
    </row>
    <row r="455" spans="5:5" x14ac:dyDescent="0.25">
      <c r="E455" s="20">
        <v>92897</v>
      </c>
    </row>
    <row r="456" spans="5:5" x14ac:dyDescent="0.25">
      <c r="E456" s="20">
        <v>92932</v>
      </c>
    </row>
    <row r="457" spans="5:5" x14ac:dyDescent="0.25">
      <c r="E457" s="20">
        <v>92940</v>
      </c>
    </row>
    <row r="458" spans="5:5" x14ac:dyDescent="0.25">
      <c r="E458" s="20">
        <v>92952</v>
      </c>
    </row>
    <row r="459" spans="5:5" x14ac:dyDescent="0.25">
      <c r="E459" s="20">
        <v>92994</v>
      </c>
    </row>
    <row r="460" spans="5:5" x14ac:dyDescent="0.25">
      <c r="E460" s="20">
        <v>93017</v>
      </c>
    </row>
    <row r="461" spans="5:5" x14ac:dyDescent="0.25">
      <c r="E461" s="20">
        <v>93102</v>
      </c>
    </row>
    <row r="462" spans="5:5" x14ac:dyDescent="0.25">
      <c r="E462" s="20">
        <v>93103</v>
      </c>
    </row>
    <row r="463" spans="5:5" x14ac:dyDescent="0.25">
      <c r="E463" s="20">
        <v>93343</v>
      </c>
    </row>
    <row r="464" spans="5:5" x14ac:dyDescent="0.25">
      <c r="E464" s="20">
        <v>93668</v>
      </c>
    </row>
    <row r="465" spans="5:5" x14ac:dyDescent="0.25">
      <c r="E465" s="20">
        <v>93734</v>
      </c>
    </row>
    <row r="466" spans="5:5" x14ac:dyDescent="0.25">
      <c r="E466" s="20">
        <v>93840</v>
      </c>
    </row>
    <row r="467" spans="5:5" x14ac:dyDescent="0.25">
      <c r="E467" s="20">
        <v>93971</v>
      </c>
    </row>
    <row r="468" spans="5:5" x14ac:dyDescent="0.25">
      <c r="E468" s="20">
        <v>94246</v>
      </c>
    </row>
    <row r="469" spans="5:5" x14ac:dyDescent="0.25">
      <c r="E469" s="20">
        <v>94352</v>
      </c>
    </row>
    <row r="470" spans="5:5" x14ac:dyDescent="0.25">
      <c r="E470" s="20">
        <v>94407</v>
      </c>
    </row>
    <row r="471" spans="5:5" x14ac:dyDescent="0.25">
      <c r="E471" s="20">
        <v>94422</v>
      </c>
    </row>
    <row r="472" spans="5:5" x14ac:dyDescent="0.25">
      <c r="E472" s="20">
        <v>94430</v>
      </c>
    </row>
    <row r="473" spans="5:5" x14ac:dyDescent="0.25">
      <c r="E473" s="20">
        <v>94618</v>
      </c>
    </row>
    <row r="474" spans="5:5" x14ac:dyDescent="0.25">
      <c r="E474" s="20">
        <v>94652</v>
      </c>
    </row>
    <row r="475" spans="5:5" x14ac:dyDescent="0.25">
      <c r="E475" s="20">
        <v>94658</v>
      </c>
    </row>
    <row r="476" spans="5:5" x14ac:dyDescent="0.25">
      <c r="E476" s="20">
        <v>94735</v>
      </c>
    </row>
    <row r="477" spans="5:5" x14ac:dyDescent="0.25">
      <c r="E477" s="20">
        <v>94790</v>
      </c>
    </row>
    <row r="478" spans="5:5" x14ac:dyDescent="0.25">
      <c r="E478" s="20">
        <v>94815</v>
      </c>
    </row>
    <row r="479" spans="5:5" x14ac:dyDescent="0.25">
      <c r="E479" s="20">
        <v>94876</v>
      </c>
    </row>
    <row r="480" spans="5:5" x14ac:dyDescent="0.25">
      <c r="E480" s="20">
        <v>95045</v>
      </c>
    </row>
    <row r="481" spans="5:5" x14ac:dyDescent="0.25">
      <c r="E481" s="20">
        <v>95061</v>
      </c>
    </row>
    <row r="482" spans="5:5" x14ac:dyDescent="0.25">
      <c r="E482" s="20">
        <v>95239</v>
      </c>
    </row>
    <row r="483" spans="5:5" x14ac:dyDescent="0.25">
      <c r="E483" s="20">
        <v>95372</v>
      </c>
    </row>
    <row r="484" spans="5:5" x14ac:dyDescent="0.25">
      <c r="E484" s="20">
        <v>95409</v>
      </c>
    </row>
    <row r="485" spans="5:5" x14ac:dyDescent="0.25">
      <c r="E485" s="20">
        <v>95499</v>
      </c>
    </row>
    <row r="486" spans="5:5" x14ac:dyDescent="0.25">
      <c r="E486" s="20">
        <v>95562</v>
      </c>
    </row>
    <row r="487" spans="5:5" x14ac:dyDescent="0.25">
      <c r="E487" s="20">
        <v>95639</v>
      </c>
    </row>
    <row r="488" spans="5:5" x14ac:dyDescent="0.25">
      <c r="E488" s="20">
        <v>95670</v>
      </c>
    </row>
    <row r="489" spans="5:5" x14ac:dyDescent="0.25">
      <c r="E489" s="20">
        <v>95743</v>
      </c>
    </row>
    <row r="490" spans="5:5" x14ac:dyDescent="0.25">
      <c r="E490" s="20">
        <v>95786</v>
      </c>
    </row>
    <row r="491" spans="5:5" x14ac:dyDescent="0.25">
      <c r="E491" s="20">
        <v>95899</v>
      </c>
    </row>
    <row r="492" spans="5:5" x14ac:dyDescent="0.25">
      <c r="E492" s="20">
        <v>95960</v>
      </c>
    </row>
    <row r="493" spans="5:5" x14ac:dyDescent="0.25">
      <c r="E493" s="20">
        <v>95963</v>
      </c>
    </row>
    <row r="494" spans="5:5" x14ac:dyDescent="0.25">
      <c r="E494" s="20">
        <v>95998</v>
      </c>
    </row>
    <row r="495" spans="5:5" x14ac:dyDescent="0.25">
      <c r="E495" s="20">
        <v>96023</v>
      </c>
    </row>
    <row r="496" spans="5:5" x14ac:dyDescent="0.25">
      <c r="E496" s="20">
        <v>96092</v>
      </c>
    </row>
    <row r="497" spans="5:5" x14ac:dyDescent="0.25">
      <c r="E497" s="20">
        <v>96313</v>
      </c>
    </row>
    <row r="498" spans="5:5" x14ac:dyDescent="0.25">
      <c r="E498" s="20">
        <v>96331</v>
      </c>
    </row>
    <row r="499" spans="5:5" x14ac:dyDescent="0.25">
      <c r="E499" s="20">
        <v>96366</v>
      </c>
    </row>
    <row r="500" spans="5:5" x14ac:dyDescent="0.25">
      <c r="E500" s="20">
        <v>96441</v>
      </c>
    </row>
    <row r="501" spans="5:5" x14ac:dyDescent="0.25">
      <c r="E501" s="20">
        <v>96475</v>
      </c>
    </row>
    <row r="502" spans="5:5" x14ac:dyDescent="0.25">
      <c r="E502" s="20">
        <v>96548</v>
      </c>
    </row>
    <row r="503" spans="5:5" x14ac:dyDescent="0.25">
      <c r="E503" s="20">
        <v>96566</v>
      </c>
    </row>
    <row r="504" spans="5:5" x14ac:dyDescent="0.25">
      <c r="E504" s="20">
        <v>96567</v>
      </c>
    </row>
    <row r="505" spans="5:5" x14ac:dyDescent="0.25">
      <c r="E505" s="20">
        <v>96598</v>
      </c>
    </row>
    <row r="506" spans="5:5" x14ac:dyDescent="0.25">
      <c r="E506" s="20">
        <v>96636</v>
      </c>
    </row>
    <row r="507" spans="5:5" x14ac:dyDescent="0.25">
      <c r="E507" s="20">
        <v>96639</v>
      </c>
    </row>
    <row r="508" spans="5:5" x14ac:dyDescent="0.25">
      <c r="E508" s="20">
        <v>96693</v>
      </c>
    </row>
    <row r="509" spans="5:5" x14ac:dyDescent="0.25">
      <c r="E509" s="20">
        <v>96719</v>
      </c>
    </row>
    <row r="510" spans="5:5" x14ac:dyDescent="0.25">
      <c r="E510" s="20">
        <v>96757</v>
      </c>
    </row>
    <row r="511" spans="5:5" x14ac:dyDescent="0.25">
      <c r="E511" s="20">
        <v>96997</v>
      </c>
    </row>
    <row r="512" spans="5:5" x14ac:dyDescent="0.25">
      <c r="E512" s="20">
        <v>97078</v>
      </c>
    </row>
    <row r="513" spans="5:5" x14ac:dyDescent="0.25">
      <c r="E513" s="20">
        <v>97231</v>
      </c>
    </row>
    <row r="514" spans="5:5" x14ac:dyDescent="0.25">
      <c r="E514" s="20">
        <v>97336</v>
      </c>
    </row>
    <row r="515" spans="5:5" x14ac:dyDescent="0.25">
      <c r="E515" s="20">
        <v>97339</v>
      </c>
    </row>
    <row r="516" spans="5:5" x14ac:dyDescent="0.25">
      <c r="E516" s="20">
        <v>97398</v>
      </c>
    </row>
    <row r="517" spans="5:5" x14ac:dyDescent="0.25">
      <c r="E517" s="20">
        <v>97433</v>
      </c>
    </row>
    <row r="518" spans="5:5" x14ac:dyDescent="0.25">
      <c r="E518" s="20">
        <v>97500</v>
      </c>
    </row>
    <row r="519" spans="5:5" x14ac:dyDescent="0.25">
      <c r="E519" s="20">
        <v>97537</v>
      </c>
    </row>
    <row r="520" spans="5:5" x14ac:dyDescent="0.25">
      <c r="E520" s="20">
        <v>97807</v>
      </c>
    </row>
    <row r="521" spans="5:5" x14ac:dyDescent="0.25">
      <c r="E521" s="20">
        <v>97830</v>
      </c>
    </row>
    <row r="522" spans="5:5" x14ac:dyDescent="0.25">
      <c r="E522" s="20">
        <v>98110</v>
      </c>
    </row>
    <row r="523" spans="5:5" x14ac:dyDescent="0.25">
      <c r="E523" s="20">
        <v>98150</v>
      </c>
    </row>
    <row r="524" spans="5:5" x14ac:dyDescent="0.25">
      <c r="E524" s="20">
        <v>98230</v>
      </c>
    </row>
    <row r="525" spans="5:5" x14ac:dyDescent="0.25">
      <c r="E525" s="20">
        <v>98427</v>
      </c>
    </row>
    <row r="526" spans="5:5" x14ac:dyDescent="0.25">
      <c r="E526" s="20">
        <v>98520</v>
      </c>
    </row>
    <row r="527" spans="5:5" x14ac:dyDescent="0.25">
      <c r="E527" s="20">
        <v>98581</v>
      </c>
    </row>
    <row r="528" spans="5:5" x14ac:dyDescent="0.25">
      <c r="E528" s="20">
        <v>98769</v>
      </c>
    </row>
    <row r="529" spans="5:5" x14ac:dyDescent="0.25">
      <c r="E529" s="20">
        <v>99017</v>
      </c>
    </row>
    <row r="530" spans="5:5" x14ac:dyDescent="0.25">
      <c r="E530" s="20">
        <v>99080</v>
      </c>
    </row>
    <row r="531" spans="5:5" x14ac:dyDescent="0.25">
      <c r="E531" s="20">
        <v>99091</v>
      </c>
    </row>
    <row r="532" spans="5:5" x14ac:dyDescent="0.25">
      <c r="E532" s="20">
        <v>99169</v>
      </c>
    </row>
    <row r="533" spans="5:5" x14ac:dyDescent="0.25">
      <c r="E533" s="20">
        <v>99202</v>
      </c>
    </row>
    <row r="534" spans="5:5" x14ac:dyDescent="0.25">
      <c r="E534" s="20">
        <v>99335</v>
      </c>
    </row>
    <row r="535" spans="5:5" x14ac:dyDescent="0.25">
      <c r="E535" s="20">
        <v>99354</v>
      </c>
    </row>
    <row r="536" spans="5:5" x14ac:dyDescent="0.25">
      <c r="E536" s="20">
        <v>99557</v>
      </c>
    </row>
    <row r="537" spans="5:5" x14ac:dyDescent="0.25">
      <c r="E537" s="20">
        <v>99575</v>
      </c>
    </row>
    <row r="538" spans="5:5" x14ac:dyDescent="0.25">
      <c r="E538" s="20">
        <v>99624</v>
      </c>
    </row>
    <row r="539" spans="5:5" x14ac:dyDescent="0.25">
      <c r="E539" s="20">
        <v>99697</v>
      </c>
    </row>
    <row r="540" spans="5:5" x14ac:dyDescent="0.25">
      <c r="E540" s="20">
        <v>99774</v>
      </c>
    </row>
    <row r="541" spans="5:5" x14ac:dyDescent="0.25">
      <c r="E541" s="20">
        <v>99975</v>
      </c>
    </row>
    <row r="542" spans="5:5" x14ac:dyDescent="0.25">
      <c r="E542" s="20">
        <v>99989</v>
      </c>
    </row>
    <row r="543" spans="5:5" x14ac:dyDescent="0.25">
      <c r="E543" s="20">
        <v>100099</v>
      </c>
    </row>
    <row r="544" spans="5:5" x14ac:dyDescent="0.25">
      <c r="E544" s="20">
        <v>100810</v>
      </c>
    </row>
    <row r="545" spans="5:5" x14ac:dyDescent="0.25">
      <c r="E545" s="20">
        <v>101143</v>
      </c>
    </row>
    <row r="546" spans="5:5" x14ac:dyDescent="0.25">
      <c r="E546" s="20">
        <v>101288</v>
      </c>
    </row>
    <row r="547" spans="5:5" x14ac:dyDescent="0.25">
      <c r="E547" s="20">
        <v>101577</v>
      </c>
    </row>
    <row r="548" spans="5:5" x14ac:dyDescent="0.25">
      <c r="E548" s="20">
        <v>101870</v>
      </c>
    </row>
    <row r="549" spans="5:5" x14ac:dyDescent="0.25">
      <c r="E549" s="20">
        <v>101985</v>
      </c>
    </row>
    <row r="550" spans="5:5" x14ac:dyDescent="0.25">
      <c r="E550" s="20">
        <v>102033</v>
      </c>
    </row>
    <row r="551" spans="5:5" x14ac:dyDescent="0.25">
      <c r="E551" s="20">
        <v>102043</v>
      </c>
    </row>
    <row r="552" spans="5:5" x14ac:dyDescent="0.25">
      <c r="E552" s="20">
        <v>102167</v>
      </c>
    </row>
    <row r="553" spans="5:5" x14ac:dyDescent="0.25">
      <c r="E553" s="20">
        <v>102270</v>
      </c>
    </row>
    <row r="554" spans="5:5" x14ac:dyDescent="0.25">
      <c r="E554" s="20">
        <v>102298</v>
      </c>
    </row>
    <row r="555" spans="5:5" x14ac:dyDescent="0.25">
      <c r="E555" s="20">
        <v>102440</v>
      </c>
    </row>
    <row r="556" spans="5:5" x14ac:dyDescent="0.25">
      <c r="E556" s="20">
        <v>102636</v>
      </c>
    </row>
    <row r="557" spans="5:5" x14ac:dyDescent="0.25">
      <c r="E557" s="20">
        <v>102839</v>
      </c>
    </row>
    <row r="558" spans="5:5" x14ac:dyDescent="0.25">
      <c r="E558" s="20">
        <v>102847</v>
      </c>
    </row>
    <row r="559" spans="5:5" x14ac:dyDescent="0.25">
      <c r="E559" s="20">
        <v>103058</v>
      </c>
    </row>
    <row r="560" spans="5:5" x14ac:dyDescent="0.25">
      <c r="E560" s="20">
        <v>103096</v>
      </c>
    </row>
    <row r="561" spans="5:5" x14ac:dyDescent="0.25">
      <c r="E561" s="20">
        <v>103183</v>
      </c>
    </row>
    <row r="562" spans="5:5" x14ac:dyDescent="0.25">
      <c r="E562" s="20">
        <v>103423</v>
      </c>
    </row>
    <row r="563" spans="5:5" x14ac:dyDescent="0.25">
      <c r="E563" s="20">
        <v>103504</v>
      </c>
    </row>
    <row r="564" spans="5:5" x14ac:dyDescent="0.25">
      <c r="E564" s="20">
        <v>103524</v>
      </c>
    </row>
    <row r="565" spans="5:5" x14ac:dyDescent="0.25">
      <c r="E565" s="20">
        <v>103707</v>
      </c>
    </row>
    <row r="566" spans="5:5" x14ac:dyDescent="0.25">
      <c r="E566" s="20">
        <v>103724</v>
      </c>
    </row>
    <row r="567" spans="5:5" x14ac:dyDescent="0.25">
      <c r="E567" s="20">
        <v>104162</v>
      </c>
    </row>
    <row r="568" spans="5:5" x14ac:dyDescent="0.25">
      <c r="E568" s="20">
        <v>104431</v>
      </c>
    </row>
    <row r="569" spans="5:5" x14ac:dyDescent="0.25">
      <c r="E569" s="20">
        <v>104668</v>
      </c>
    </row>
    <row r="570" spans="5:5" x14ac:dyDescent="0.25">
      <c r="E570" s="20">
        <v>104903</v>
      </c>
    </row>
    <row r="571" spans="5:5" x14ac:dyDescent="0.25">
      <c r="E571" s="20">
        <v>105086</v>
      </c>
    </row>
    <row r="572" spans="5:5" x14ac:dyDescent="0.25">
      <c r="E572" s="20">
        <v>105223</v>
      </c>
    </row>
    <row r="573" spans="5:5" x14ac:dyDescent="0.25">
      <c r="E573" s="20">
        <v>105390</v>
      </c>
    </row>
    <row r="574" spans="5:5" x14ac:dyDescent="0.25">
      <c r="E574" s="20">
        <v>105891</v>
      </c>
    </row>
    <row r="575" spans="5:5" x14ac:dyDescent="0.25">
      <c r="E575" s="20">
        <v>106079</v>
      </c>
    </row>
    <row r="576" spans="5:5" x14ac:dyDescent="0.25">
      <c r="E576" s="20">
        <v>106313</v>
      </c>
    </row>
    <row r="577" spans="5:5" x14ac:dyDescent="0.25">
      <c r="E577" s="20">
        <v>106428</v>
      </c>
    </row>
    <row r="578" spans="5:5" x14ac:dyDescent="0.25">
      <c r="E578" s="20">
        <v>106437</v>
      </c>
    </row>
    <row r="579" spans="5:5" x14ac:dyDescent="0.25">
      <c r="E579" s="20">
        <v>106444</v>
      </c>
    </row>
    <row r="580" spans="5:5" x14ac:dyDescent="0.25">
      <c r="E580" s="20">
        <v>106578</v>
      </c>
    </row>
    <row r="581" spans="5:5" x14ac:dyDescent="0.25">
      <c r="E581" s="20">
        <v>106858</v>
      </c>
    </row>
    <row r="582" spans="5:5" x14ac:dyDescent="0.25">
      <c r="E582" s="20">
        <v>107195</v>
      </c>
    </row>
    <row r="583" spans="5:5" x14ac:dyDescent="0.25">
      <c r="E583" s="20">
        <v>108134</v>
      </c>
    </row>
    <row r="584" spans="5:5" x14ac:dyDescent="0.25">
      <c r="E584" s="20">
        <v>108221</v>
      </c>
    </row>
    <row r="585" spans="5:5" x14ac:dyDescent="0.25">
      <c r="E585" s="20">
        <v>108268</v>
      </c>
    </row>
    <row r="586" spans="5:5" x14ac:dyDescent="0.25">
      <c r="E586" s="20">
        <v>108686</v>
      </c>
    </row>
    <row r="587" spans="5:5" x14ac:dyDescent="0.25">
      <c r="E587" s="20">
        <v>108780</v>
      </c>
    </row>
    <row r="588" spans="5:5" x14ac:dyDescent="0.25">
      <c r="E588" s="20">
        <v>108826</v>
      </c>
    </row>
    <row r="589" spans="5:5" x14ac:dyDescent="0.25">
      <c r="E589" s="20">
        <v>109059</v>
      </c>
    </row>
    <row r="590" spans="5:5" x14ac:dyDescent="0.25">
      <c r="E590" s="20">
        <v>109422</v>
      </c>
    </row>
    <row r="591" spans="5:5" x14ac:dyDescent="0.25">
      <c r="E591" s="20">
        <v>109456</v>
      </c>
    </row>
    <row r="592" spans="5:5" x14ac:dyDescent="0.25">
      <c r="E592" s="20">
        <v>109680</v>
      </c>
    </row>
    <row r="593" spans="5:5" x14ac:dyDescent="0.25">
      <c r="E593" s="20">
        <v>109812</v>
      </c>
    </row>
    <row r="594" spans="5:5" x14ac:dyDescent="0.25">
      <c r="E594" s="20">
        <v>109850</v>
      </c>
    </row>
    <row r="595" spans="5:5" x14ac:dyDescent="0.25">
      <c r="E595" s="20">
        <v>109851</v>
      </c>
    </row>
    <row r="596" spans="5:5" x14ac:dyDescent="0.25">
      <c r="E596" s="20">
        <v>109883</v>
      </c>
    </row>
    <row r="597" spans="5:5" x14ac:dyDescent="0.25">
      <c r="E597" s="20">
        <v>110054</v>
      </c>
    </row>
    <row r="598" spans="5:5" x14ac:dyDescent="0.25">
      <c r="E598" s="20">
        <v>110302</v>
      </c>
    </row>
    <row r="599" spans="5:5" x14ac:dyDescent="0.25">
      <c r="E599" s="20">
        <v>110565</v>
      </c>
    </row>
    <row r="600" spans="5:5" x14ac:dyDescent="0.25">
      <c r="E600" s="20">
        <v>111006</v>
      </c>
    </row>
    <row r="601" spans="5:5" x14ac:dyDescent="0.25">
      <c r="E601" s="20">
        <v>111038</v>
      </c>
    </row>
    <row r="602" spans="5:5" x14ac:dyDescent="0.25">
      <c r="E602" s="20">
        <v>111299</v>
      </c>
    </row>
    <row r="603" spans="5:5" x14ac:dyDescent="0.25">
      <c r="E603" s="20">
        <v>111404</v>
      </c>
    </row>
    <row r="604" spans="5:5" x14ac:dyDescent="0.25">
      <c r="E604" s="20">
        <v>113135</v>
      </c>
    </row>
    <row r="605" spans="5:5" x14ac:dyDescent="0.25">
      <c r="E605" s="20">
        <v>113269</v>
      </c>
    </row>
    <row r="606" spans="5:5" x14ac:dyDescent="0.25">
      <c r="E606" s="20">
        <v>113527</v>
      </c>
    </row>
    <row r="607" spans="5:5" x14ac:dyDescent="0.25">
      <c r="E607" s="20">
        <v>113781</v>
      </c>
    </row>
    <row r="608" spans="5:5" x14ac:dyDescent="0.25">
      <c r="E608" s="20">
        <v>113873</v>
      </c>
    </row>
    <row r="609" spans="5:5" x14ac:dyDescent="0.25">
      <c r="E609" s="20">
        <v>113909</v>
      </c>
    </row>
    <row r="610" spans="5:5" x14ac:dyDescent="0.25">
      <c r="E610" s="20">
        <v>113950</v>
      </c>
    </row>
    <row r="611" spans="5:5" x14ac:dyDescent="0.25">
      <c r="E611" s="20">
        <v>113982</v>
      </c>
    </row>
    <row r="612" spans="5:5" x14ac:dyDescent="0.25">
      <c r="E612" s="20">
        <v>113987</v>
      </c>
    </row>
    <row r="613" spans="5:5" x14ac:dyDescent="0.25">
      <c r="E613" s="20">
        <v>114242</v>
      </c>
    </row>
    <row r="614" spans="5:5" x14ac:dyDescent="0.25">
      <c r="E614" s="20">
        <v>114250</v>
      </c>
    </row>
    <row r="615" spans="5:5" x14ac:dyDescent="0.25">
      <c r="E615" s="20">
        <v>114441</v>
      </c>
    </row>
    <row r="616" spans="5:5" x14ac:dyDescent="0.25">
      <c r="E616" s="20">
        <v>114893</v>
      </c>
    </row>
    <row r="617" spans="5:5" x14ac:dyDescent="0.25">
      <c r="E617" s="20">
        <v>114911</v>
      </c>
    </row>
    <row r="618" spans="5:5" x14ac:dyDescent="0.25">
      <c r="E618" s="20">
        <v>115145</v>
      </c>
    </row>
    <row r="619" spans="5:5" x14ac:dyDescent="0.25">
      <c r="E619" s="20">
        <v>115417</v>
      </c>
    </row>
    <row r="620" spans="5:5" x14ac:dyDescent="0.25">
      <c r="E620" s="20">
        <v>115490</v>
      </c>
    </row>
    <row r="621" spans="5:5" x14ac:dyDescent="0.25">
      <c r="E621" s="20">
        <v>115765</v>
      </c>
    </row>
    <row r="622" spans="5:5" x14ac:dyDescent="0.25">
      <c r="E622" s="20">
        <v>115798</v>
      </c>
    </row>
    <row r="623" spans="5:5" x14ac:dyDescent="0.25">
      <c r="E623" s="20">
        <v>115854</v>
      </c>
    </row>
    <row r="624" spans="5:5" x14ac:dyDescent="0.25">
      <c r="E624" s="20">
        <v>116527</v>
      </c>
    </row>
    <row r="625" spans="5:5" x14ac:dyDescent="0.25">
      <c r="E625" s="20">
        <v>116878</v>
      </c>
    </row>
    <row r="626" spans="5:5" x14ac:dyDescent="0.25">
      <c r="E626" s="20">
        <v>117062</v>
      </c>
    </row>
    <row r="627" spans="5:5" x14ac:dyDescent="0.25">
      <c r="E627" s="20">
        <v>117226</v>
      </c>
    </row>
    <row r="628" spans="5:5" x14ac:dyDescent="0.25">
      <c r="E628" s="20">
        <v>117278</v>
      </c>
    </row>
    <row r="629" spans="5:5" x14ac:dyDescent="0.25">
      <c r="E629" s="20">
        <v>117518</v>
      </c>
    </row>
    <row r="630" spans="5:5" x14ac:dyDescent="0.25">
      <c r="E630" s="20">
        <v>117545</v>
      </c>
    </row>
    <row r="631" spans="5:5" x14ac:dyDescent="0.25">
      <c r="E631" s="20">
        <v>118253</v>
      </c>
    </row>
    <row r="632" spans="5:5" x14ac:dyDescent="0.25">
      <c r="E632" s="20">
        <v>118708</v>
      </c>
    </row>
    <row r="633" spans="5:5" x14ac:dyDescent="0.25">
      <c r="E633" s="20">
        <v>119397</v>
      </c>
    </row>
    <row r="634" spans="5:5" x14ac:dyDescent="0.25">
      <c r="E634" s="20">
        <v>119631</v>
      </c>
    </row>
    <row r="635" spans="5:5" x14ac:dyDescent="0.25">
      <c r="E635" s="20">
        <v>119647</v>
      </c>
    </row>
    <row r="636" spans="5:5" x14ac:dyDescent="0.25">
      <c r="E636" s="20">
        <v>119699</v>
      </c>
    </row>
    <row r="637" spans="5:5" x14ac:dyDescent="0.25">
      <c r="E637" s="20">
        <v>119746</v>
      </c>
    </row>
    <row r="638" spans="5:5" x14ac:dyDescent="0.25">
      <c r="E638" s="20">
        <v>119906</v>
      </c>
    </row>
    <row r="639" spans="5:5" x14ac:dyDescent="0.25">
      <c r="E639" s="20">
        <v>120128</v>
      </c>
    </row>
    <row r="640" spans="5:5" x14ac:dyDescent="0.25">
      <c r="E640" s="20">
        <v>120321</v>
      </c>
    </row>
    <row r="641" spans="5:5" x14ac:dyDescent="0.25">
      <c r="E641" s="20">
        <v>120341</v>
      </c>
    </row>
    <row r="642" spans="5:5" x14ac:dyDescent="0.25">
      <c r="E642" s="20">
        <v>120628</v>
      </c>
    </row>
    <row r="643" spans="5:5" x14ac:dyDescent="0.25">
      <c r="E643" s="20">
        <v>120660</v>
      </c>
    </row>
    <row r="644" spans="5:5" x14ac:dyDescent="0.25">
      <c r="E644" s="20">
        <v>120905</v>
      </c>
    </row>
    <row r="645" spans="5:5" x14ac:dyDescent="0.25">
      <c r="E645" s="20">
        <v>121065</v>
      </c>
    </row>
    <row r="646" spans="5:5" x14ac:dyDescent="0.25">
      <c r="E646" s="20">
        <v>121480</v>
      </c>
    </row>
    <row r="647" spans="5:5" x14ac:dyDescent="0.25">
      <c r="E647" s="20">
        <v>122054</v>
      </c>
    </row>
    <row r="648" spans="5:5" x14ac:dyDescent="0.25">
      <c r="E648" s="20">
        <v>122350</v>
      </c>
    </row>
    <row r="649" spans="5:5" x14ac:dyDescent="0.25">
      <c r="E649" s="20">
        <v>122487</v>
      </c>
    </row>
    <row r="650" spans="5:5" x14ac:dyDescent="0.25">
      <c r="E650" s="20">
        <v>122644</v>
      </c>
    </row>
    <row r="651" spans="5:5" x14ac:dyDescent="0.25">
      <c r="E651" s="20">
        <v>122753</v>
      </c>
    </row>
    <row r="652" spans="5:5" x14ac:dyDescent="0.25">
      <c r="E652" s="20">
        <v>122802</v>
      </c>
    </row>
    <row r="653" spans="5:5" x14ac:dyDescent="0.25">
      <c r="E653" s="20">
        <v>122829</v>
      </c>
    </row>
    <row r="654" spans="5:5" x14ac:dyDescent="0.25">
      <c r="E654" s="20">
        <v>122890</v>
      </c>
    </row>
    <row r="655" spans="5:5" x14ac:dyDescent="0.25">
      <c r="E655" s="20">
        <v>123405</v>
      </c>
    </row>
    <row r="656" spans="5:5" x14ac:dyDescent="0.25">
      <c r="E656" s="20">
        <v>123588</v>
      </c>
    </row>
    <row r="657" spans="5:5" x14ac:dyDescent="0.25">
      <c r="E657" s="20">
        <v>123640</v>
      </c>
    </row>
    <row r="658" spans="5:5" x14ac:dyDescent="0.25">
      <c r="E658" s="20">
        <v>124129</v>
      </c>
    </row>
    <row r="659" spans="5:5" x14ac:dyDescent="0.25">
      <c r="E659" s="20">
        <v>124629</v>
      </c>
    </row>
    <row r="660" spans="5:5" x14ac:dyDescent="0.25">
      <c r="E660" s="20">
        <v>124774</v>
      </c>
    </row>
    <row r="661" spans="5:5" x14ac:dyDescent="0.25">
      <c r="E661" s="20">
        <v>124827</v>
      </c>
    </row>
    <row r="662" spans="5:5" x14ac:dyDescent="0.25">
      <c r="E662" s="20">
        <v>124928</v>
      </c>
    </row>
    <row r="663" spans="5:5" x14ac:dyDescent="0.25">
      <c r="E663" s="20">
        <v>125086</v>
      </c>
    </row>
    <row r="664" spans="5:5" x14ac:dyDescent="0.25">
      <c r="E664" s="20">
        <v>125375</v>
      </c>
    </row>
    <row r="665" spans="5:5" x14ac:dyDescent="0.25">
      <c r="E665" s="20">
        <v>125633</v>
      </c>
    </row>
    <row r="666" spans="5:5" x14ac:dyDescent="0.25">
      <c r="E666" s="20">
        <v>125730</v>
      </c>
    </row>
    <row r="667" spans="5:5" x14ac:dyDescent="0.25">
      <c r="E667" s="20">
        <v>125807</v>
      </c>
    </row>
    <row r="668" spans="5:5" x14ac:dyDescent="0.25">
      <c r="E668" s="20">
        <v>125828</v>
      </c>
    </row>
    <row r="669" spans="5:5" x14ac:dyDescent="0.25">
      <c r="E669" s="20">
        <v>125936</v>
      </c>
    </row>
    <row r="670" spans="5:5" x14ac:dyDescent="0.25">
      <c r="E670" s="20">
        <v>126277</v>
      </c>
    </row>
    <row r="671" spans="5:5" x14ac:dyDescent="0.25">
      <c r="E671" s="20">
        <v>126353</v>
      </c>
    </row>
    <row r="672" spans="5:5" x14ac:dyDescent="0.25">
      <c r="E672" s="20">
        <v>126671</v>
      </c>
    </row>
    <row r="673" spans="5:5" x14ac:dyDescent="0.25">
      <c r="E673" s="20">
        <v>126856</v>
      </c>
    </row>
    <row r="674" spans="5:5" x14ac:dyDescent="0.25">
      <c r="E674" s="20">
        <v>126911</v>
      </c>
    </row>
    <row r="675" spans="5:5" x14ac:dyDescent="0.25">
      <c r="E675" s="20">
        <v>126950</v>
      </c>
    </row>
    <row r="676" spans="5:5" x14ac:dyDescent="0.25">
      <c r="E676" s="20">
        <v>127148</v>
      </c>
    </row>
    <row r="677" spans="5:5" x14ac:dyDescent="0.25">
      <c r="E677" s="20">
        <v>127422</v>
      </c>
    </row>
    <row r="678" spans="5:5" x14ac:dyDescent="0.25">
      <c r="E678" s="20">
        <v>127543</v>
      </c>
    </row>
    <row r="679" spans="5:5" x14ac:dyDescent="0.25">
      <c r="E679" s="20">
        <v>127559</v>
      </c>
    </row>
    <row r="680" spans="5:5" x14ac:dyDescent="0.25">
      <c r="E680" s="20">
        <v>127616</v>
      </c>
    </row>
    <row r="681" spans="5:5" x14ac:dyDescent="0.25">
      <c r="E681" s="20">
        <v>127626</v>
      </c>
    </row>
    <row r="682" spans="5:5" x14ac:dyDescent="0.25">
      <c r="E682" s="20">
        <v>127801</v>
      </c>
    </row>
    <row r="683" spans="5:5" x14ac:dyDescent="0.25">
      <c r="E683" s="20">
        <v>127972</v>
      </c>
    </row>
    <row r="684" spans="5:5" x14ac:dyDescent="0.25">
      <c r="E684" s="20">
        <v>128136</v>
      </c>
    </row>
    <row r="685" spans="5:5" x14ac:dyDescent="0.25">
      <c r="E685" s="20">
        <v>128303</v>
      </c>
    </row>
    <row r="686" spans="5:5" x14ac:dyDescent="0.25">
      <c r="E686" s="20">
        <v>128329</v>
      </c>
    </row>
    <row r="687" spans="5:5" x14ac:dyDescent="0.25">
      <c r="E687" s="20">
        <v>128468</v>
      </c>
    </row>
    <row r="688" spans="5:5" x14ac:dyDescent="0.25">
      <c r="E688" s="20">
        <v>128703</v>
      </c>
    </row>
    <row r="689" spans="5:5" x14ac:dyDescent="0.25">
      <c r="E689" s="20">
        <v>128984</v>
      </c>
    </row>
    <row r="690" spans="5:5" x14ac:dyDescent="0.25">
      <c r="E690" s="20">
        <v>129124</v>
      </c>
    </row>
    <row r="691" spans="5:5" x14ac:dyDescent="0.25">
      <c r="E691" s="20">
        <v>129541</v>
      </c>
    </row>
    <row r="692" spans="5:5" x14ac:dyDescent="0.25">
      <c r="E692" s="20">
        <v>129708</v>
      </c>
    </row>
    <row r="693" spans="5:5" x14ac:dyDescent="0.25">
      <c r="E693" s="20">
        <v>129903</v>
      </c>
    </row>
    <row r="694" spans="5:5" x14ac:dyDescent="0.25">
      <c r="E694" s="20">
        <v>130133</v>
      </c>
    </row>
    <row r="695" spans="5:5" x14ac:dyDescent="0.25">
      <c r="E695" s="20">
        <v>130274</v>
      </c>
    </row>
    <row r="696" spans="5:5" x14ac:dyDescent="0.25">
      <c r="E696" s="20">
        <v>131179</v>
      </c>
    </row>
    <row r="697" spans="5:5" x14ac:dyDescent="0.25">
      <c r="E697" s="20">
        <v>131183</v>
      </c>
    </row>
    <row r="698" spans="5:5" x14ac:dyDescent="0.25">
      <c r="E698" s="20">
        <v>131353</v>
      </c>
    </row>
    <row r="699" spans="5:5" x14ac:dyDescent="0.25">
      <c r="E699" s="20">
        <v>131652</v>
      </c>
    </row>
    <row r="700" spans="5:5" x14ac:dyDescent="0.25">
      <c r="E700" s="20">
        <v>131841</v>
      </c>
    </row>
    <row r="701" spans="5:5" x14ac:dyDescent="0.25">
      <c r="E701" s="20">
        <v>132544</v>
      </c>
    </row>
    <row r="702" spans="5:5" x14ac:dyDescent="0.25">
      <c r="E702" s="20">
        <v>133297</v>
      </c>
    </row>
    <row r="703" spans="5:5" x14ac:dyDescent="0.25">
      <c r="E703" s="20">
        <v>133400</v>
      </c>
    </row>
    <row r="704" spans="5:5" x14ac:dyDescent="0.25">
      <c r="E704" s="20">
        <v>134006</v>
      </c>
    </row>
    <row r="705" spans="5:5" x14ac:dyDescent="0.25">
      <c r="E705" s="20">
        <v>134486</v>
      </c>
    </row>
    <row r="706" spans="5:5" x14ac:dyDescent="0.25">
      <c r="E706" s="20">
        <v>134881</v>
      </c>
    </row>
    <row r="707" spans="5:5" x14ac:dyDescent="0.25">
      <c r="E707" s="20">
        <v>135062</v>
      </c>
    </row>
    <row r="708" spans="5:5" x14ac:dyDescent="0.25">
      <c r="E708" s="20">
        <v>135325</v>
      </c>
    </row>
    <row r="709" spans="5:5" x14ac:dyDescent="0.25">
      <c r="E709" s="20">
        <v>135558</v>
      </c>
    </row>
    <row r="710" spans="5:5" x14ac:dyDescent="0.25">
      <c r="E710" s="20">
        <v>136716</v>
      </c>
    </row>
    <row r="711" spans="5:5" x14ac:dyDescent="0.25">
      <c r="E711" s="20">
        <v>136810</v>
      </c>
    </row>
    <row r="712" spans="5:5" x14ac:dyDescent="0.25">
      <c r="E712" s="20">
        <v>137106</v>
      </c>
    </row>
    <row r="713" spans="5:5" x14ac:dyDescent="0.25">
      <c r="E713" s="20">
        <v>137995</v>
      </c>
    </row>
    <row r="714" spans="5:5" x14ac:dyDescent="0.25">
      <c r="E714" s="20">
        <v>138521</v>
      </c>
    </row>
    <row r="715" spans="5:5" x14ac:dyDescent="0.25">
      <c r="E715" s="20">
        <v>138808</v>
      </c>
    </row>
    <row r="716" spans="5:5" x14ac:dyDescent="0.25">
      <c r="E716" s="20">
        <v>139208</v>
      </c>
    </row>
    <row r="717" spans="5:5" x14ac:dyDescent="0.25">
      <c r="E717" s="20">
        <v>140042</v>
      </c>
    </row>
    <row r="718" spans="5:5" x14ac:dyDescent="0.25">
      <c r="E718" s="20">
        <v>140402</v>
      </c>
    </row>
    <row r="719" spans="5:5" x14ac:dyDescent="0.25">
      <c r="E719" s="20">
        <v>141555</v>
      </c>
    </row>
    <row r="720" spans="5:5" x14ac:dyDescent="0.25">
      <c r="E720" s="20">
        <v>141604</v>
      </c>
    </row>
    <row r="721" spans="5:5" x14ac:dyDescent="0.25">
      <c r="E721" s="20">
        <v>141899</v>
      </c>
    </row>
    <row r="722" spans="5:5" x14ac:dyDescent="0.25">
      <c r="E722" s="20">
        <v>142318</v>
      </c>
    </row>
    <row r="723" spans="5:5" x14ac:dyDescent="0.25">
      <c r="E723" s="20">
        <v>142628</v>
      </c>
    </row>
    <row r="724" spans="5:5" x14ac:dyDescent="0.25">
      <c r="E724" s="20">
        <v>142731</v>
      </c>
    </row>
    <row r="725" spans="5:5" x14ac:dyDescent="0.25">
      <c r="E725" s="20">
        <v>142878</v>
      </c>
    </row>
    <row r="726" spans="5:5" x14ac:dyDescent="0.25">
      <c r="E726" s="20">
        <v>143970</v>
      </c>
    </row>
    <row r="727" spans="5:5" x14ac:dyDescent="0.25">
      <c r="E727" s="20">
        <v>144231</v>
      </c>
    </row>
    <row r="728" spans="5:5" x14ac:dyDescent="0.25">
      <c r="E728" s="20">
        <v>144754</v>
      </c>
    </row>
    <row r="729" spans="5:5" x14ac:dyDescent="0.25">
      <c r="E729" s="20">
        <v>144986</v>
      </c>
    </row>
    <row r="730" spans="5:5" x14ac:dyDescent="0.25">
      <c r="E730" s="20">
        <v>145093</v>
      </c>
    </row>
    <row r="731" spans="5:5" x14ac:dyDescent="0.25">
      <c r="E731" s="20">
        <v>145846</v>
      </c>
    </row>
    <row r="732" spans="5:5" x14ac:dyDescent="0.25">
      <c r="E732" s="20">
        <v>146140</v>
      </c>
    </row>
    <row r="733" spans="5:5" x14ac:dyDescent="0.25">
      <c r="E733" s="20">
        <v>146742</v>
      </c>
    </row>
    <row r="734" spans="5:5" x14ac:dyDescent="0.25">
      <c r="E734" s="20">
        <v>146961</v>
      </c>
    </row>
    <row r="735" spans="5:5" x14ac:dyDescent="0.25">
      <c r="E735" s="20">
        <v>147752</v>
      </c>
    </row>
    <row r="736" spans="5:5" x14ac:dyDescent="0.25">
      <c r="E736" s="20">
        <v>147966</v>
      </c>
    </row>
    <row r="737" spans="5:5" x14ac:dyDescent="0.25">
      <c r="E737" s="20">
        <v>148035</v>
      </c>
    </row>
    <row r="738" spans="5:5" x14ac:dyDescent="0.25">
      <c r="E738" s="20">
        <v>148321</v>
      </c>
    </row>
    <row r="739" spans="5:5" x14ac:dyDescent="0.25">
      <c r="E739" s="20">
        <v>148485</v>
      </c>
    </row>
    <row r="740" spans="5:5" x14ac:dyDescent="0.25">
      <c r="E740" s="20">
        <v>148991</v>
      </c>
    </row>
    <row r="741" spans="5:5" x14ac:dyDescent="0.25">
      <c r="E741" s="20">
        <v>149417</v>
      </c>
    </row>
    <row r="742" spans="5:5" x14ac:dyDescent="0.25">
      <c r="E742" s="20">
        <v>149537</v>
      </c>
    </row>
    <row r="743" spans="5:5" x14ac:dyDescent="0.25">
      <c r="E743" s="20">
        <v>149712</v>
      </c>
    </row>
    <row r="744" spans="5:5" x14ac:dyDescent="0.25">
      <c r="E744" s="20">
        <v>149761</v>
      </c>
    </row>
    <row r="745" spans="5:5" x14ac:dyDescent="0.25">
      <c r="E745" s="20">
        <v>150034</v>
      </c>
    </row>
    <row r="746" spans="5:5" x14ac:dyDescent="0.25">
      <c r="E746" s="20">
        <v>150399</v>
      </c>
    </row>
    <row r="747" spans="5:5" x14ac:dyDescent="0.25">
      <c r="E747" s="20">
        <v>150555</v>
      </c>
    </row>
    <row r="748" spans="5:5" x14ac:dyDescent="0.25">
      <c r="E748" s="20">
        <v>150577</v>
      </c>
    </row>
    <row r="749" spans="5:5" x14ac:dyDescent="0.25">
      <c r="E749" s="20">
        <v>150666</v>
      </c>
    </row>
    <row r="750" spans="5:5" x14ac:dyDescent="0.25">
      <c r="E750" s="20">
        <v>150699</v>
      </c>
    </row>
    <row r="751" spans="5:5" x14ac:dyDescent="0.25">
      <c r="E751" s="20">
        <v>150758</v>
      </c>
    </row>
    <row r="752" spans="5:5" x14ac:dyDescent="0.25">
      <c r="E752" s="20">
        <v>150855</v>
      </c>
    </row>
    <row r="753" spans="5:5" x14ac:dyDescent="0.25">
      <c r="E753" s="20">
        <v>151027</v>
      </c>
    </row>
    <row r="754" spans="5:5" x14ac:dyDescent="0.25">
      <c r="E754" s="20">
        <v>151108</v>
      </c>
    </row>
    <row r="755" spans="5:5" x14ac:dyDescent="0.25">
      <c r="E755" s="20">
        <v>151246</v>
      </c>
    </row>
    <row r="756" spans="5:5" x14ac:dyDescent="0.25">
      <c r="E756" s="20">
        <v>151413</v>
      </c>
    </row>
    <row r="757" spans="5:5" x14ac:dyDescent="0.25">
      <c r="E757" s="20">
        <v>151556</v>
      </c>
    </row>
    <row r="758" spans="5:5" x14ac:dyDescent="0.25">
      <c r="E758" s="20">
        <v>151703</v>
      </c>
    </row>
    <row r="759" spans="5:5" x14ac:dyDescent="0.25">
      <c r="E759" s="20">
        <v>151783</v>
      </c>
    </row>
    <row r="760" spans="5:5" x14ac:dyDescent="0.25">
      <c r="E760" s="20">
        <v>151853</v>
      </c>
    </row>
    <row r="761" spans="5:5" x14ac:dyDescent="0.25">
      <c r="E761" s="20">
        <v>152036</v>
      </c>
    </row>
    <row r="762" spans="5:5" x14ac:dyDescent="0.25">
      <c r="E762" s="20">
        <v>152214</v>
      </c>
    </row>
    <row r="763" spans="5:5" x14ac:dyDescent="0.25">
      <c r="E763" s="20">
        <v>152239</v>
      </c>
    </row>
    <row r="764" spans="5:5" x14ac:dyDescent="0.25">
      <c r="E764" s="20">
        <v>152353</v>
      </c>
    </row>
    <row r="765" spans="5:5" x14ac:dyDescent="0.25">
      <c r="E765" s="20">
        <v>153253</v>
      </c>
    </row>
    <row r="766" spans="5:5" x14ac:dyDescent="0.25">
      <c r="E766" s="20">
        <v>153271</v>
      </c>
    </row>
    <row r="767" spans="5:5" x14ac:dyDescent="0.25">
      <c r="E767" s="20">
        <v>153275</v>
      </c>
    </row>
    <row r="768" spans="5:5" x14ac:dyDescent="0.25">
      <c r="E768" s="20">
        <v>153492</v>
      </c>
    </row>
    <row r="769" spans="5:5" x14ac:dyDescent="0.25">
      <c r="E769" s="20">
        <v>153628</v>
      </c>
    </row>
    <row r="770" spans="5:5" x14ac:dyDescent="0.25">
      <c r="E770" s="20">
        <v>153767</v>
      </c>
    </row>
    <row r="771" spans="5:5" x14ac:dyDescent="0.25">
      <c r="E771" s="20">
        <v>153938</v>
      </c>
    </row>
    <row r="772" spans="5:5" x14ac:dyDescent="0.25">
      <c r="E772" s="20">
        <v>153961</v>
      </c>
    </row>
    <row r="773" spans="5:5" x14ac:dyDescent="0.25">
      <c r="E773" s="20">
        <v>154388</v>
      </c>
    </row>
    <row r="774" spans="5:5" x14ac:dyDescent="0.25">
      <c r="E774" s="20">
        <v>154624</v>
      </c>
    </row>
    <row r="775" spans="5:5" x14ac:dyDescent="0.25">
      <c r="E775" s="20">
        <v>154828</v>
      </c>
    </row>
    <row r="776" spans="5:5" x14ac:dyDescent="0.25">
      <c r="E776" s="20">
        <v>154884</v>
      </c>
    </row>
    <row r="777" spans="5:5" x14ac:dyDescent="0.25">
      <c r="E777" s="20">
        <v>154941</v>
      </c>
    </row>
    <row r="778" spans="5:5" x14ac:dyDescent="0.25">
      <c r="E778" s="20">
        <v>154956</v>
      </c>
    </row>
    <row r="779" spans="5:5" x14ac:dyDescent="0.25">
      <c r="E779" s="20">
        <v>154973</v>
      </c>
    </row>
    <row r="780" spans="5:5" x14ac:dyDescent="0.25">
      <c r="E780" s="20">
        <v>155004</v>
      </c>
    </row>
    <row r="781" spans="5:5" x14ac:dyDescent="0.25">
      <c r="E781" s="20">
        <v>155080</v>
      </c>
    </row>
    <row r="782" spans="5:5" x14ac:dyDescent="0.25">
      <c r="E782" s="20">
        <v>155320</v>
      </c>
    </row>
    <row r="783" spans="5:5" x14ac:dyDescent="0.25">
      <c r="E783" s="20">
        <v>155351</v>
      </c>
    </row>
    <row r="784" spans="5:5" x14ac:dyDescent="0.25">
      <c r="E784" s="20">
        <v>155788</v>
      </c>
    </row>
    <row r="785" spans="5:5" x14ac:dyDescent="0.25">
      <c r="E785" s="20">
        <v>155905</v>
      </c>
    </row>
    <row r="786" spans="5:5" x14ac:dyDescent="0.25">
      <c r="E786" s="20">
        <v>155926</v>
      </c>
    </row>
    <row r="787" spans="5:5" x14ac:dyDescent="0.25">
      <c r="E787" s="20">
        <v>156277</v>
      </c>
    </row>
    <row r="788" spans="5:5" x14ac:dyDescent="0.25">
      <c r="E788" s="20">
        <v>156931</v>
      </c>
    </row>
    <row r="789" spans="5:5" x14ac:dyDescent="0.25">
      <c r="E789" s="20">
        <v>157057</v>
      </c>
    </row>
    <row r="790" spans="5:5" x14ac:dyDescent="0.25">
      <c r="E790" s="20">
        <v>157070</v>
      </c>
    </row>
    <row r="791" spans="5:5" x14ac:dyDescent="0.25">
      <c r="E791" s="20">
        <v>157333</v>
      </c>
    </row>
    <row r="792" spans="5:5" x14ac:dyDescent="0.25">
      <c r="E792" s="20">
        <v>157474</v>
      </c>
    </row>
    <row r="793" spans="5:5" x14ac:dyDescent="0.25">
      <c r="E793" s="20">
        <v>157487</v>
      </c>
    </row>
    <row r="794" spans="5:5" x14ac:dyDescent="0.25">
      <c r="E794" s="20">
        <v>157812</v>
      </c>
    </row>
    <row r="795" spans="5:5" x14ac:dyDescent="0.25">
      <c r="E795" s="20">
        <v>157969</v>
      </c>
    </row>
    <row r="796" spans="5:5" x14ac:dyDescent="0.25">
      <c r="E796" s="20">
        <v>158787</v>
      </c>
    </row>
    <row r="797" spans="5:5" x14ac:dyDescent="0.25">
      <c r="E797" s="20">
        <v>158897</v>
      </c>
    </row>
    <row r="798" spans="5:5" x14ac:dyDescent="0.25">
      <c r="E798" s="20">
        <v>158898</v>
      </c>
    </row>
    <row r="799" spans="5:5" x14ac:dyDescent="0.25">
      <c r="E799" s="20">
        <v>159031</v>
      </c>
    </row>
    <row r="800" spans="5:5" x14ac:dyDescent="0.25">
      <c r="E800" s="20">
        <v>159044</v>
      </c>
    </row>
    <row r="801" spans="5:5" x14ac:dyDescent="0.25">
      <c r="E801" s="20">
        <v>159538</v>
      </c>
    </row>
    <row r="802" spans="5:5" x14ac:dyDescent="0.25">
      <c r="E802" s="20">
        <v>159567</v>
      </c>
    </row>
    <row r="803" spans="5:5" x14ac:dyDescent="0.25">
      <c r="E803" s="20">
        <v>159571</v>
      </c>
    </row>
    <row r="804" spans="5:5" x14ac:dyDescent="0.25">
      <c r="E804" s="20">
        <v>159724</v>
      </c>
    </row>
    <row r="805" spans="5:5" x14ac:dyDescent="0.25">
      <c r="E805" s="20">
        <v>159885</v>
      </c>
    </row>
    <row r="806" spans="5:5" x14ac:dyDescent="0.25">
      <c r="E806" s="20">
        <v>160280</v>
      </c>
    </row>
    <row r="807" spans="5:5" x14ac:dyDescent="0.25">
      <c r="E807" s="20">
        <v>160385</v>
      </c>
    </row>
    <row r="808" spans="5:5" x14ac:dyDescent="0.25">
      <c r="E808" s="20">
        <v>160832</v>
      </c>
    </row>
    <row r="809" spans="5:5" x14ac:dyDescent="0.25">
      <c r="E809" s="20">
        <v>161203</v>
      </c>
    </row>
    <row r="810" spans="5:5" x14ac:dyDescent="0.25">
      <c r="E810" s="20">
        <v>161269</v>
      </c>
    </row>
    <row r="811" spans="5:5" x14ac:dyDescent="0.25">
      <c r="E811" s="20">
        <v>161690</v>
      </c>
    </row>
    <row r="812" spans="5:5" x14ac:dyDescent="0.25">
      <c r="E812" s="20">
        <v>161759</v>
      </c>
    </row>
    <row r="813" spans="5:5" x14ac:dyDescent="0.25">
      <c r="E813" s="20">
        <v>162038</v>
      </c>
    </row>
    <row r="814" spans="5:5" x14ac:dyDescent="0.25">
      <c r="E814" s="20">
        <v>162978</v>
      </c>
    </row>
    <row r="815" spans="5:5" x14ac:dyDescent="0.25">
      <c r="E815" s="20">
        <v>163099</v>
      </c>
    </row>
    <row r="816" spans="5:5" x14ac:dyDescent="0.25">
      <c r="E816" s="20">
        <v>163143</v>
      </c>
    </row>
    <row r="817" spans="5:5" x14ac:dyDescent="0.25">
      <c r="E817" s="20">
        <v>164396</v>
      </c>
    </row>
    <row r="818" spans="5:5" x14ac:dyDescent="0.25">
      <c r="E818" s="20">
        <v>164399</v>
      </c>
    </row>
    <row r="819" spans="5:5" x14ac:dyDescent="0.25">
      <c r="E819" s="20">
        <v>165181</v>
      </c>
    </row>
    <row r="820" spans="5:5" x14ac:dyDescent="0.25">
      <c r="E820" s="20">
        <v>165756</v>
      </c>
    </row>
    <row r="821" spans="5:5" x14ac:dyDescent="0.25">
      <c r="E821" s="20">
        <v>165927</v>
      </c>
    </row>
    <row r="822" spans="5:5" x14ac:dyDescent="0.25">
      <c r="E822" s="20">
        <v>166259</v>
      </c>
    </row>
    <row r="823" spans="5:5" x14ac:dyDescent="0.25">
      <c r="E823" s="20">
        <v>166331</v>
      </c>
    </row>
    <row r="824" spans="5:5" x14ac:dyDescent="0.25">
      <c r="E824" s="20">
        <v>166599</v>
      </c>
    </row>
    <row r="825" spans="5:5" x14ac:dyDescent="0.25">
      <c r="E825" s="20">
        <v>167100</v>
      </c>
    </row>
    <row r="826" spans="5:5" x14ac:dyDescent="0.25">
      <c r="E826" s="20">
        <v>167199</v>
      </c>
    </row>
    <row r="827" spans="5:5" x14ac:dyDescent="0.25">
      <c r="E827" s="20">
        <v>167526</v>
      </c>
    </row>
    <row r="828" spans="5:5" x14ac:dyDescent="0.25">
      <c r="E828" s="20">
        <v>168014</v>
      </c>
    </row>
    <row r="829" spans="5:5" x14ac:dyDescent="0.25">
      <c r="E829" s="20">
        <v>168510</v>
      </c>
    </row>
    <row r="830" spans="5:5" x14ac:dyDescent="0.25">
      <c r="E830" s="20">
        <v>168846</v>
      </c>
    </row>
    <row r="831" spans="5:5" x14ac:dyDescent="0.25">
      <c r="E831" s="20">
        <v>169509</v>
      </c>
    </row>
    <row r="832" spans="5:5" x14ac:dyDescent="0.25">
      <c r="E832" s="20">
        <v>170164</v>
      </c>
    </row>
    <row r="833" spans="5:5" x14ac:dyDescent="0.25">
      <c r="E833" s="20">
        <v>170221</v>
      </c>
    </row>
    <row r="834" spans="5:5" x14ac:dyDescent="0.25">
      <c r="E834" s="20">
        <v>171173</v>
      </c>
    </row>
    <row r="835" spans="5:5" x14ac:dyDescent="0.25">
      <c r="E835" s="20">
        <v>171217</v>
      </c>
    </row>
    <row r="836" spans="5:5" x14ac:dyDescent="0.25">
      <c r="E836" s="20">
        <v>171360</v>
      </c>
    </row>
    <row r="837" spans="5:5" x14ac:dyDescent="0.25">
      <c r="E837" s="20">
        <v>171426</v>
      </c>
    </row>
    <row r="838" spans="5:5" x14ac:dyDescent="0.25">
      <c r="E838" s="20">
        <v>171487</v>
      </c>
    </row>
    <row r="839" spans="5:5" x14ac:dyDescent="0.25">
      <c r="E839" s="20">
        <v>172007</v>
      </c>
    </row>
    <row r="840" spans="5:5" x14ac:dyDescent="0.25">
      <c r="E840" s="20">
        <v>172180</v>
      </c>
    </row>
    <row r="841" spans="5:5" x14ac:dyDescent="0.25">
      <c r="E841" s="20">
        <v>172787</v>
      </c>
    </row>
    <row r="842" spans="5:5" x14ac:dyDescent="0.25">
      <c r="E842" s="20">
        <v>173071</v>
      </c>
    </row>
    <row r="843" spans="5:5" x14ac:dyDescent="0.25">
      <c r="E843" s="20">
        <v>173629</v>
      </c>
    </row>
    <row r="844" spans="5:5" x14ac:dyDescent="0.25">
      <c r="E844" s="20">
        <v>174097</v>
      </c>
    </row>
    <row r="845" spans="5:5" x14ac:dyDescent="0.25">
      <c r="E845" s="20">
        <v>174099</v>
      </c>
    </row>
    <row r="846" spans="5:5" x14ac:dyDescent="0.25">
      <c r="E846" s="20">
        <v>174415</v>
      </c>
    </row>
    <row r="847" spans="5:5" x14ac:dyDescent="0.25">
      <c r="E847" s="20">
        <v>174607</v>
      </c>
    </row>
    <row r="848" spans="5:5" x14ac:dyDescent="0.25">
      <c r="E848" s="20">
        <v>174895</v>
      </c>
    </row>
    <row r="849" spans="5:5" x14ac:dyDescent="0.25">
      <c r="E849" s="20">
        <v>175837</v>
      </c>
    </row>
    <row r="850" spans="5:5" x14ac:dyDescent="0.25">
      <c r="E850" s="20">
        <v>176294</v>
      </c>
    </row>
    <row r="851" spans="5:5" x14ac:dyDescent="0.25">
      <c r="E851" s="20">
        <v>176324</v>
      </c>
    </row>
    <row r="852" spans="5:5" x14ac:dyDescent="0.25">
      <c r="E852" s="20">
        <v>176710</v>
      </c>
    </row>
    <row r="853" spans="5:5" x14ac:dyDescent="0.25">
      <c r="E853" s="20">
        <v>177443</v>
      </c>
    </row>
    <row r="854" spans="5:5" x14ac:dyDescent="0.25">
      <c r="E854" s="20">
        <v>178502</v>
      </c>
    </row>
    <row r="855" spans="5:5" x14ac:dyDescent="0.25">
      <c r="E855" s="20">
        <v>178700</v>
      </c>
    </row>
    <row r="856" spans="5:5" x14ac:dyDescent="0.25">
      <c r="E856" s="20">
        <v>179494</v>
      </c>
    </row>
    <row r="857" spans="5:5" x14ac:dyDescent="0.25">
      <c r="E857" s="20">
        <v>180664</v>
      </c>
    </row>
    <row r="858" spans="5:5" x14ac:dyDescent="0.25">
      <c r="E858" s="20">
        <v>180687</v>
      </c>
    </row>
    <row r="859" spans="5:5" x14ac:dyDescent="0.25">
      <c r="E859" s="20">
        <v>180994</v>
      </c>
    </row>
    <row r="860" spans="5:5" x14ac:dyDescent="0.25">
      <c r="E860" s="20">
        <v>181216</v>
      </c>
    </row>
    <row r="861" spans="5:5" x14ac:dyDescent="0.25">
      <c r="E861" s="20">
        <v>181247</v>
      </c>
    </row>
    <row r="862" spans="5:5" x14ac:dyDescent="0.25">
      <c r="E862" s="20">
        <v>181356</v>
      </c>
    </row>
    <row r="863" spans="5:5" x14ac:dyDescent="0.25">
      <c r="E863" s="20">
        <v>181452</v>
      </c>
    </row>
    <row r="864" spans="5:5" x14ac:dyDescent="0.25">
      <c r="E864" s="20">
        <v>181801</v>
      </c>
    </row>
    <row r="865" spans="5:5" x14ac:dyDescent="0.25">
      <c r="E865" s="20">
        <v>181854</v>
      </c>
    </row>
    <row r="866" spans="5:5" x14ac:dyDescent="0.25">
      <c r="E866" s="20">
        <v>182035</v>
      </c>
    </row>
    <row r="867" spans="5:5" x14ac:dyDescent="0.25">
      <c r="E867" s="20">
        <v>182202</v>
      </c>
    </row>
    <row r="868" spans="5:5" x14ac:dyDescent="0.25">
      <c r="E868" s="20">
        <v>182321</v>
      </c>
    </row>
    <row r="869" spans="5:5" x14ac:dyDescent="0.25">
      <c r="E869" s="20">
        <v>183113</v>
      </c>
    </row>
    <row r="870" spans="5:5" x14ac:dyDescent="0.25">
      <c r="E870" s="20">
        <v>183156</v>
      </c>
    </row>
    <row r="871" spans="5:5" x14ac:dyDescent="0.25">
      <c r="E871" s="20">
        <v>183161</v>
      </c>
    </row>
    <row r="872" spans="5:5" x14ac:dyDescent="0.25">
      <c r="E872" s="20">
        <v>183190</v>
      </c>
    </row>
    <row r="873" spans="5:5" x14ac:dyDescent="0.25">
      <c r="E873" s="20">
        <v>183239</v>
      </c>
    </row>
    <row r="874" spans="5:5" x14ac:dyDescent="0.25">
      <c r="E874" s="20">
        <v>184368</v>
      </c>
    </row>
    <row r="875" spans="5:5" x14ac:dyDescent="0.25">
      <c r="E875" s="20">
        <v>184648</v>
      </c>
    </row>
    <row r="876" spans="5:5" x14ac:dyDescent="0.25">
      <c r="E876" s="20">
        <v>184960</v>
      </c>
    </row>
    <row r="877" spans="5:5" x14ac:dyDescent="0.25">
      <c r="E877" s="20">
        <v>186033</v>
      </c>
    </row>
    <row r="878" spans="5:5" x14ac:dyDescent="0.25">
      <c r="E878" s="20">
        <v>186138</v>
      </c>
    </row>
    <row r="879" spans="5:5" x14ac:dyDescent="0.25">
      <c r="E879" s="20">
        <v>186378</v>
      </c>
    </row>
    <row r="880" spans="5:5" x14ac:dyDescent="0.25">
      <c r="E880" s="20">
        <v>186503</v>
      </c>
    </row>
    <row r="881" spans="5:5" x14ac:dyDescent="0.25">
      <c r="E881" s="20">
        <v>186725</v>
      </c>
    </row>
    <row r="882" spans="5:5" x14ac:dyDescent="0.25">
      <c r="E882" s="20">
        <v>186870</v>
      </c>
    </row>
    <row r="883" spans="5:5" x14ac:dyDescent="0.25">
      <c r="E883" s="20">
        <v>187048</v>
      </c>
    </row>
    <row r="884" spans="5:5" x14ac:dyDescent="0.25">
      <c r="E884" s="20">
        <v>187187</v>
      </c>
    </row>
    <row r="885" spans="5:5" x14ac:dyDescent="0.25">
      <c r="E885" s="20">
        <v>187205</v>
      </c>
    </row>
    <row r="886" spans="5:5" x14ac:dyDescent="0.25">
      <c r="E886" s="20">
        <v>187389</v>
      </c>
    </row>
    <row r="887" spans="5:5" x14ac:dyDescent="0.25">
      <c r="E887" s="20">
        <v>187992</v>
      </c>
    </row>
    <row r="888" spans="5:5" x14ac:dyDescent="0.25">
      <c r="E888" s="20">
        <v>188727</v>
      </c>
    </row>
    <row r="889" spans="5:5" x14ac:dyDescent="0.25">
      <c r="E889" s="20">
        <v>189290</v>
      </c>
    </row>
    <row r="890" spans="5:5" x14ac:dyDescent="0.25">
      <c r="E890" s="20">
        <v>189420</v>
      </c>
    </row>
    <row r="891" spans="5:5" x14ac:dyDescent="0.25">
      <c r="E891" s="20">
        <v>189680</v>
      </c>
    </row>
    <row r="892" spans="5:5" x14ac:dyDescent="0.25">
      <c r="E892" s="20">
        <v>189702</v>
      </c>
    </row>
    <row r="893" spans="5:5" x14ac:dyDescent="0.25">
      <c r="E893" s="20">
        <v>189933</v>
      </c>
    </row>
    <row r="894" spans="5:5" x14ac:dyDescent="0.25">
      <c r="E894" s="20">
        <v>190253</v>
      </c>
    </row>
    <row r="895" spans="5:5" x14ac:dyDescent="0.25">
      <c r="E895" s="20">
        <v>190401</v>
      </c>
    </row>
    <row r="896" spans="5:5" x14ac:dyDescent="0.25">
      <c r="E896" s="20">
        <v>190512</v>
      </c>
    </row>
    <row r="897" spans="5:5" x14ac:dyDescent="0.25">
      <c r="E897" s="20">
        <v>190815</v>
      </c>
    </row>
    <row r="898" spans="5:5" x14ac:dyDescent="0.25">
      <c r="E898" s="20">
        <v>191026</v>
      </c>
    </row>
    <row r="899" spans="5:5" x14ac:dyDescent="0.25">
      <c r="E899" s="20">
        <v>191571</v>
      </c>
    </row>
    <row r="900" spans="5:5" x14ac:dyDescent="0.25">
      <c r="E900" s="20">
        <v>191807</v>
      </c>
    </row>
    <row r="901" spans="5:5" x14ac:dyDescent="0.25">
      <c r="E901" s="20">
        <v>192213</v>
      </c>
    </row>
    <row r="902" spans="5:5" x14ac:dyDescent="0.25">
      <c r="E902" s="20">
        <v>192749</v>
      </c>
    </row>
    <row r="903" spans="5:5" x14ac:dyDescent="0.25">
      <c r="E903" s="20">
        <v>193044</v>
      </c>
    </row>
    <row r="904" spans="5:5" x14ac:dyDescent="0.25">
      <c r="E904" s="20">
        <v>194723</v>
      </c>
    </row>
    <row r="905" spans="5:5" x14ac:dyDescent="0.25">
      <c r="E905" s="20">
        <v>194871</v>
      </c>
    </row>
    <row r="906" spans="5:5" x14ac:dyDescent="0.25">
      <c r="E906" s="20">
        <v>195200</v>
      </c>
    </row>
    <row r="907" spans="5:5" x14ac:dyDescent="0.25">
      <c r="E907" s="20">
        <v>195385</v>
      </c>
    </row>
    <row r="908" spans="5:5" x14ac:dyDescent="0.25">
      <c r="E908" s="20">
        <v>196951</v>
      </c>
    </row>
    <row r="909" spans="5:5" x14ac:dyDescent="0.25">
      <c r="E909" s="20">
        <v>197367</v>
      </c>
    </row>
    <row r="910" spans="5:5" x14ac:dyDescent="0.25">
      <c r="E910" s="20">
        <v>197649</v>
      </c>
    </row>
    <row r="911" spans="5:5" x14ac:dyDescent="0.25">
      <c r="E911" s="20">
        <v>198176</v>
      </c>
    </row>
    <row r="912" spans="5:5" x14ac:dyDescent="0.25">
      <c r="E912" s="20">
        <v>198243</v>
      </c>
    </row>
    <row r="913" spans="5:5" x14ac:dyDescent="0.25">
      <c r="E913" s="20">
        <v>198473</v>
      </c>
    </row>
    <row r="914" spans="5:5" x14ac:dyDescent="0.25">
      <c r="E914" s="20">
        <v>198562</v>
      </c>
    </row>
    <row r="915" spans="5:5" x14ac:dyDescent="0.25">
      <c r="E915" s="20">
        <v>199041</v>
      </c>
    </row>
    <row r="916" spans="5:5" x14ac:dyDescent="0.25">
      <c r="E916" s="20">
        <v>199176</v>
      </c>
    </row>
    <row r="917" spans="5:5" x14ac:dyDescent="0.25">
      <c r="E917" s="20">
        <v>199504</v>
      </c>
    </row>
    <row r="918" spans="5:5" x14ac:dyDescent="0.25">
      <c r="E918" s="20">
        <v>199783</v>
      </c>
    </row>
    <row r="919" spans="5:5" x14ac:dyDescent="0.25">
      <c r="E919" s="20">
        <v>199808</v>
      </c>
    </row>
    <row r="920" spans="5:5" x14ac:dyDescent="0.25">
      <c r="E920" s="20">
        <v>199848</v>
      </c>
    </row>
    <row r="921" spans="5:5" x14ac:dyDescent="0.25">
      <c r="E921" s="20">
        <v>200246</v>
      </c>
    </row>
    <row r="922" spans="5:5" x14ac:dyDescent="0.25">
      <c r="E922" s="20">
        <v>201396</v>
      </c>
    </row>
    <row r="923" spans="5:5" x14ac:dyDescent="0.25">
      <c r="E923" s="20">
        <v>201464</v>
      </c>
    </row>
    <row r="924" spans="5:5" x14ac:dyDescent="0.25">
      <c r="E924" s="20">
        <v>202323</v>
      </c>
    </row>
    <row r="925" spans="5:5" x14ac:dyDescent="0.25">
      <c r="E925" s="20">
        <v>202680</v>
      </c>
    </row>
    <row r="926" spans="5:5" x14ac:dyDescent="0.25">
      <c r="E926" s="20">
        <v>203445</v>
      </c>
    </row>
    <row r="927" spans="5:5" x14ac:dyDescent="0.25">
      <c r="E927" s="20">
        <v>205314</v>
      </c>
    </row>
    <row r="928" spans="5:5" x14ac:dyDescent="0.25">
      <c r="E928" s="20">
        <v>206624</v>
      </c>
    </row>
    <row r="929" spans="5:5" x14ac:dyDescent="0.25">
      <c r="E929" s="20">
        <v>207172</v>
      </c>
    </row>
    <row r="930" spans="5:5" x14ac:dyDescent="0.25">
      <c r="E930" s="20">
        <v>208210</v>
      </c>
    </row>
    <row r="931" spans="5:5" x14ac:dyDescent="0.25">
      <c r="E931" s="20">
        <v>208415</v>
      </c>
    </row>
    <row r="932" spans="5:5" x14ac:dyDescent="0.25">
      <c r="E932" s="20">
        <v>210708</v>
      </c>
    </row>
    <row r="933" spans="5:5" x14ac:dyDescent="0.25">
      <c r="E933" s="20">
        <v>211291</v>
      </c>
    </row>
    <row r="934" spans="5:5" x14ac:dyDescent="0.25">
      <c r="E934" s="20">
        <v>211637</v>
      </c>
    </row>
    <row r="935" spans="5:5" x14ac:dyDescent="0.25">
      <c r="E935" s="20">
        <v>215388</v>
      </c>
    </row>
    <row r="936" spans="5:5" x14ac:dyDescent="0.25">
      <c r="E936" s="20">
        <v>216195</v>
      </c>
    </row>
    <row r="937" spans="5:5" x14ac:dyDescent="0.25">
      <c r="E937" s="20">
        <v>216949</v>
      </c>
    </row>
    <row r="938" spans="5:5" x14ac:dyDescent="0.25">
      <c r="E938" s="20">
        <v>216999</v>
      </c>
    </row>
    <row r="939" spans="5:5" x14ac:dyDescent="0.25">
      <c r="E939" s="20">
        <v>217783</v>
      </c>
    </row>
    <row r="940" spans="5:5" x14ac:dyDescent="0.25">
      <c r="E940" s="20">
        <v>218530</v>
      </c>
    </row>
    <row r="941" spans="5:5" x14ac:dyDescent="0.25">
      <c r="E941" s="20">
        <v>219474</v>
      </c>
    </row>
    <row r="942" spans="5:5" x14ac:dyDescent="0.25">
      <c r="E942" s="20">
        <v>219693</v>
      </c>
    </row>
    <row r="943" spans="5:5" x14ac:dyDescent="0.25">
      <c r="E943" s="20">
        <v>220937</v>
      </c>
    </row>
    <row r="944" spans="5:5" x14ac:dyDescent="0.25">
      <c r="E944" s="20">
        <v>221217</v>
      </c>
    </row>
    <row r="945" spans="5:5" x14ac:dyDescent="0.25">
      <c r="E945" s="20">
        <v>221465</v>
      </c>
    </row>
    <row r="946" spans="5:5" x14ac:dyDescent="0.25">
      <c r="E946" s="20">
        <v>221592</v>
      </c>
    </row>
    <row r="947" spans="5:5" x14ac:dyDescent="0.25">
      <c r="E947" s="20">
        <v>222224</v>
      </c>
    </row>
    <row r="948" spans="5:5" x14ac:dyDescent="0.25">
      <c r="E948" s="20">
        <v>222941</v>
      </c>
    </row>
    <row r="949" spans="5:5" x14ac:dyDescent="0.25">
      <c r="E949" s="20">
        <v>223055</v>
      </c>
    </row>
    <row r="950" spans="5:5" x14ac:dyDescent="0.25">
      <c r="E950" s="20">
        <v>223404</v>
      </c>
    </row>
    <row r="951" spans="5:5" x14ac:dyDescent="0.25">
      <c r="E951" s="20">
        <v>223805</v>
      </c>
    </row>
    <row r="952" spans="5:5" x14ac:dyDescent="0.25">
      <c r="E952" s="20">
        <v>225558</v>
      </c>
    </row>
    <row r="953" spans="5:5" x14ac:dyDescent="0.25">
      <c r="E953" s="20">
        <v>228822</v>
      </c>
    </row>
    <row r="954" spans="5:5" x14ac:dyDescent="0.25">
      <c r="E954" s="20">
        <v>230025</v>
      </c>
    </row>
    <row r="955" spans="5:5" x14ac:dyDescent="0.25">
      <c r="E955" s="20">
        <v>231141</v>
      </c>
    </row>
    <row r="956" spans="5:5" x14ac:dyDescent="0.25">
      <c r="E956" s="20">
        <v>231567</v>
      </c>
    </row>
    <row r="957" spans="5:5" x14ac:dyDescent="0.25">
      <c r="E957" s="20">
        <v>231850</v>
      </c>
    </row>
    <row r="958" spans="5:5" x14ac:dyDescent="0.25">
      <c r="E958" s="20">
        <v>234311</v>
      </c>
    </row>
    <row r="959" spans="5:5" x14ac:dyDescent="0.25">
      <c r="E959" s="20">
        <v>234469</v>
      </c>
    </row>
    <row r="960" spans="5:5" x14ac:dyDescent="0.25">
      <c r="E960" s="20">
        <v>234594</v>
      </c>
    </row>
    <row r="961" spans="5:5" x14ac:dyDescent="0.25">
      <c r="E961" s="20">
        <v>234723</v>
      </c>
    </row>
    <row r="962" spans="5:5" x14ac:dyDescent="0.25">
      <c r="E962" s="20">
        <v>235619</v>
      </c>
    </row>
    <row r="963" spans="5:5" x14ac:dyDescent="0.25">
      <c r="E963" s="20">
        <v>236314</v>
      </c>
    </row>
    <row r="964" spans="5:5" x14ac:dyDescent="0.25">
      <c r="E964" s="20">
        <v>236946</v>
      </c>
    </row>
    <row r="965" spans="5:5" x14ac:dyDescent="0.25">
      <c r="E965" s="20">
        <v>238236</v>
      </c>
    </row>
    <row r="966" spans="5:5" x14ac:dyDescent="0.25">
      <c r="E966" s="20">
        <v>239394</v>
      </c>
    </row>
    <row r="967" spans="5:5" x14ac:dyDescent="0.25">
      <c r="E967" s="20">
        <v>240488</v>
      </c>
    </row>
    <row r="968" spans="5:5" x14ac:dyDescent="0.25">
      <c r="E968" s="20">
        <v>241083</v>
      </c>
    </row>
    <row r="969" spans="5:5" x14ac:dyDescent="0.25">
      <c r="E969" s="20">
        <v>242919</v>
      </c>
    </row>
    <row r="970" spans="5:5" x14ac:dyDescent="0.25">
      <c r="E970" s="20">
        <v>243568</v>
      </c>
    </row>
    <row r="971" spans="5:5" x14ac:dyDescent="0.25">
      <c r="E971" s="20">
        <v>245360</v>
      </c>
    </row>
    <row r="972" spans="5:5" x14ac:dyDescent="0.25">
      <c r="E972" s="20">
        <v>245482</v>
      </c>
    </row>
    <row r="973" spans="5:5" x14ac:dyDescent="0.25">
      <c r="E973" s="20">
        <v>246231</v>
      </c>
    </row>
    <row r="974" spans="5:5" x14ac:dyDescent="0.25">
      <c r="E974" s="20">
        <v>246589</v>
      </c>
    </row>
    <row r="975" spans="5:5" x14ac:dyDescent="0.25">
      <c r="E975" s="20">
        <v>246619</v>
      </c>
    </row>
    <row r="976" spans="5:5" x14ac:dyDescent="0.25">
      <c r="E976" s="20">
        <v>247022</v>
      </c>
    </row>
    <row r="977" spans="5:5" x14ac:dyDescent="0.25">
      <c r="E977" s="20">
        <v>247874</v>
      </c>
    </row>
    <row r="978" spans="5:5" x14ac:dyDescent="0.25">
      <c r="E978" s="20">
        <v>247939</v>
      </c>
    </row>
    <row r="979" spans="5:5" x14ac:dyDescent="0.25">
      <c r="E979" s="20">
        <v>249270</v>
      </c>
    </row>
    <row r="980" spans="5:5" x14ac:dyDescent="0.25">
      <c r="E980" s="20">
        <v>249506</v>
      </c>
    </row>
    <row r="981" spans="5:5" x14ac:dyDescent="0.25">
      <c r="E981" s="20">
        <v>249686</v>
      </c>
    </row>
    <row r="982" spans="5:5" x14ac:dyDescent="0.25">
      <c r="E982" s="20">
        <v>249801</v>
      </c>
    </row>
    <row r="983" spans="5:5" x14ac:dyDescent="0.25">
      <c r="E983" s="20">
        <v>249870</v>
      </c>
    </row>
    <row r="984" spans="5:5" x14ac:dyDescent="0.25">
      <c r="E984" s="20">
        <v>250767</v>
      </c>
    </row>
    <row r="985" spans="5:5" x14ac:dyDescent="0.25">
      <c r="E985" s="20">
        <v>250953</v>
      </c>
    </row>
    <row r="986" spans="5:5" x14ac:dyDescent="0.25">
      <c r="E986" s="20">
        <v>252325</v>
      </c>
    </row>
    <row r="987" spans="5:5" x14ac:dyDescent="0.25">
      <c r="E987" s="20">
        <v>253249</v>
      </c>
    </row>
    <row r="988" spans="5:5" x14ac:dyDescent="0.25">
      <c r="E988" s="20">
        <v>253294</v>
      </c>
    </row>
    <row r="989" spans="5:5" x14ac:dyDescent="0.25">
      <c r="E989" s="20">
        <v>254057</v>
      </c>
    </row>
    <row r="990" spans="5:5" x14ac:dyDescent="0.25">
      <c r="E990" s="20">
        <v>254289</v>
      </c>
    </row>
    <row r="991" spans="5:5" x14ac:dyDescent="0.25">
      <c r="E991" s="20">
        <v>255230</v>
      </c>
    </row>
    <row r="992" spans="5:5" x14ac:dyDescent="0.25">
      <c r="E992" s="20">
        <v>255369</v>
      </c>
    </row>
    <row r="993" spans="5:5" x14ac:dyDescent="0.25">
      <c r="E993" s="20">
        <v>255431</v>
      </c>
    </row>
    <row r="994" spans="5:5" x14ac:dyDescent="0.25">
      <c r="E994" s="20">
        <v>256420</v>
      </c>
    </row>
    <row r="995" spans="5:5" x14ac:dyDescent="0.25">
      <c r="E995" s="20">
        <v>256561</v>
      </c>
    </row>
    <row r="996" spans="5:5" x14ac:dyDescent="0.25">
      <c r="E996" s="20">
        <v>257194</v>
      </c>
    </row>
    <row r="997" spans="5:5" x14ac:dyDescent="0.25">
      <c r="E997" s="20">
        <v>258081</v>
      </c>
    </row>
    <row r="998" spans="5:5" x14ac:dyDescent="0.25">
      <c r="E998" s="20">
        <v>258426</v>
      </c>
    </row>
    <row r="999" spans="5:5" x14ac:dyDescent="0.25">
      <c r="E999" s="20">
        <v>258498</v>
      </c>
    </row>
    <row r="1000" spans="5:5" x14ac:dyDescent="0.25">
      <c r="E1000" s="20" t="s">
        <v>1431</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5C9D-0F4C-41B3-83D9-0DDB9C5BD54F}">
  <dimension ref="A1:T6"/>
  <sheetViews>
    <sheetView showGridLines="0" tabSelected="1" zoomScaleNormal="100" workbookViewId="0">
      <selection activeCell="G26" sqref="G26"/>
    </sheetView>
  </sheetViews>
  <sheetFormatPr defaultRowHeight="15" x14ac:dyDescent="0.25"/>
  <cols>
    <col min="1" max="1" width="9.28515625" style="40" customWidth="1"/>
    <col min="2" max="3" width="9.140625" style="40"/>
    <col min="4" max="4" width="9.140625" style="40" customWidth="1"/>
    <col min="5" max="5" width="9.140625" style="40"/>
    <col min="6" max="6" width="11.7109375" style="40" customWidth="1"/>
    <col min="7" max="16384" width="9.140625" style="40"/>
  </cols>
  <sheetData>
    <row r="1" spans="1:20" ht="15.75" x14ac:dyDescent="0.25">
      <c r="A1" s="46" t="s">
        <v>1450</v>
      </c>
      <c r="B1" s="46"/>
      <c r="E1" s="46" t="s">
        <v>1451</v>
      </c>
      <c r="F1" s="46"/>
      <c r="H1" s="47" t="s">
        <v>1452</v>
      </c>
      <c r="I1" s="47"/>
      <c r="J1" s="47"/>
      <c r="K1" s="47"/>
      <c r="L1" s="47"/>
      <c r="M1" s="47"/>
      <c r="O1" s="46" t="s">
        <v>1453</v>
      </c>
      <c r="P1" s="46"/>
      <c r="S1" s="46" t="s">
        <v>1454</v>
      </c>
      <c r="T1" s="46"/>
    </row>
    <row r="2" spans="1:20" ht="15.75" x14ac:dyDescent="0.25">
      <c r="A2" s="45">
        <f>'KPI PIVOTABLE EMP1'!$A$2</f>
        <v>1000</v>
      </c>
      <c r="B2" s="45"/>
      <c r="E2" s="45">
        <f>'KPI PIVOTABLE EMP1'!$E$2</f>
        <v>7</v>
      </c>
      <c r="F2" s="45"/>
      <c r="H2" s="47"/>
      <c r="I2" s="47"/>
      <c r="J2" s="47"/>
      <c r="K2" s="47"/>
      <c r="L2" s="47"/>
      <c r="M2" s="47"/>
      <c r="O2" s="45">
        <f>'KPI PIVOTABLE EMP1'!$I$3</f>
        <v>3</v>
      </c>
      <c r="P2" s="45"/>
      <c r="S2" s="45">
        <f>'KPI PIVOTABLE EMP1'!$F$5</f>
        <v>113264.96881287727</v>
      </c>
      <c r="T2" s="45"/>
    </row>
    <row r="6" spans="1:20" ht="15.75" customHeight="1" x14ac:dyDescent="0.25"/>
  </sheetData>
  <mergeCells count="9">
    <mergeCell ref="A2:B2"/>
    <mergeCell ref="A1:B1"/>
    <mergeCell ref="E1:F1"/>
    <mergeCell ref="E2:F2"/>
    <mergeCell ref="S2:T2"/>
    <mergeCell ref="S1:T1"/>
    <mergeCell ref="O1:P1"/>
    <mergeCell ref="O2:P2"/>
    <mergeCell ref="H1:M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0EC6BF-1968-4063-AB7B-1ECDD95BB9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EMp Steps</vt:lpstr>
      <vt:lpstr>Sales Raw Data</vt:lpstr>
      <vt:lpstr>sales main data</vt:lpstr>
      <vt:lpstr>Sheet1</vt:lpstr>
      <vt:lpstr>Dashboard one month sales</vt:lpstr>
      <vt:lpstr>EMP RAW Data</vt:lpstr>
      <vt:lpstr>EMP Table1</vt:lpstr>
      <vt:lpstr>KPI PIVOTABLE EMP1</vt:lpstr>
      <vt:lpstr>Dashboard EPM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Wavhal</dc:creator>
  <cp:lastModifiedBy>Himanshu Adsule</cp:lastModifiedBy>
  <dcterms:created xsi:type="dcterms:W3CDTF">2026-03-05T05:01:24Z</dcterms:created>
  <dcterms:modified xsi:type="dcterms:W3CDTF">2026-03-19T14:38:23Z</dcterms:modified>
</cp:coreProperties>
</file>